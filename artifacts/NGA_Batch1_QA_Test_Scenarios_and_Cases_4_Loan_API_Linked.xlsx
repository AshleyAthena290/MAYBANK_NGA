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2" activeTab="5" autoFilterDateGrouping="1"/>
  </bookViews>
  <sheets>
    <sheet name="README" sheetId="1" state="visible" r:id="rId1"/>
    <sheet name="Coverage Summary" sheetId="2" state="visible" r:id="rId2"/>
    <sheet name="Test Scenarios" sheetId="3" state="visible" r:id="rId3"/>
    <sheet name="Test Cases" sheetId="4" state="visible" r:id="rId4"/>
    <sheet name="Acct Dashboard Financing" sheetId="5" state="visible" r:id="rId5"/>
    <sheet name="Acct Dashboard Non-Financing" sheetId="6" state="visible" r:id="rId6"/>
    <sheet name="ECLIPSE API Catalog" sheetId="7" state="visible" r:id="rId7"/>
    <sheet name="API Link Summary" sheetId="8" state="visible" r:id="rId8"/>
  </sheets>
  <externalReferences>
    <externalReference r:id="rId9"/>
  </externalReferences>
  <definedNames>
    <definedName name="_xlnm._FilterDatabase" localSheetId="3" hidden="1">'Test Cases'!$A$1:$AD$307</definedName>
    <definedName name="_xlnm._FilterDatabase" localSheetId="6" hidden="1">'ECLIPSE API Catalog'!$A$1:$M$57</definedName>
  </definedNames>
  <calcPr calcId="191029" fullCalcOnLoad="1"/>
</workbook>
</file>

<file path=xl/styles.xml><?xml version="1.0" encoding="utf-8"?>
<styleSheet xmlns="http://schemas.openxmlformats.org/spreadsheetml/2006/main">
  <numFmts count="1">
    <numFmt numFmtId="164" formatCode="0.0%"/>
  </numFmts>
  <fonts count="10">
    <font>
      <name val="Aptos"/>
      <family val="2"/>
      <color theme="1"/>
      <sz val="10"/>
    </font>
    <font>
      <name val="Calibri"/>
      <b val="1"/>
      <color rgb="FFFFFFFF"/>
      <sz val="20"/>
    </font>
    <font>
      <name val="Calibri"/>
      <b val="1"/>
      <color rgb="FF17365D"/>
      <sz val="11"/>
    </font>
    <font>
      <name val="Calibri"/>
      <b val="1"/>
      <color rgb="FFFFFFFF"/>
      <sz val="18"/>
    </font>
    <font>
      <name val="Calibri"/>
      <b val="1"/>
      <color rgb="FFFFFFFF"/>
      <sz val="11"/>
    </font>
    <font>
      <name val="Calibri"/>
      <b val="1"/>
      <sz val="11"/>
    </font>
    <font>
      <name val="Calibri"/>
      <family val="2"/>
      <b val="1"/>
      <color rgb="FFFFFFFF"/>
      <sz val="11"/>
    </font>
    <font>
      <b val="1"/>
      <color rgb="00FFFFFF"/>
    </font>
    <font>
      <name val="Calibri"/>
      <family val="2"/>
      <color theme="10"/>
      <sz val="12"/>
      <scheme val="minor"/>
    </font>
    <font>
      <b val="1"/>
      <color rgb="00FFFFFF"/>
      <sz val="14"/>
    </font>
  </fonts>
  <fills count="6">
    <fill>
      <patternFill/>
    </fill>
    <fill>
      <patternFill patternType="gray125"/>
    </fill>
    <fill>
      <patternFill patternType="solid">
        <fgColor rgb="FF17365D"/>
      </patternFill>
    </fill>
    <fill>
      <patternFill patternType="solid">
        <fgColor rgb="FF4472C4"/>
      </patternFill>
    </fill>
    <fill>
      <patternFill patternType="solid">
        <fgColor theme="4" tint="0.7999816888943144"/>
        <bgColor theme="4" tint="0.7999816888943144"/>
      </patternFill>
    </fill>
    <fill>
      <patternFill patternType="solid">
        <fgColor rgb="001F4E78"/>
      </patternFill>
    </fill>
  </fills>
  <borders count="5">
    <border>
      <left/>
      <right/>
      <top/>
      <bottom/>
      <diagonal/>
    </border>
    <border>
      <left/>
      <right/>
      <top/>
      <bottom style="thin">
        <color rgb="FFD9E1F2"/>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s>
  <cellStyleXfs count="2">
    <xf numFmtId="0" fontId="0" fillId="0" borderId="0"/>
    <xf numFmtId="0" fontId="8" fillId="0" borderId="0"/>
  </cellStyleXfs>
  <cellXfs count="27">
    <xf numFmtId="0" fontId="0" fillId="0" borderId="0" pivotButton="0" quotePrefix="0" xfId="0"/>
    <xf numFmtId="0" fontId="1" fillId="2" borderId="0" pivotButton="0" quotePrefix="0" xfId="0"/>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4" fillId="3" borderId="1" applyAlignment="1" pivotButton="0" quotePrefix="0" xfId="0">
      <alignment vertical="center"/>
    </xf>
    <xf numFmtId="0" fontId="0" fillId="0" borderId="1" applyAlignment="1" pivotButton="0" quotePrefix="0" xfId="0">
      <alignment vertical="center"/>
    </xf>
    <xf numFmtId="0" fontId="5" fillId="0" borderId="1" applyAlignment="1" pivotButton="0" quotePrefix="0" xfId="0">
      <alignment vertical="center"/>
    </xf>
    <xf numFmtId="0" fontId="6" fillId="2" borderId="2" applyAlignment="1" pivotButton="0" quotePrefix="0" xfId="0">
      <alignment vertical="center" wrapText="1"/>
    </xf>
    <xf numFmtId="0" fontId="6" fillId="2" borderId="3" applyAlignment="1" pivotButton="0" quotePrefix="0" xfId="0">
      <alignment vertical="center" wrapText="1"/>
    </xf>
    <xf numFmtId="0" fontId="6" fillId="2" borderId="4" applyAlignment="1" pivotButton="0" quotePrefix="0" xfId="0">
      <alignment vertical="center" wrapText="1"/>
    </xf>
    <xf numFmtId="0" fontId="0" fillId="4" borderId="2" applyAlignment="1" pivotButton="0" quotePrefix="0" xfId="0">
      <alignment vertical="top" wrapText="1"/>
    </xf>
    <xf numFmtId="0" fontId="0" fillId="4" borderId="3" applyAlignment="1" pivotButton="0" quotePrefix="0" xfId="0">
      <alignment vertical="top" wrapText="1"/>
    </xf>
    <xf numFmtId="0" fontId="0" fillId="4" borderId="4"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0" fillId="0" borderId="4" applyAlignment="1" pivotButton="0" quotePrefix="0" xfId="0">
      <alignment vertical="top" wrapText="1"/>
    </xf>
    <xf numFmtId="0" fontId="4" fillId="2" borderId="0" applyAlignment="1" pivotButton="0" quotePrefix="0" xfId="0">
      <alignment vertical="top" wrapText="1"/>
    </xf>
    <xf numFmtId="0" fontId="0" fillId="0" borderId="0" applyAlignment="1" pivotButton="0" quotePrefix="0" xfId="0">
      <alignment vertical="top" wrapText="1"/>
    </xf>
    <xf numFmtId="0" fontId="9" fillId="5" borderId="0" pivotButton="0" quotePrefix="0" xfId="0"/>
    <xf numFmtId="0" fontId="7" fillId="5" borderId="0" applyAlignment="1" pivotButton="0" quotePrefix="0" xfId="0">
      <alignment horizontal="center" vertical="center" wrapText="1"/>
    </xf>
    <xf numFmtId="0" fontId="8" fillId="0" borderId="0" applyAlignment="1" pivotButton="0" quotePrefix="0" xfId="1">
      <alignment vertical="top" wrapText="1"/>
    </xf>
    <xf numFmtId="0" fontId="8" fillId="0" borderId="0" pivotButton="0" quotePrefix="0" xfId="1"/>
    <xf numFmtId="0" fontId="9" fillId="5" borderId="0" applyAlignment="1" pivotButton="0" quotePrefix="0" xfId="0">
      <alignment vertical="top" wrapText="1"/>
    </xf>
    <xf numFmtId="0" fontId="7" fillId="5" borderId="0" applyAlignment="1" pivotButton="0" quotePrefix="0" xfId="0">
      <alignment vertical="top" wrapText="1"/>
    </xf>
    <xf numFmtId="164" fontId="0" fillId="0" borderId="0" applyAlignment="1" pivotButton="0" quotePrefix="0" xfId="0">
      <alignment vertical="top" wrapText="1"/>
    </xf>
  </cellXfs>
  <cellStyles count="2">
    <cellStyle name="Normal" xfId="0" builtinId="0"/>
    <cellStyle name="Hyperlink" xfId="1" builtinId="8" hidden="0"/>
  </cellStyles>
  <dxfs count="3">
    <dxf>
      <fill>
        <patternFill patternType="solid">
          <fgColor rgb="FFFCE4D6"/>
        </patternFill>
      </fill>
    </dxf>
    <dxf>
      <fill>
        <patternFill patternType="solid">
          <fgColor rgb="FFF4CCCC"/>
        </patternFill>
      </fill>
    </dxf>
    <dxf>
      <fill>
        <patternFill patternType="solid">
          <fgColor rgb="FFE2F0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externalLink" Target="/xl/externalLinks/externalLink1.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lstStyle/>
          <a:p>
            <a:pPr>
              <a:defRPr/>
            </a:pPr>
            <a:r>
              <a:rPr lang="en-US"/>
              <a:t>Test Cases by Module</a:t>
            </a:r>
          </a:p>
        </rich>
      </tx>
      <overlay val="1"/>
    </title>
    <plotArea>
      <layout/>
      <barChart>
        <barDir val="col"/>
        <grouping val="clustered"/>
        <varyColors val="1"/>
        <ser>
          <idx val="0"/>
          <order val="0"/>
          <tx>
            <strRef>
              <f>'[1]Coverage Summary'!$C$3</f>
              <strCache>
                <ptCount val="1"/>
                <pt idx="0">
                  <v>Test Cases</v>
                </pt>
              </strCache>
            </strRef>
          </tx>
          <spPr>
            <a:ln>
              <a:prstDash val="solid"/>
            </a:ln>
          </spPr>
          <invertIfNegative val="1"/>
          <cat>
            <strRef>
              <f>'[1]Coverage Summary'!$A$4:$A$9</f>
              <strCache>
                <ptCount val="6"/>
                <pt idx="0">
                  <v>Acct Dashboard Financing</v>
                </pt>
                <pt idx="1">
                  <v>Acct Dashboard Non-Financing</v>
                </pt>
                <pt idx="2">
                  <v>App Dashboard</v>
                </pt>
                <pt idx="3">
                  <v>A&amp;A</v>
                </pt>
                <pt idx="4">
                  <v>Local Transfer</v>
                </pt>
                <pt idx="5">
                  <v>Scan &amp; pay</v>
                </pt>
              </strCache>
            </strRef>
          </cat>
          <val>
            <numRef>
              <f>'[1]Coverage Summary'!$C$4:$C$9</f>
              <numCache>
                <formatCode>General</formatCode>
                <ptCount val="6"/>
                <pt idx="0">
                  <v>158</v>
                </pt>
                <pt idx="1">
                  <v>148</v>
                </pt>
                <pt idx="2">
                  <v>143</v>
                </pt>
                <pt idx="3">
                  <v>84</v>
                </pt>
                <pt idx="4">
                  <v>145</v>
                </pt>
                <pt idx="5">
                  <v>122</v>
                </pt>
              </numCache>
            </numRef>
          </val>
        </ser>
        <dLbls>
          <showLegendKey val="0"/>
          <showVal val="0"/>
          <showCatName val="0"/>
          <showSerName val="0"/>
          <showPercent val="0"/>
          <showBubbleSize val="0"/>
        </dLbls>
        <gapWidth val="150"/>
        <axId val="10"/>
        <axId val="100"/>
      </barChart>
      <catAx>
        <axId val="10"/>
        <scaling>
          <orientation val="minMax"/>
        </scaling>
        <delete val="1"/>
        <axPos val="b"/>
        <title>
          <tx>
            <rich>
              <a:bodyPr/>
              <a:lstStyle/>
              <a:p>
                <a:pPr>
                  <a:defRPr/>
                </a:pPr>
                <a:r>
                  <a:rPr lang="en-US"/>
                  <a:t>Module</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a:lstStyle/>
              <a:p>
                <a:pPr>
                  <a:defRPr/>
                </a:pPr>
                <a:r>
                  <a:rPr lang="en-US"/>
                  <a:t>Number of Test Cases</a:t>
                </a:r>
              </a:p>
            </rich>
          </tx>
          <overlay val="1"/>
        </title>
        <numFmt formatCode="General" sourceLinked="1"/>
        <majorTickMark val="none"/>
        <minorTickMark val="none"/>
        <tickLblPos val="nextTo"/>
        <crossAx val="1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5400000" cy="2520000"/>
    <graphicFrame>
      <nvGraphicFramePr>
        <cNvPr id="1" name="Chart 1"/>
        <cNvGraphicFramePr/>
      </nvGraphicFramePr>
      <xfrm/>
      <a:graphic>
        <a:graphicData uri="http://schemas.openxmlformats.org/drawingml/2006/chart">
          <c:chart r:id="rId1"/>
        </a:graphicData>
      </a:graphic>
    </graphicFrame>
    <clientData/>
  </oneCellAnchor>
</wsDr>
</file>

<file path=xl/externalLinks/_rels/externalLink1.xml.rels><Relationships xmlns="http://schemas.openxmlformats.org/package/2006/relationships"><Relationship Type="http://schemas.openxmlformats.org/officeDocument/2006/relationships/externalLinkPath" Target="file:///C:\Users\aahmadkamar\Downloads\NGA_Batch1_QA_Test_Scenarios_and_Cases%204.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README"/>
      <sheetName val="Coverage Summary"/>
      <sheetName val="Test Scenarios"/>
      <sheetName val="Test Cases"/>
      <sheetName val="Open Questions"/>
      <sheetName val="Acct Dashboard Financing"/>
      <sheetName val="Acct Dashboard Non-Financing"/>
      <sheetName val="App Dashboard"/>
      <sheetName val="A&amp;A"/>
      <sheetName val="Local Transfer"/>
      <sheetName val="Scan &amp; pay"/>
    </sheetNames>
    <sheetDataSet>
      <sheetData sheetId="0"/>
      <sheetData sheetId="1">
        <row r="3">
          <cell r="C3" t="str">
            <v>Test Cases</v>
          </cell>
        </row>
        <row r="4">
          <cell r="A4" t="str">
            <v>Acct Dashboard Financing</v>
          </cell>
          <cell r="C4">
            <v>158</v>
          </cell>
        </row>
        <row r="5">
          <cell r="A5" t="str">
            <v>Acct Dashboard Non-Financing</v>
          </cell>
          <cell r="C5">
            <v>148</v>
          </cell>
        </row>
        <row r="6">
          <cell r="A6" t="str">
            <v>App Dashboard</v>
          </cell>
          <cell r="C6">
            <v>143</v>
          </cell>
        </row>
        <row r="7">
          <cell r="A7" t="str">
            <v>A&amp;A</v>
          </cell>
          <cell r="C7">
            <v>84</v>
          </cell>
        </row>
        <row r="8">
          <cell r="A8" t="str">
            <v>Local Transfer</v>
          </cell>
          <cell r="C8">
            <v>145</v>
          </cell>
        </row>
        <row r="9">
          <cell r="A9" t="str">
            <v>Scan &amp; pay</v>
          </cell>
          <cell r="C9">
            <v>122</v>
          </cell>
        </row>
      </sheetData>
      <sheetData sheetId="2">
        <row r="1">
          <cell r="B1" t="str">
            <v>Module</v>
          </cell>
        </row>
        <row r="2">
          <cell r="B2" t="str">
            <v>Acct Dashboard Financing</v>
          </cell>
        </row>
        <row r="3">
          <cell r="B3" t="str">
            <v>Acct Dashboard Financing</v>
          </cell>
        </row>
        <row r="4">
          <cell r="B4" t="str">
            <v>Acct Dashboard Financing</v>
          </cell>
        </row>
        <row r="5">
          <cell r="B5" t="str">
            <v>Acct Dashboard Financing</v>
          </cell>
        </row>
        <row r="6">
          <cell r="B6" t="str">
            <v>Acct Dashboard Financing</v>
          </cell>
        </row>
        <row r="7">
          <cell r="B7" t="str">
            <v>Acct Dashboard Financing</v>
          </cell>
        </row>
        <row r="8">
          <cell r="B8" t="str">
            <v>Acct Dashboard Financing</v>
          </cell>
        </row>
        <row r="9">
          <cell r="B9" t="str">
            <v>Acct Dashboard Financing</v>
          </cell>
        </row>
        <row r="10">
          <cell r="B10" t="str">
            <v>Acct Dashboard Financing</v>
          </cell>
        </row>
        <row r="11">
          <cell r="B11" t="str">
            <v>Acct Dashboard Financing</v>
          </cell>
        </row>
        <row r="12">
          <cell r="B12" t="str">
            <v>Acct Dashboard Financing</v>
          </cell>
        </row>
        <row r="13">
          <cell r="B13" t="str">
            <v>Acct Dashboard Financing</v>
          </cell>
        </row>
        <row r="14">
          <cell r="B14" t="str">
            <v>Acct Dashboard Financing</v>
          </cell>
        </row>
        <row r="15">
          <cell r="B15" t="str">
            <v>Acct Dashboard Financing</v>
          </cell>
        </row>
        <row r="16">
          <cell r="B16" t="str">
            <v>Acct Dashboard Financing</v>
          </cell>
        </row>
        <row r="17">
          <cell r="B17" t="str">
            <v>Acct Dashboard Financing</v>
          </cell>
        </row>
        <row r="18">
          <cell r="B18" t="str">
            <v>Acct Dashboard Financing</v>
          </cell>
        </row>
        <row r="19">
          <cell r="B19" t="str">
            <v>Acct Dashboard Financing</v>
          </cell>
        </row>
        <row r="20">
          <cell r="B20" t="str">
            <v>Acct Dashboard Financing</v>
          </cell>
        </row>
        <row r="21">
          <cell r="B21" t="str">
            <v>Acct Dashboard Financing</v>
          </cell>
        </row>
        <row r="22">
          <cell r="B22" t="str">
            <v>Acct Dashboard Financing</v>
          </cell>
        </row>
        <row r="23">
          <cell r="B23" t="str">
            <v>Acct Dashboard Financing</v>
          </cell>
        </row>
        <row r="24">
          <cell r="B24" t="str">
            <v>Acct Dashboard Financing</v>
          </cell>
        </row>
        <row r="25">
          <cell r="B25" t="str">
            <v>Acct Dashboard Financing</v>
          </cell>
        </row>
        <row r="26">
          <cell r="B26" t="str">
            <v>Acct Dashboard Financing</v>
          </cell>
        </row>
        <row r="27">
          <cell r="B27" t="str">
            <v>Acct Dashboard Financing</v>
          </cell>
        </row>
        <row r="28">
          <cell r="B28" t="str">
            <v>Acct Dashboard Financing</v>
          </cell>
        </row>
        <row r="29">
          <cell r="B29" t="str">
            <v>Acct Dashboard Financing</v>
          </cell>
        </row>
        <row r="30">
          <cell r="B30" t="str">
            <v>Acct Dashboard Financing</v>
          </cell>
        </row>
        <row r="31">
          <cell r="B31" t="str">
            <v>Acct Dashboard Financing</v>
          </cell>
        </row>
        <row r="32">
          <cell r="B32" t="str">
            <v>Acct Dashboard Financing</v>
          </cell>
        </row>
        <row r="33">
          <cell r="B33" t="str">
            <v>Acct Dashboard Financing</v>
          </cell>
        </row>
        <row r="34">
          <cell r="B34" t="str">
            <v>Acct Dashboard Financing</v>
          </cell>
        </row>
        <row r="35">
          <cell r="B35" t="str">
            <v>Acct Dashboard Financing</v>
          </cell>
        </row>
        <row r="36">
          <cell r="B36" t="str">
            <v>Acct Dashboard Financing</v>
          </cell>
        </row>
        <row r="37">
          <cell r="B37" t="str">
            <v>Acct Dashboard Financing</v>
          </cell>
        </row>
        <row r="38">
          <cell r="B38" t="str">
            <v>Acct Dashboard Financing</v>
          </cell>
        </row>
        <row r="39">
          <cell r="B39" t="str">
            <v>Acct Dashboard Financing</v>
          </cell>
        </row>
        <row r="40">
          <cell r="B40" t="str">
            <v>Acct Dashboard Financing</v>
          </cell>
        </row>
        <row r="41">
          <cell r="B41" t="str">
            <v>Acct Dashboard Financing</v>
          </cell>
        </row>
        <row r="42">
          <cell r="B42" t="str">
            <v>Acct Dashboard Financing</v>
          </cell>
        </row>
        <row r="43">
          <cell r="B43" t="str">
            <v>Acct Dashboard Financing</v>
          </cell>
        </row>
        <row r="44">
          <cell r="B44" t="str">
            <v>Acct Dashboard Financing</v>
          </cell>
        </row>
        <row r="45">
          <cell r="B45" t="str">
            <v>Acct Dashboard Financing</v>
          </cell>
        </row>
        <row r="46">
          <cell r="B46" t="str">
            <v>Acct Dashboard Financing</v>
          </cell>
        </row>
        <row r="47">
          <cell r="B47" t="str">
            <v>Acct Dashboard Financing</v>
          </cell>
        </row>
        <row r="48">
          <cell r="B48" t="str">
            <v>Acct Dashboard Financing</v>
          </cell>
        </row>
        <row r="49">
          <cell r="B49" t="str">
            <v>Acct Dashboard Financing</v>
          </cell>
        </row>
        <row r="50">
          <cell r="B50" t="str">
            <v>Acct Dashboard Financing</v>
          </cell>
        </row>
        <row r="51">
          <cell r="B51" t="str">
            <v>Acct Dashboard Financing</v>
          </cell>
        </row>
        <row r="52">
          <cell r="B52" t="str">
            <v>Acct Dashboard Financing</v>
          </cell>
        </row>
        <row r="53">
          <cell r="B53" t="str">
            <v>Acct Dashboard Financing</v>
          </cell>
        </row>
        <row r="54">
          <cell r="B54" t="str">
            <v>Acct Dashboard Financing</v>
          </cell>
        </row>
        <row r="55">
          <cell r="B55" t="str">
            <v>Acct Dashboard Financing</v>
          </cell>
        </row>
        <row r="56">
          <cell r="B56" t="str">
            <v>Acct Dashboard Financing</v>
          </cell>
        </row>
        <row r="57">
          <cell r="B57" t="str">
            <v>Acct Dashboard Financing</v>
          </cell>
        </row>
        <row r="58">
          <cell r="B58" t="str">
            <v>Acct Dashboard Financing</v>
          </cell>
        </row>
        <row r="59">
          <cell r="B59" t="str">
            <v>Acct Dashboard Financing</v>
          </cell>
        </row>
        <row r="60">
          <cell r="B60" t="str">
            <v>Acct Dashboard Financing</v>
          </cell>
        </row>
        <row r="61">
          <cell r="B61" t="str">
            <v>Acct Dashboard Financing</v>
          </cell>
        </row>
        <row r="62">
          <cell r="B62" t="str">
            <v>Acct Dashboard Financing</v>
          </cell>
        </row>
        <row r="63">
          <cell r="B63" t="str">
            <v>Acct Dashboard Financing</v>
          </cell>
        </row>
        <row r="64">
          <cell r="B64" t="str">
            <v>Acct Dashboard Financing</v>
          </cell>
        </row>
        <row r="65">
          <cell r="B65" t="str">
            <v>Acct Dashboard Financing</v>
          </cell>
        </row>
        <row r="66">
          <cell r="B66" t="str">
            <v>Acct Dashboard Financing</v>
          </cell>
        </row>
        <row r="67">
          <cell r="B67" t="str">
            <v>Acct Dashboard Financing</v>
          </cell>
        </row>
        <row r="68">
          <cell r="B68" t="str">
            <v>Acct Dashboard Financing</v>
          </cell>
        </row>
        <row r="69">
          <cell r="B69" t="str">
            <v>Acct Dashboard Financing</v>
          </cell>
        </row>
        <row r="70">
          <cell r="B70" t="str">
            <v>Acct Dashboard Financing</v>
          </cell>
        </row>
        <row r="71">
          <cell r="B71" t="str">
            <v>Acct Dashboard Financing</v>
          </cell>
        </row>
        <row r="72">
          <cell r="B72" t="str">
            <v>Acct Dashboard Financing</v>
          </cell>
        </row>
        <row r="73">
          <cell r="B73" t="str">
            <v>Acct Dashboard Financing</v>
          </cell>
        </row>
        <row r="74">
          <cell r="B74" t="str">
            <v>Acct Dashboard Financing</v>
          </cell>
        </row>
        <row r="75">
          <cell r="B75" t="str">
            <v>Acct Dashboard Financing</v>
          </cell>
        </row>
        <row r="76">
          <cell r="B76" t="str">
            <v>Acct Dashboard Financing</v>
          </cell>
        </row>
        <row r="77">
          <cell r="B77" t="str">
            <v>Acct Dashboard Financing</v>
          </cell>
        </row>
        <row r="78">
          <cell r="B78" t="str">
            <v>Acct Dashboard Financing</v>
          </cell>
        </row>
        <row r="79">
          <cell r="B79" t="str">
            <v>Acct Dashboard Financing</v>
          </cell>
        </row>
        <row r="80">
          <cell r="B80" t="str">
            <v>Acct Dashboard Financing</v>
          </cell>
        </row>
        <row r="81">
          <cell r="B81" t="str">
            <v>Acct Dashboard Financing</v>
          </cell>
        </row>
        <row r="82">
          <cell r="B82" t="str">
            <v>Acct Dashboard Financing</v>
          </cell>
        </row>
        <row r="83">
          <cell r="B83" t="str">
            <v>Acct Dashboard Financing</v>
          </cell>
        </row>
        <row r="84">
          <cell r="B84" t="str">
            <v>Acct Dashboard Financing</v>
          </cell>
        </row>
        <row r="85">
          <cell r="B85" t="str">
            <v>Acct Dashboard Financing</v>
          </cell>
        </row>
        <row r="86">
          <cell r="B86" t="str">
            <v>Acct Dashboard Financing</v>
          </cell>
        </row>
        <row r="87">
          <cell r="B87" t="str">
            <v>Acct Dashboard Financing</v>
          </cell>
        </row>
        <row r="88">
          <cell r="B88" t="str">
            <v>Acct Dashboard Financing</v>
          </cell>
        </row>
        <row r="89">
          <cell r="B89" t="str">
            <v>Acct Dashboard Financing</v>
          </cell>
        </row>
        <row r="90">
          <cell r="B90" t="str">
            <v>Acct Dashboard Financing</v>
          </cell>
        </row>
        <row r="91">
          <cell r="B91" t="str">
            <v>Acct Dashboard Financing</v>
          </cell>
        </row>
        <row r="92">
          <cell r="B92" t="str">
            <v>Acct Dashboard Financing</v>
          </cell>
        </row>
        <row r="93">
          <cell r="B93" t="str">
            <v>Acct Dashboard Financing</v>
          </cell>
        </row>
        <row r="94">
          <cell r="B94" t="str">
            <v>Acct Dashboard Financing</v>
          </cell>
        </row>
        <row r="95">
          <cell r="B95" t="str">
            <v>Acct Dashboard Financing</v>
          </cell>
        </row>
        <row r="96">
          <cell r="B96" t="str">
            <v>Acct Dashboard Financing</v>
          </cell>
        </row>
        <row r="97">
          <cell r="B97" t="str">
            <v>Acct Dashboard Financing</v>
          </cell>
        </row>
        <row r="98">
          <cell r="B98" t="str">
            <v>Acct Dashboard Financing</v>
          </cell>
        </row>
        <row r="99">
          <cell r="B99" t="str">
            <v>Acct Dashboard Financing</v>
          </cell>
        </row>
        <row r="100">
          <cell r="B100" t="str">
            <v>Acct Dashboard Financing</v>
          </cell>
        </row>
        <row r="101">
          <cell r="B101" t="str">
            <v>Acct Dashboard Financing</v>
          </cell>
        </row>
        <row r="102">
          <cell r="B102" t="str">
            <v>Acct Dashboard Financing</v>
          </cell>
        </row>
        <row r="103">
          <cell r="B103" t="str">
            <v>Acct Dashboard Financing</v>
          </cell>
        </row>
        <row r="104">
          <cell r="B104" t="str">
            <v>Acct Dashboard Financing</v>
          </cell>
        </row>
        <row r="105">
          <cell r="B105" t="str">
            <v>Acct Dashboard Financing</v>
          </cell>
        </row>
        <row r="106">
          <cell r="B106" t="str">
            <v>Acct Dashboard Financing</v>
          </cell>
        </row>
        <row r="107">
          <cell r="B107" t="str">
            <v>Acct Dashboard Financing</v>
          </cell>
        </row>
        <row r="108">
          <cell r="B108" t="str">
            <v>Acct Dashboard Financing</v>
          </cell>
        </row>
        <row r="109">
          <cell r="B109" t="str">
            <v>Acct Dashboard Financing</v>
          </cell>
        </row>
        <row r="110">
          <cell r="B110" t="str">
            <v>Acct Dashboard Financing</v>
          </cell>
        </row>
        <row r="111">
          <cell r="B111" t="str">
            <v>Acct Dashboard Financing</v>
          </cell>
        </row>
        <row r="112">
          <cell r="B112" t="str">
            <v>Acct Dashboard Financing</v>
          </cell>
        </row>
        <row r="113">
          <cell r="B113" t="str">
            <v>Acct Dashboard Financing</v>
          </cell>
        </row>
        <row r="114">
          <cell r="B114" t="str">
            <v>Acct Dashboard Financing</v>
          </cell>
        </row>
        <row r="115">
          <cell r="B115" t="str">
            <v>Acct Dashboard Financing</v>
          </cell>
        </row>
        <row r="116">
          <cell r="B116" t="str">
            <v>Acct Dashboard Financing</v>
          </cell>
        </row>
        <row r="117">
          <cell r="B117" t="str">
            <v>Acct Dashboard Financing</v>
          </cell>
        </row>
        <row r="118">
          <cell r="B118" t="str">
            <v>Acct Dashboard Financing</v>
          </cell>
        </row>
        <row r="119">
          <cell r="B119" t="str">
            <v>Acct Dashboard Financing</v>
          </cell>
        </row>
        <row r="120">
          <cell r="B120" t="str">
            <v>Acct Dashboard Financing</v>
          </cell>
        </row>
        <row r="121">
          <cell r="B121" t="str">
            <v>Acct Dashboard Financing</v>
          </cell>
        </row>
        <row r="122">
          <cell r="B122" t="str">
            <v>Acct Dashboard Financing</v>
          </cell>
        </row>
        <row r="123">
          <cell r="B123" t="str">
            <v>Acct Dashboard Financing</v>
          </cell>
        </row>
        <row r="124">
          <cell r="B124" t="str">
            <v>Acct Dashboard Financing</v>
          </cell>
        </row>
        <row r="125">
          <cell r="B125" t="str">
            <v>Acct Dashboard Financing</v>
          </cell>
        </row>
        <row r="126">
          <cell r="B126" t="str">
            <v>Acct Dashboard Financing</v>
          </cell>
        </row>
        <row r="127">
          <cell r="B127" t="str">
            <v>Acct Dashboard Financing</v>
          </cell>
        </row>
        <row r="128">
          <cell r="B128" t="str">
            <v>Acct Dashboard Financing</v>
          </cell>
        </row>
        <row r="129">
          <cell r="B129" t="str">
            <v>Acct Dashboard Financing</v>
          </cell>
        </row>
        <row r="130">
          <cell r="B130" t="str">
            <v>Acct Dashboard Financing</v>
          </cell>
        </row>
        <row r="131">
          <cell r="B131" t="str">
            <v>Acct Dashboard Financing</v>
          </cell>
        </row>
        <row r="132">
          <cell r="B132" t="str">
            <v>Acct Dashboard Financing</v>
          </cell>
        </row>
        <row r="133">
          <cell r="B133" t="str">
            <v>Acct Dashboard Financing</v>
          </cell>
        </row>
        <row r="134">
          <cell r="B134" t="str">
            <v>Acct Dashboard Financing</v>
          </cell>
        </row>
        <row r="135">
          <cell r="B135" t="str">
            <v>Acct Dashboard Financing</v>
          </cell>
        </row>
        <row r="136">
          <cell r="B136" t="str">
            <v>Acct Dashboard Non-Financing</v>
          </cell>
        </row>
        <row r="137">
          <cell r="B137" t="str">
            <v>Acct Dashboard Non-Financing</v>
          </cell>
        </row>
        <row r="138">
          <cell r="B138" t="str">
            <v>Acct Dashboard Non-Financing</v>
          </cell>
        </row>
        <row r="139">
          <cell r="B139" t="str">
            <v>Acct Dashboard Non-Financing</v>
          </cell>
        </row>
        <row r="140">
          <cell r="B140" t="str">
            <v>Acct Dashboard Non-Financing</v>
          </cell>
        </row>
        <row r="141">
          <cell r="B141" t="str">
            <v>Acct Dashboard Non-Financing</v>
          </cell>
        </row>
        <row r="142">
          <cell r="B142" t="str">
            <v>Acct Dashboard Non-Financing</v>
          </cell>
        </row>
        <row r="143">
          <cell r="B143" t="str">
            <v>Acct Dashboard Non-Financing</v>
          </cell>
        </row>
        <row r="144">
          <cell r="B144" t="str">
            <v>Acct Dashboard Non-Financing</v>
          </cell>
        </row>
        <row r="145">
          <cell r="B145" t="str">
            <v>Acct Dashboard Non-Financing</v>
          </cell>
        </row>
        <row r="146">
          <cell r="B146" t="str">
            <v>Acct Dashboard Non-Financing</v>
          </cell>
        </row>
        <row r="147">
          <cell r="B147" t="str">
            <v>Acct Dashboard Non-Financing</v>
          </cell>
        </row>
        <row r="148">
          <cell r="B148" t="str">
            <v>Acct Dashboard Non-Financing</v>
          </cell>
        </row>
        <row r="149">
          <cell r="B149" t="str">
            <v>Acct Dashboard Non-Financing</v>
          </cell>
        </row>
        <row r="150">
          <cell r="B150" t="str">
            <v>Acct Dashboard Non-Financing</v>
          </cell>
        </row>
        <row r="151">
          <cell r="B151" t="str">
            <v>Acct Dashboard Non-Financing</v>
          </cell>
        </row>
        <row r="152">
          <cell r="B152" t="str">
            <v>Acct Dashboard Non-Financing</v>
          </cell>
        </row>
        <row r="153">
          <cell r="B153" t="str">
            <v>Acct Dashboard Non-Financing</v>
          </cell>
        </row>
        <row r="154">
          <cell r="B154" t="str">
            <v>Acct Dashboard Non-Financing</v>
          </cell>
        </row>
        <row r="155">
          <cell r="B155" t="str">
            <v>Acct Dashboard Non-Financing</v>
          </cell>
        </row>
        <row r="156">
          <cell r="B156" t="str">
            <v>Acct Dashboard Non-Financing</v>
          </cell>
        </row>
        <row r="157">
          <cell r="B157" t="str">
            <v>Acct Dashboard Non-Financing</v>
          </cell>
        </row>
        <row r="158">
          <cell r="B158" t="str">
            <v>Acct Dashboard Non-Financing</v>
          </cell>
        </row>
        <row r="159">
          <cell r="B159" t="str">
            <v>Acct Dashboard Non-Financing</v>
          </cell>
        </row>
        <row r="160">
          <cell r="B160" t="str">
            <v>Acct Dashboard Non-Financing</v>
          </cell>
        </row>
        <row r="161">
          <cell r="B161" t="str">
            <v>Acct Dashboard Non-Financing</v>
          </cell>
        </row>
        <row r="162">
          <cell r="B162" t="str">
            <v>Acct Dashboard Non-Financing</v>
          </cell>
        </row>
        <row r="163">
          <cell r="B163" t="str">
            <v>Acct Dashboard Non-Financing</v>
          </cell>
        </row>
        <row r="164">
          <cell r="B164" t="str">
            <v>Acct Dashboard Non-Financing</v>
          </cell>
        </row>
        <row r="165">
          <cell r="B165" t="str">
            <v>Acct Dashboard Non-Financing</v>
          </cell>
        </row>
        <row r="166">
          <cell r="B166" t="str">
            <v>Acct Dashboard Non-Financing</v>
          </cell>
        </row>
        <row r="167">
          <cell r="B167" t="str">
            <v>Acct Dashboard Non-Financing</v>
          </cell>
        </row>
        <row r="168">
          <cell r="B168" t="str">
            <v>Acct Dashboard Non-Financing</v>
          </cell>
        </row>
        <row r="169">
          <cell r="B169" t="str">
            <v>Acct Dashboard Non-Financing</v>
          </cell>
        </row>
        <row r="170">
          <cell r="B170" t="str">
            <v>Acct Dashboard Non-Financing</v>
          </cell>
        </row>
        <row r="171">
          <cell r="B171" t="str">
            <v>Acct Dashboard Non-Financing</v>
          </cell>
        </row>
        <row r="172">
          <cell r="B172" t="str">
            <v>Acct Dashboard Non-Financing</v>
          </cell>
        </row>
        <row r="173">
          <cell r="B173" t="str">
            <v>Acct Dashboard Non-Financing</v>
          </cell>
        </row>
        <row r="174">
          <cell r="B174" t="str">
            <v>Acct Dashboard Non-Financing</v>
          </cell>
        </row>
        <row r="175">
          <cell r="B175" t="str">
            <v>Acct Dashboard Non-Financing</v>
          </cell>
        </row>
        <row r="176">
          <cell r="B176" t="str">
            <v>Acct Dashboard Non-Financing</v>
          </cell>
        </row>
        <row r="177">
          <cell r="B177" t="str">
            <v>Acct Dashboard Non-Financing</v>
          </cell>
        </row>
        <row r="178">
          <cell r="B178" t="str">
            <v>Acct Dashboard Non-Financing</v>
          </cell>
        </row>
        <row r="179">
          <cell r="B179" t="str">
            <v>Acct Dashboard Non-Financing</v>
          </cell>
        </row>
        <row r="180">
          <cell r="B180" t="str">
            <v>Acct Dashboard Non-Financing</v>
          </cell>
        </row>
        <row r="181">
          <cell r="B181" t="str">
            <v>Acct Dashboard Non-Financing</v>
          </cell>
        </row>
        <row r="182">
          <cell r="B182" t="str">
            <v>Acct Dashboard Non-Financing</v>
          </cell>
        </row>
        <row r="183">
          <cell r="B183" t="str">
            <v>Acct Dashboard Non-Financing</v>
          </cell>
        </row>
        <row r="184">
          <cell r="B184" t="str">
            <v>Acct Dashboard Non-Financing</v>
          </cell>
        </row>
        <row r="185">
          <cell r="B185" t="str">
            <v>Acct Dashboard Non-Financing</v>
          </cell>
        </row>
        <row r="186">
          <cell r="B186" t="str">
            <v>Acct Dashboard Non-Financing</v>
          </cell>
        </row>
        <row r="187">
          <cell r="B187" t="str">
            <v>Acct Dashboard Non-Financing</v>
          </cell>
        </row>
        <row r="188">
          <cell r="B188" t="str">
            <v>Acct Dashboard Non-Financing</v>
          </cell>
        </row>
        <row r="189">
          <cell r="B189" t="str">
            <v>Acct Dashboard Non-Financing</v>
          </cell>
        </row>
        <row r="190">
          <cell r="B190" t="str">
            <v>Acct Dashboard Non-Financing</v>
          </cell>
        </row>
        <row r="191">
          <cell r="B191" t="str">
            <v>Acct Dashboard Non-Financing</v>
          </cell>
        </row>
        <row r="192">
          <cell r="B192" t="str">
            <v>Acct Dashboard Non-Financing</v>
          </cell>
        </row>
        <row r="193">
          <cell r="B193" t="str">
            <v>Acct Dashboard Non-Financing</v>
          </cell>
        </row>
        <row r="194">
          <cell r="B194" t="str">
            <v>Acct Dashboard Non-Financing</v>
          </cell>
        </row>
        <row r="195">
          <cell r="B195" t="str">
            <v>Acct Dashboard Non-Financing</v>
          </cell>
        </row>
        <row r="196">
          <cell r="B196" t="str">
            <v>Acct Dashboard Non-Financing</v>
          </cell>
        </row>
        <row r="197">
          <cell r="B197" t="str">
            <v>Acct Dashboard Non-Financing</v>
          </cell>
        </row>
        <row r="198">
          <cell r="B198" t="str">
            <v>Acct Dashboard Non-Financing</v>
          </cell>
        </row>
        <row r="199">
          <cell r="B199" t="str">
            <v>Acct Dashboard Non-Financing</v>
          </cell>
        </row>
        <row r="200">
          <cell r="B200" t="str">
            <v>Acct Dashboard Non-Financing</v>
          </cell>
        </row>
        <row r="201">
          <cell r="B201" t="str">
            <v>Acct Dashboard Non-Financing</v>
          </cell>
        </row>
        <row r="202">
          <cell r="B202" t="str">
            <v>Acct Dashboard Non-Financing</v>
          </cell>
        </row>
        <row r="203">
          <cell r="B203" t="str">
            <v>Acct Dashboard Non-Financing</v>
          </cell>
        </row>
        <row r="204">
          <cell r="B204" t="str">
            <v>Acct Dashboard Non-Financing</v>
          </cell>
        </row>
        <row r="205">
          <cell r="B205" t="str">
            <v>Acct Dashboard Non-Financing</v>
          </cell>
        </row>
        <row r="206">
          <cell r="B206" t="str">
            <v>Acct Dashboard Non-Financing</v>
          </cell>
        </row>
        <row r="207">
          <cell r="B207" t="str">
            <v>Acct Dashboard Non-Financing</v>
          </cell>
        </row>
        <row r="208">
          <cell r="B208" t="str">
            <v>Acct Dashboard Non-Financing</v>
          </cell>
        </row>
        <row r="209">
          <cell r="B209" t="str">
            <v>Acct Dashboard Non-Financing</v>
          </cell>
        </row>
        <row r="210">
          <cell r="B210" t="str">
            <v>Acct Dashboard Non-Financing</v>
          </cell>
        </row>
        <row r="211">
          <cell r="B211" t="str">
            <v>Acct Dashboard Non-Financing</v>
          </cell>
        </row>
        <row r="212">
          <cell r="B212" t="str">
            <v>Acct Dashboard Non-Financing</v>
          </cell>
        </row>
        <row r="213">
          <cell r="B213" t="str">
            <v>Acct Dashboard Non-Financing</v>
          </cell>
        </row>
        <row r="214">
          <cell r="B214" t="str">
            <v>Acct Dashboard Non-Financing</v>
          </cell>
        </row>
        <row r="215">
          <cell r="B215" t="str">
            <v>Acct Dashboard Non-Financing</v>
          </cell>
        </row>
        <row r="216">
          <cell r="B216" t="str">
            <v>Acct Dashboard Non-Financing</v>
          </cell>
        </row>
        <row r="217">
          <cell r="B217" t="str">
            <v>Acct Dashboard Non-Financing</v>
          </cell>
        </row>
        <row r="218">
          <cell r="B218" t="str">
            <v>Acct Dashboard Non-Financing</v>
          </cell>
        </row>
        <row r="219">
          <cell r="B219" t="str">
            <v>Acct Dashboard Non-Financing</v>
          </cell>
        </row>
        <row r="220">
          <cell r="B220" t="str">
            <v>Acct Dashboard Non-Financing</v>
          </cell>
        </row>
        <row r="221">
          <cell r="B221" t="str">
            <v>Acct Dashboard Non-Financing</v>
          </cell>
        </row>
        <row r="222">
          <cell r="B222" t="str">
            <v>Acct Dashboard Non-Financing</v>
          </cell>
        </row>
        <row r="223">
          <cell r="B223" t="str">
            <v>Acct Dashboard Non-Financing</v>
          </cell>
        </row>
        <row r="224">
          <cell r="B224" t="str">
            <v>Acct Dashboard Non-Financing</v>
          </cell>
        </row>
        <row r="225">
          <cell r="B225" t="str">
            <v>Acct Dashboard Non-Financing</v>
          </cell>
        </row>
        <row r="226">
          <cell r="B226" t="str">
            <v>Acct Dashboard Non-Financing</v>
          </cell>
        </row>
        <row r="227">
          <cell r="B227" t="str">
            <v>Acct Dashboard Non-Financing</v>
          </cell>
        </row>
        <row r="228">
          <cell r="B228" t="str">
            <v>Acct Dashboard Non-Financing</v>
          </cell>
        </row>
        <row r="229">
          <cell r="B229" t="str">
            <v>Acct Dashboard Non-Financing</v>
          </cell>
        </row>
        <row r="230">
          <cell r="B230" t="str">
            <v>Acct Dashboard Non-Financing</v>
          </cell>
        </row>
        <row r="231">
          <cell r="B231" t="str">
            <v>Acct Dashboard Non-Financing</v>
          </cell>
        </row>
        <row r="232">
          <cell r="B232" t="str">
            <v>Acct Dashboard Non-Financing</v>
          </cell>
        </row>
        <row r="233">
          <cell r="B233" t="str">
            <v>Acct Dashboard Non-Financing</v>
          </cell>
        </row>
        <row r="234">
          <cell r="B234" t="str">
            <v>Acct Dashboard Non-Financing</v>
          </cell>
        </row>
        <row r="235">
          <cell r="B235" t="str">
            <v>Acct Dashboard Non-Financing</v>
          </cell>
        </row>
        <row r="236">
          <cell r="B236" t="str">
            <v>Acct Dashboard Non-Financing</v>
          </cell>
        </row>
        <row r="237">
          <cell r="B237" t="str">
            <v>Acct Dashboard Non-Financing</v>
          </cell>
        </row>
        <row r="238">
          <cell r="B238" t="str">
            <v>Acct Dashboard Non-Financing</v>
          </cell>
        </row>
        <row r="239">
          <cell r="B239" t="str">
            <v>Acct Dashboard Non-Financing</v>
          </cell>
        </row>
        <row r="240">
          <cell r="B240" t="str">
            <v>Acct Dashboard Non-Financing</v>
          </cell>
        </row>
        <row r="241">
          <cell r="B241" t="str">
            <v>Acct Dashboard Non-Financing</v>
          </cell>
        </row>
        <row r="242">
          <cell r="B242" t="str">
            <v>Acct Dashboard Non-Financing</v>
          </cell>
        </row>
        <row r="243">
          <cell r="B243" t="str">
            <v>Acct Dashboard Non-Financing</v>
          </cell>
        </row>
        <row r="244">
          <cell r="B244" t="str">
            <v>Acct Dashboard Non-Financing</v>
          </cell>
        </row>
        <row r="245">
          <cell r="B245" t="str">
            <v>Acct Dashboard Non-Financing</v>
          </cell>
        </row>
        <row r="246">
          <cell r="B246" t="str">
            <v>Acct Dashboard Non-Financing</v>
          </cell>
        </row>
        <row r="247">
          <cell r="B247" t="str">
            <v>Acct Dashboard Non-Financing</v>
          </cell>
        </row>
        <row r="248">
          <cell r="B248" t="str">
            <v>Acct Dashboard Non-Financing</v>
          </cell>
        </row>
        <row r="249">
          <cell r="B249" t="str">
            <v>Acct Dashboard Non-Financing</v>
          </cell>
        </row>
        <row r="250">
          <cell r="B250" t="str">
            <v>Acct Dashboard Non-Financing</v>
          </cell>
        </row>
        <row r="251">
          <cell r="B251" t="str">
            <v>Acct Dashboard Non-Financing</v>
          </cell>
        </row>
        <row r="252">
          <cell r="B252" t="str">
            <v>Acct Dashboard Non-Financing</v>
          </cell>
        </row>
        <row r="253">
          <cell r="B253" t="str">
            <v>Acct Dashboard Non-Financing</v>
          </cell>
        </row>
        <row r="254">
          <cell r="B254" t="str">
            <v>Acct Dashboard Non-Financing</v>
          </cell>
        </row>
        <row r="255">
          <cell r="B255" t="str">
            <v>Acct Dashboard Non-Financing</v>
          </cell>
        </row>
        <row r="256">
          <cell r="B256" t="str">
            <v>Acct Dashboard Non-Financing</v>
          </cell>
        </row>
        <row r="257">
          <cell r="B257" t="str">
            <v>App Dashboard</v>
          </cell>
        </row>
        <row r="258">
          <cell r="B258" t="str">
            <v>App Dashboard</v>
          </cell>
        </row>
        <row r="259">
          <cell r="B259" t="str">
            <v>App Dashboard</v>
          </cell>
        </row>
        <row r="260">
          <cell r="B260" t="str">
            <v>App Dashboard</v>
          </cell>
        </row>
        <row r="261">
          <cell r="B261" t="str">
            <v>App Dashboard</v>
          </cell>
        </row>
        <row r="262">
          <cell r="B262" t="str">
            <v>App Dashboard</v>
          </cell>
        </row>
        <row r="263">
          <cell r="B263" t="str">
            <v>App Dashboard</v>
          </cell>
        </row>
        <row r="264">
          <cell r="B264" t="str">
            <v>App Dashboard</v>
          </cell>
        </row>
        <row r="265">
          <cell r="B265" t="str">
            <v>App Dashboard</v>
          </cell>
        </row>
        <row r="266">
          <cell r="B266" t="str">
            <v>App Dashboard</v>
          </cell>
        </row>
        <row r="267">
          <cell r="B267" t="str">
            <v>App Dashboard</v>
          </cell>
        </row>
        <row r="268">
          <cell r="B268" t="str">
            <v>App Dashboard</v>
          </cell>
        </row>
        <row r="269">
          <cell r="B269" t="str">
            <v>App Dashboard</v>
          </cell>
        </row>
        <row r="270">
          <cell r="B270" t="str">
            <v>App Dashboard</v>
          </cell>
        </row>
        <row r="271">
          <cell r="B271" t="str">
            <v>App Dashboard</v>
          </cell>
        </row>
        <row r="272">
          <cell r="B272" t="str">
            <v>App Dashboard</v>
          </cell>
        </row>
        <row r="273">
          <cell r="B273" t="str">
            <v>App Dashboard</v>
          </cell>
        </row>
        <row r="274">
          <cell r="B274" t="str">
            <v>App Dashboard</v>
          </cell>
        </row>
        <row r="275">
          <cell r="B275" t="str">
            <v>App Dashboard</v>
          </cell>
        </row>
        <row r="276">
          <cell r="B276" t="str">
            <v>App Dashboard</v>
          </cell>
        </row>
        <row r="277">
          <cell r="B277" t="str">
            <v>App Dashboard</v>
          </cell>
        </row>
        <row r="278">
          <cell r="B278" t="str">
            <v>App Dashboard</v>
          </cell>
        </row>
        <row r="279">
          <cell r="B279" t="str">
            <v>App Dashboard</v>
          </cell>
        </row>
        <row r="280">
          <cell r="B280" t="str">
            <v>App Dashboard</v>
          </cell>
        </row>
        <row r="281">
          <cell r="B281" t="str">
            <v>App Dashboard</v>
          </cell>
        </row>
        <row r="282">
          <cell r="B282" t="str">
            <v>App Dashboard</v>
          </cell>
        </row>
        <row r="283">
          <cell r="B283" t="str">
            <v>App Dashboard</v>
          </cell>
        </row>
        <row r="284">
          <cell r="B284" t="str">
            <v>App Dashboard</v>
          </cell>
        </row>
        <row r="285">
          <cell r="B285" t="str">
            <v>App Dashboard</v>
          </cell>
        </row>
        <row r="286">
          <cell r="B286" t="str">
            <v>App Dashboard</v>
          </cell>
        </row>
        <row r="287">
          <cell r="B287" t="str">
            <v>App Dashboard</v>
          </cell>
        </row>
        <row r="288">
          <cell r="B288" t="str">
            <v>App Dashboard</v>
          </cell>
        </row>
        <row r="289">
          <cell r="B289" t="str">
            <v>App Dashboard</v>
          </cell>
        </row>
        <row r="290">
          <cell r="B290" t="str">
            <v>App Dashboard</v>
          </cell>
        </row>
        <row r="291">
          <cell r="B291" t="str">
            <v>App Dashboard</v>
          </cell>
        </row>
        <row r="292">
          <cell r="B292" t="str">
            <v>App Dashboard</v>
          </cell>
        </row>
        <row r="293">
          <cell r="B293" t="str">
            <v>App Dashboard</v>
          </cell>
        </row>
        <row r="294">
          <cell r="B294" t="str">
            <v>App Dashboard</v>
          </cell>
        </row>
        <row r="295">
          <cell r="B295" t="str">
            <v>App Dashboard</v>
          </cell>
        </row>
        <row r="296">
          <cell r="B296" t="str">
            <v>App Dashboard</v>
          </cell>
        </row>
        <row r="297">
          <cell r="B297" t="str">
            <v>App Dashboard</v>
          </cell>
        </row>
        <row r="298">
          <cell r="B298" t="str">
            <v>App Dashboard</v>
          </cell>
        </row>
        <row r="299">
          <cell r="B299" t="str">
            <v>App Dashboard</v>
          </cell>
        </row>
        <row r="300">
          <cell r="B300" t="str">
            <v>App Dashboard</v>
          </cell>
        </row>
        <row r="301">
          <cell r="B301" t="str">
            <v>App Dashboard</v>
          </cell>
        </row>
        <row r="302">
          <cell r="B302" t="str">
            <v>App Dashboard</v>
          </cell>
        </row>
        <row r="303">
          <cell r="B303" t="str">
            <v>App Dashboard</v>
          </cell>
        </row>
        <row r="304">
          <cell r="B304" t="str">
            <v>App Dashboard</v>
          </cell>
        </row>
        <row r="305">
          <cell r="B305" t="str">
            <v>App Dashboard</v>
          </cell>
        </row>
        <row r="306">
          <cell r="B306" t="str">
            <v>App Dashboard</v>
          </cell>
        </row>
        <row r="307">
          <cell r="B307" t="str">
            <v>App Dashboard</v>
          </cell>
        </row>
        <row r="308">
          <cell r="B308" t="str">
            <v>App Dashboard</v>
          </cell>
        </row>
        <row r="309">
          <cell r="B309" t="str">
            <v>App Dashboard</v>
          </cell>
        </row>
        <row r="310">
          <cell r="B310" t="str">
            <v>App Dashboard</v>
          </cell>
        </row>
        <row r="311">
          <cell r="B311" t="str">
            <v>App Dashboard</v>
          </cell>
        </row>
        <row r="312">
          <cell r="B312" t="str">
            <v>App Dashboard</v>
          </cell>
        </row>
        <row r="313">
          <cell r="B313" t="str">
            <v>App Dashboard</v>
          </cell>
        </row>
        <row r="314">
          <cell r="B314" t="str">
            <v>App Dashboard</v>
          </cell>
        </row>
        <row r="315">
          <cell r="B315" t="str">
            <v>App Dashboard</v>
          </cell>
        </row>
        <row r="316">
          <cell r="B316" t="str">
            <v>App Dashboard</v>
          </cell>
        </row>
        <row r="317">
          <cell r="B317" t="str">
            <v>App Dashboard</v>
          </cell>
        </row>
        <row r="318">
          <cell r="B318" t="str">
            <v>App Dashboard</v>
          </cell>
        </row>
        <row r="319">
          <cell r="B319" t="str">
            <v>App Dashboard</v>
          </cell>
        </row>
        <row r="320">
          <cell r="B320" t="str">
            <v>App Dashboard</v>
          </cell>
        </row>
        <row r="321">
          <cell r="B321" t="str">
            <v>App Dashboard</v>
          </cell>
        </row>
        <row r="322">
          <cell r="B322" t="str">
            <v>App Dashboard</v>
          </cell>
        </row>
        <row r="323">
          <cell r="B323" t="str">
            <v>App Dashboard</v>
          </cell>
        </row>
        <row r="324">
          <cell r="B324" t="str">
            <v>App Dashboard</v>
          </cell>
        </row>
        <row r="325">
          <cell r="B325" t="str">
            <v>App Dashboard</v>
          </cell>
        </row>
        <row r="326">
          <cell r="B326" t="str">
            <v>App Dashboard</v>
          </cell>
        </row>
        <row r="327">
          <cell r="B327" t="str">
            <v>App Dashboard</v>
          </cell>
        </row>
        <row r="328">
          <cell r="B328" t="str">
            <v>App Dashboard</v>
          </cell>
        </row>
        <row r="329">
          <cell r="B329" t="str">
            <v>App Dashboard</v>
          </cell>
        </row>
        <row r="330">
          <cell r="B330" t="str">
            <v>App Dashboard</v>
          </cell>
        </row>
        <row r="331">
          <cell r="B331" t="str">
            <v>App Dashboard</v>
          </cell>
        </row>
        <row r="332">
          <cell r="B332" t="str">
            <v>App Dashboard</v>
          </cell>
        </row>
        <row r="333">
          <cell r="B333" t="str">
            <v>App Dashboard</v>
          </cell>
        </row>
        <row r="334">
          <cell r="B334" t="str">
            <v>App Dashboard</v>
          </cell>
        </row>
        <row r="335">
          <cell r="B335" t="str">
            <v>App Dashboard</v>
          </cell>
        </row>
        <row r="336">
          <cell r="B336" t="str">
            <v>App Dashboard</v>
          </cell>
        </row>
        <row r="337">
          <cell r="B337" t="str">
            <v>App Dashboard</v>
          </cell>
        </row>
        <row r="338">
          <cell r="B338" t="str">
            <v>App Dashboard</v>
          </cell>
        </row>
        <row r="339">
          <cell r="B339" t="str">
            <v>App Dashboard</v>
          </cell>
        </row>
        <row r="340">
          <cell r="B340" t="str">
            <v>App Dashboard</v>
          </cell>
        </row>
        <row r="341">
          <cell r="B341" t="str">
            <v>App Dashboard</v>
          </cell>
        </row>
        <row r="342">
          <cell r="B342" t="str">
            <v>App Dashboard</v>
          </cell>
        </row>
        <row r="343">
          <cell r="B343" t="str">
            <v>App Dashboard</v>
          </cell>
        </row>
        <row r="344">
          <cell r="B344" t="str">
            <v>App Dashboard</v>
          </cell>
        </row>
        <row r="345">
          <cell r="B345" t="str">
            <v>App Dashboard</v>
          </cell>
        </row>
        <row r="346">
          <cell r="B346" t="str">
            <v>App Dashboard</v>
          </cell>
        </row>
        <row r="347">
          <cell r="B347" t="str">
            <v>App Dashboard</v>
          </cell>
        </row>
        <row r="348">
          <cell r="B348" t="str">
            <v>App Dashboard</v>
          </cell>
        </row>
        <row r="349">
          <cell r="B349" t="str">
            <v>App Dashboard</v>
          </cell>
        </row>
        <row r="350">
          <cell r="B350" t="str">
            <v>App Dashboard</v>
          </cell>
        </row>
        <row r="351">
          <cell r="B351" t="str">
            <v>App Dashboard</v>
          </cell>
        </row>
        <row r="352">
          <cell r="B352" t="str">
            <v>App Dashboard</v>
          </cell>
        </row>
        <row r="353">
          <cell r="B353" t="str">
            <v>App Dashboard</v>
          </cell>
        </row>
        <row r="354">
          <cell r="B354" t="str">
            <v>App Dashboard</v>
          </cell>
        </row>
        <row r="355">
          <cell r="B355" t="str">
            <v>App Dashboard</v>
          </cell>
        </row>
        <row r="356">
          <cell r="B356" t="str">
            <v>App Dashboard</v>
          </cell>
        </row>
        <row r="357">
          <cell r="B357" t="str">
            <v>App Dashboard</v>
          </cell>
        </row>
        <row r="358">
          <cell r="B358" t="str">
            <v>App Dashboard</v>
          </cell>
        </row>
        <row r="359">
          <cell r="B359" t="str">
            <v>App Dashboard</v>
          </cell>
        </row>
        <row r="360">
          <cell r="B360" t="str">
            <v>App Dashboard</v>
          </cell>
        </row>
        <row r="361">
          <cell r="B361" t="str">
            <v>App Dashboard</v>
          </cell>
        </row>
        <row r="362">
          <cell r="B362" t="str">
            <v>App Dashboard</v>
          </cell>
        </row>
        <row r="363">
          <cell r="B363" t="str">
            <v>App Dashboard</v>
          </cell>
        </row>
        <row r="364">
          <cell r="B364" t="str">
            <v>App Dashboard</v>
          </cell>
        </row>
        <row r="365">
          <cell r="B365" t="str">
            <v>App Dashboard</v>
          </cell>
        </row>
        <row r="366">
          <cell r="B366" t="str">
            <v>App Dashboard</v>
          </cell>
        </row>
        <row r="367">
          <cell r="B367" t="str">
            <v>App Dashboard</v>
          </cell>
        </row>
        <row r="368">
          <cell r="B368" t="str">
            <v>App Dashboard</v>
          </cell>
        </row>
        <row r="369">
          <cell r="B369" t="str">
            <v>App Dashboard</v>
          </cell>
        </row>
        <row r="370">
          <cell r="B370" t="str">
            <v>A&amp;A</v>
          </cell>
        </row>
        <row r="371">
          <cell r="B371" t="str">
            <v>A&amp;A</v>
          </cell>
        </row>
        <row r="372">
          <cell r="B372" t="str">
            <v>A&amp;A</v>
          </cell>
        </row>
        <row r="373">
          <cell r="B373" t="str">
            <v>A&amp;A</v>
          </cell>
        </row>
        <row r="374">
          <cell r="B374" t="str">
            <v>A&amp;A</v>
          </cell>
        </row>
        <row r="375">
          <cell r="B375" t="str">
            <v>A&amp;A</v>
          </cell>
        </row>
        <row r="376">
          <cell r="B376" t="str">
            <v>A&amp;A</v>
          </cell>
        </row>
        <row r="377">
          <cell r="B377" t="str">
            <v>A&amp;A</v>
          </cell>
        </row>
        <row r="378">
          <cell r="B378" t="str">
            <v>A&amp;A</v>
          </cell>
        </row>
        <row r="379">
          <cell r="B379" t="str">
            <v>A&amp;A</v>
          </cell>
        </row>
        <row r="380">
          <cell r="B380" t="str">
            <v>A&amp;A</v>
          </cell>
        </row>
        <row r="381">
          <cell r="B381" t="str">
            <v>A&amp;A</v>
          </cell>
        </row>
        <row r="382">
          <cell r="B382" t="str">
            <v>A&amp;A</v>
          </cell>
        </row>
        <row r="383">
          <cell r="B383" t="str">
            <v>A&amp;A</v>
          </cell>
        </row>
        <row r="384">
          <cell r="B384" t="str">
            <v>A&amp;A</v>
          </cell>
        </row>
        <row r="385">
          <cell r="B385" t="str">
            <v>A&amp;A</v>
          </cell>
        </row>
        <row r="386">
          <cell r="B386" t="str">
            <v>A&amp;A</v>
          </cell>
        </row>
        <row r="387">
          <cell r="B387" t="str">
            <v>A&amp;A</v>
          </cell>
        </row>
        <row r="388">
          <cell r="B388" t="str">
            <v>A&amp;A</v>
          </cell>
        </row>
        <row r="389">
          <cell r="B389" t="str">
            <v>A&amp;A</v>
          </cell>
        </row>
        <row r="390">
          <cell r="B390" t="str">
            <v>A&amp;A</v>
          </cell>
        </row>
        <row r="391">
          <cell r="B391" t="str">
            <v>A&amp;A</v>
          </cell>
        </row>
        <row r="392">
          <cell r="B392" t="str">
            <v>A&amp;A</v>
          </cell>
        </row>
        <row r="393">
          <cell r="B393" t="str">
            <v>A&amp;A</v>
          </cell>
        </row>
        <row r="394">
          <cell r="B394" t="str">
            <v>A&amp;A</v>
          </cell>
        </row>
        <row r="395">
          <cell r="B395" t="str">
            <v>A&amp;A</v>
          </cell>
        </row>
        <row r="396">
          <cell r="B396" t="str">
            <v>A&amp;A</v>
          </cell>
        </row>
        <row r="397">
          <cell r="B397" t="str">
            <v>A&amp;A</v>
          </cell>
        </row>
        <row r="398">
          <cell r="B398" t="str">
            <v>A&amp;A</v>
          </cell>
        </row>
        <row r="399">
          <cell r="B399" t="str">
            <v>A&amp;A</v>
          </cell>
        </row>
        <row r="400">
          <cell r="B400" t="str">
            <v>A&amp;A</v>
          </cell>
        </row>
        <row r="401">
          <cell r="B401" t="str">
            <v>A&amp;A</v>
          </cell>
        </row>
        <row r="402">
          <cell r="B402" t="str">
            <v>A&amp;A</v>
          </cell>
        </row>
        <row r="403">
          <cell r="B403" t="str">
            <v>A&amp;A</v>
          </cell>
        </row>
        <row r="404">
          <cell r="B404" t="str">
            <v>A&amp;A</v>
          </cell>
        </row>
        <row r="405">
          <cell r="B405" t="str">
            <v>A&amp;A</v>
          </cell>
        </row>
        <row r="406">
          <cell r="B406" t="str">
            <v>A&amp;A</v>
          </cell>
        </row>
        <row r="407">
          <cell r="B407" t="str">
            <v>A&amp;A</v>
          </cell>
        </row>
        <row r="408">
          <cell r="B408" t="str">
            <v>A&amp;A</v>
          </cell>
        </row>
        <row r="409">
          <cell r="B409" t="str">
            <v>A&amp;A</v>
          </cell>
        </row>
        <row r="410">
          <cell r="B410" t="str">
            <v>A&amp;A</v>
          </cell>
        </row>
        <row r="411">
          <cell r="B411" t="str">
            <v>A&amp;A</v>
          </cell>
        </row>
        <row r="412">
          <cell r="B412" t="str">
            <v>A&amp;A</v>
          </cell>
        </row>
        <row r="413">
          <cell r="B413" t="str">
            <v>A&amp;A</v>
          </cell>
        </row>
        <row r="414">
          <cell r="B414" t="str">
            <v>A&amp;A</v>
          </cell>
        </row>
        <row r="415">
          <cell r="B415" t="str">
            <v>A&amp;A</v>
          </cell>
        </row>
        <row r="416">
          <cell r="B416" t="str">
            <v>A&amp;A</v>
          </cell>
        </row>
        <row r="417">
          <cell r="B417" t="str">
            <v>A&amp;A</v>
          </cell>
        </row>
        <row r="418">
          <cell r="B418" t="str">
            <v>A&amp;A</v>
          </cell>
        </row>
        <row r="419">
          <cell r="B419" t="str">
            <v>A&amp;A</v>
          </cell>
        </row>
        <row r="420">
          <cell r="B420" t="str">
            <v>A&amp;A</v>
          </cell>
        </row>
        <row r="421">
          <cell r="B421" t="str">
            <v>A&amp;A</v>
          </cell>
        </row>
        <row r="422">
          <cell r="B422" t="str">
            <v>A&amp;A</v>
          </cell>
        </row>
        <row r="423">
          <cell r="B423" t="str">
            <v>A&amp;A</v>
          </cell>
        </row>
        <row r="424">
          <cell r="B424" t="str">
            <v>A&amp;A</v>
          </cell>
        </row>
        <row r="425">
          <cell r="B425" t="str">
            <v>A&amp;A</v>
          </cell>
        </row>
        <row r="426">
          <cell r="B426" t="str">
            <v>A&amp;A</v>
          </cell>
        </row>
        <row r="427">
          <cell r="B427" t="str">
            <v>A&amp;A</v>
          </cell>
        </row>
        <row r="428">
          <cell r="B428" t="str">
            <v>A&amp;A</v>
          </cell>
        </row>
        <row r="429">
          <cell r="B429" t="str">
            <v>A&amp;A</v>
          </cell>
        </row>
        <row r="430">
          <cell r="B430" t="str">
            <v>A&amp;A</v>
          </cell>
        </row>
        <row r="431">
          <cell r="B431" t="str">
            <v>A&amp;A</v>
          </cell>
        </row>
        <row r="432">
          <cell r="B432" t="str">
            <v>A&amp;A</v>
          </cell>
        </row>
        <row r="433">
          <cell r="B433" t="str">
            <v>A&amp;A</v>
          </cell>
        </row>
        <row r="434">
          <cell r="B434" t="str">
            <v>Local Transfer</v>
          </cell>
        </row>
        <row r="435">
          <cell r="B435" t="str">
            <v>Local Transfer</v>
          </cell>
        </row>
        <row r="436">
          <cell r="B436" t="str">
            <v>Local Transfer</v>
          </cell>
        </row>
        <row r="437">
          <cell r="B437" t="str">
            <v>Local Transfer</v>
          </cell>
        </row>
        <row r="438">
          <cell r="B438" t="str">
            <v>Local Transfer</v>
          </cell>
        </row>
        <row r="439">
          <cell r="B439" t="str">
            <v>Local Transfer</v>
          </cell>
        </row>
        <row r="440">
          <cell r="B440" t="str">
            <v>Local Transfer</v>
          </cell>
        </row>
        <row r="441">
          <cell r="B441" t="str">
            <v>Local Transfer</v>
          </cell>
        </row>
        <row r="442">
          <cell r="B442" t="str">
            <v>Local Transfer</v>
          </cell>
        </row>
        <row r="443">
          <cell r="B443" t="str">
            <v>Local Transfer</v>
          </cell>
        </row>
        <row r="444">
          <cell r="B444" t="str">
            <v>Local Transfer</v>
          </cell>
        </row>
        <row r="445">
          <cell r="B445" t="str">
            <v>Local Transfer</v>
          </cell>
        </row>
        <row r="446">
          <cell r="B446" t="str">
            <v>Local Transfer</v>
          </cell>
        </row>
        <row r="447">
          <cell r="B447" t="str">
            <v>Local Transfer</v>
          </cell>
        </row>
        <row r="448">
          <cell r="B448" t="str">
            <v>Local Transfer</v>
          </cell>
        </row>
        <row r="449">
          <cell r="B449" t="str">
            <v>Local Transfer</v>
          </cell>
        </row>
        <row r="450">
          <cell r="B450" t="str">
            <v>Local Transfer</v>
          </cell>
        </row>
        <row r="451">
          <cell r="B451" t="str">
            <v>Local Transfer</v>
          </cell>
        </row>
        <row r="452">
          <cell r="B452" t="str">
            <v>Local Transfer</v>
          </cell>
        </row>
        <row r="453">
          <cell r="B453" t="str">
            <v>Local Transfer</v>
          </cell>
        </row>
        <row r="454">
          <cell r="B454" t="str">
            <v>Local Transfer</v>
          </cell>
        </row>
        <row r="455">
          <cell r="B455" t="str">
            <v>Local Transfer</v>
          </cell>
        </row>
        <row r="456">
          <cell r="B456" t="str">
            <v>Local Transfer</v>
          </cell>
        </row>
        <row r="457">
          <cell r="B457" t="str">
            <v>Local Transfer</v>
          </cell>
        </row>
        <row r="458">
          <cell r="B458" t="str">
            <v>Local Transfer</v>
          </cell>
        </row>
        <row r="459">
          <cell r="B459" t="str">
            <v>Local Transfer</v>
          </cell>
        </row>
        <row r="460">
          <cell r="B460" t="str">
            <v>Local Transfer</v>
          </cell>
        </row>
        <row r="461">
          <cell r="B461" t="str">
            <v>Local Transfer</v>
          </cell>
        </row>
        <row r="462">
          <cell r="B462" t="str">
            <v>Local Transfer</v>
          </cell>
        </row>
        <row r="463">
          <cell r="B463" t="str">
            <v>Local Transfer</v>
          </cell>
        </row>
        <row r="464">
          <cell r="B464" t="str">
            <v>Local Transfer</v>
          </cell>
        </row>
        <row r="465">
          <cell r="B465" t="str">
            <v>Local Transfer</v>
          </cell>
        </row>
        <row r="466">
          <cell r="B466" t="str">
            <v>Local Transfer</v>
          </cell>
        </row>
        <row r="467">
          <cell r="B467" t="str">
            <v>Local Transfer</v>
          </cell>
        </row>
        <row r="468">
          <cell r="B468" t="str">
            <v>Local Transfer</v>
          </cell>
        </row>
        <row r="469">
          <cell r="B469" t="str">
            <v>Local Transfer</v>
          </cell>
        </row>
        <row r="470">
          <cell r="B470" t="str">
            <v>Local Transfer</v>
          </cell>
        </row>
        <row r="471">
          <cell r="B471" t="str">
            <v>Local Transfer</v>
          </cell>
        </row>
        <row r="472">
          <cell r="B472" t="str">
            <v>Local Transfer</v>
          </cell>
        </row>
        <row r="473">
          <cell r="B473" t="str">
            <v>Local Transfer</v>
          </cell>
        </row>
        <row r="474">
          <cell r="B474" t="str">
            <v>Local Transfer</v>
          </cell>
        </row>
        <row r="475">
          <cell r="B475" t="str">
            <v>Local Transfer</v>
          </cell>
        </row>
        <row r="476">
          <cell r="B476" t="str">
            <v>Local Transfer</v>
          </cell>
        </row>
        <row r="477">
          <cell r="B477" t="str">
            <v>Local Transfer</v>
          </cell>
        </row>
        <row r="478">
          <cell r="B478" t="str">
            <v>Local Transfer</v>
          </cell>
        </row>
        <row r="479">
          <cell r="B479" t="str">
            <v>Local Transfer</v>
          </cell>
        </row>
        <row r="480">
          <cell r="B480" t="str">
            <v>Local Transfer</v>
          </cell>
        </row>
        <row r="481">
          <cell r="B481" t="str">
            <v>Local Transfer</v>
          </cell>
        </row>
        <row r="482">
          <cell r="B482" t="str">
            <v>Local Transfer</v>
          </cell>
        </row>
        <row r="483">
          <cell r="B483" t="str">
            <v>Local Transfer</v>
          </cell>
        </row>
        <row r="484">
          <cell r="B484" t="str">
            <v>Local Transfer</v>
          </cell>
        </row>
        <row r="485">
          <cell r="B485" t="str">
            <v>Local Transfer</v>
          </cell>
        </row>
        <row r="486">
          <cell r="B486" t="str">
            <v>Local Transfer</v>
          </cell>
        </row>
        <row r="487">
          <cell r="B487" t="str">
            <v>Local Transfer</v>
          </cell>
        </row>
        <row r="488">
          <cell r="B488" t="str">
            <v>Local Transfer</v>
          </cell>
        </row>
        <row r="489">
          <cell r="B489" t="str">
            <v>Local Transfer</v>
          </cell>
        </row>
        <row r="490">
          <cell r="B490" t="str">
            <v>Local Transfer</v>
          </cell>
        </row>
        <row r="491">
          <cell r="B491" t="str">
            <v>Local Transfer</v>
          </cell>
        </row>
        <row r="492">
          <cell r="B492" t="str">
            <v>Local Transfer</v>
          </cell>
        </row>
        <row r="493">
          <cell r="B493" t="str">
            <v>Local Transfer</v>
          </cell>
        </row>
        <row r="494">
          <cell r="B494" t="str">
            <v>Local Transfer</v>
          </cell>
        </row>
        <row r="495">
          <cell r="B495" t="str">
            <v>Local Transfer</v>
          </cell>
        </row>
        <row r="496">
          <cell r="B496" t="str">
            <v>Local Transfer</v>
          </cell>
        </row>
        <row r="497">
          <cell r="B497" t="str">
            <v>Local Transfer</v>
          </cell>
        </row>
        <row r="498">
          <cell r="B498" t="str">
            <v>Local Transfer</v>
          </cell>
        </row>
        <row r="499">
          <cell r="B499" t="str">
            <v>Local Transfer</v>
          </cell>
        </row>
        <row r="500">
          <cell r="B500" t="str">
            <v>Local Transfer</v>
          </cell>
        </row>
        <row r="501">
          <cell r="B501" t="str">
            <v>Local Transfer</v>
          </cell>
        </row>
        <row r="502">
          <cell r="B502" t="str">
            <v>Local Transfer</v>
          </cell>
        </row>
        <row r="503">
          <cell r="B503" t="str">
            <v>Local Transfer</v>
          </cell>
        </row>
        <row r="504">
          <cell r="B504" t="str">
            <v>Local Transfer</v>
          </cell>
        </row>
        <row r="505">
          <cell r="B505" t="str">
            <v>Local Transfer</v>
          </cell>
        </row>
        <row r="506">
          <cell r="B506" t="str">
            <v>Local Transfer</v>
          </cell>
        </row>
        <row r="507">
          <cell r="B507" t="str">
            <v>Local Transfer</v>
          </cell>
        </row>
        <row r="508">
          <cell r="B508" t="str">
            <v>Local Transfer</v>
          </cell>
        </row>
        <row r="509">
          <cell r="B509" t="str">
            <v>Local Transfer</v>
          </cell>
        </row>
        <row r="510">
          <cell r="B510" t="str">
            <v>Local Transfer</v>
          </cell>
        </row>
        <row r="511">
          <cell r="B511" t="str">
            <v>Local Transfer</v>
          </cell>
        </row>
        <row r="512">
          <cell r="B512" t="str">
            <v>Local Transfer</v>
          </cell>
        </row>
        <row r="513">
          <cell r="B513" t="str">
            <v>Local Transfer</v>
          </cell>
        </row>
        <row r="514">
          <cell r="B514" t="str">
            <v>Local Transfer</v>
          </cell>
        </row>
        <row r="515">
          <cell r="B515" t="str">
            <v>Local Transfer</v>
          </cell>
        </row>
        <row r="516">
          <cell r="B516" t="str">
            <v>Local Transfer</v>
          </cell>
        </row>
        <row r="517">
          <cell r="B517" t="str">
            <v>Local Transfer</v>
          </cell>
        </row>
        <row r="518">
          <cell r="B518" t="str">
            <v>Local Transfer</v>
          </cell>
        </row>
        <row r="519">
          <cell r="B519" t="str">
            <v>Local Transfer</v>
          </cell>
        </row>
        <row r="520">
          <cell r="B520" t="str">
            <v>Local Transfer</v>
          </cell>
        </row>
        <row r="521">
          <cell r="B521" t="str">
            <v>Local Transfer</v>
          </cell>
        </row>
        <row r="522">
          <cell r="B522" t="str">
            <v>Local Transfer</v>
          </cell>
        </row>
        <row r="523">
          <cell r="B523" t="str">
            <v>Local Transfer</v>
          </cell>
        </row>
        <row r="524">
          <cell r="B524" t="str">
            <v>Local Transfer</v>
          </cell>
        </row>
        <row r="525">
          <cell r="B525" t="str">
            <v>Local Transfer</v>
          </cell>
        </row>
        <row r="526">
          <cell r="B526" t="str">
            <v>Local Transfer</v>
          </cell>
        </row>
        <row r="527">
          <cell r="B527" t="str">
            <v>Local Transfer</v>
          </cell>
        </row>
        <row r="528">
          <cell r="B528" t="str">
            <v>Local Transfer</v>
          </cell>
        </row>
        <row r="529">
          <cell r="B529" t="str">
            <v>Local Transfer</v>
          </cell>
        </row>
        <row r="530">
          <cell r="B530" t="str">
            <v>Local Transfer</v>
          </cell>
        </row>
        <row r="531">
          <cell r="B531" t="str">
            <v>Local Transfer</v>
          </cell>
        </row>
        <row r="532">
          <cell r="B532" t="str">
            <v>Local Transfer</v>
          </cell>
        </row>
        <row r="533">
          <cell r="B533" t="str">
            <v>Local Transfer</v>
          </cell>
        </row>
        <row r="534">
          <cell r="B534" t="str">
            <v>Local Transfer</v>
          </cell>
        </row>
        <row r="535">
          <cell r="B535" t="str">
            <v>Local Transfer</v>
          </cell>
        </row>
        <row r="536">
          <cell r="B536" t="str">
            <v>Local Transfer</v>
          </cell>
        </row>
        <row r="537">
          <cell r="B537" t="str">
            <v>Local Transfer</v>
          </cell>
        </row>
        <row r="538">
          <cell r="B538" t="str">
            <v>Local Transfer</v>
          </cell>
        </row>
        <row r="539">
          <cell r="B539" t="str">
            <v>Local Transfer</v>
          </cell>
        </row>
        <row r="540">
          <cell r="B540" t="str">
            <v>Local Transfer</v>
          </cell>
        </row>
        <row r="541">
          <cell r="B541" t="str">
            <v>Local Transfer</v>
          </cell>
        </row>
        <row r="542">
          <cell r="B542" t="str">
            <v>Local Transfer</v>
          </cell>
        </row>
        <row r="543">
          <cell r="B543" t="str">
            <v>Local Transfer</v>
          </cell>
        </row>
        <row r="544">
          <cell r="B544" t="str">
            <v>Local Transfer</v>
          </cell>
        </row>
        <row r="545">
          <cell r="B545" t="str">
            <v>Local Transfer</v>
          </cell>
        </row>
        <row r="546">
          <cell r="B546" t="str">
            <v>Local Transfer</v>
          </cell>
        </row>
        <row r="547">
          <cell r="B547" t="str">
            <v>Local Transfer</v>
          </cell>
        </row>
        <row r="548">
          <cell r="B548" t="str">
            <v>Local Transfer</v>
          </cell>
        </row>
        <row r="549">
          <cell r="B549" t="str">
            <v>Scan &amp; pay</v>
          </cell>
        </row>
        <row r="550">
          <cell r="B550" t="str">
            <v>Scan &amp; pay</v>
          </cell>
        </row>
        <row r="551">
          <cell r="B551" t="str">
            <v>Scan &amp; pay</v>
          </cell>
        </row>
        <row r="552">
          <cell r="B552" t="str">
            <v>Scan &amp; pay</v>
          </cell>
        </row>
        <row r="553">
          <cell r="B553" t="str">
            <v>Scan &amp; pay</v>
          </cell>
        </row>
        <row r="554">
          <cell r="B554" t="str">
            <v>Scan &amp; pay</v>
          </cell>
        </row>
        <row r="555">
          <cell r="B555" t="str">
            <v>Scan &amp; pay</v>
          </cell>
        </row>
        <row r="556">
          <cell r="B556" t="str">
            <v>Scan &amp; pay</v>
          </cell>
        </row>
        <row r="557">
          <cell r="B557" t="str">
            <v>Scan &amp; pay</v>
          </cell>
        </row>
        <row r="558">
          <cell r="B558" t="str">
            <v>Scan &amp; pay</v>
          </cell>
        </row>
        <row r="559">
          <cell r="B559" t="str">
            <v>Scan &amp; pay</v>
          </cell>
        </row>
        <row r="560">
          <cell r="B560" t="str">
            <v>Scan &amp; pay</v>
          </cell>
        </row>
        <row r="561">
          <cell r="B561" t="str">
            <v>Scan &amp; pay</v>
          </cell>
        </row>
        <row r="562">
          <cell r="B562" t="str">
            <v>Scan &amp; pay</v>
          </cell>
        </row>
        <row r="563">
          <cell r="B563" t="str">
            <v>Scan &amp; pay</v>
          </cell>
        </row>
        <row r="564">
          <cell r="B564" t="str">
            <v>Scan &amp; pay</v>
          </cell>
        </row>
        <row r="565">
          <cell r="B565" t="str">
            <v>Scan &amp; pay</v>
          </cell>
        </row>
        <row r="566">
          <cell r="B566" t="str">
            <v>Scan &amp; pay</v>
          </cell>
        </row>
        <row r="567">
          <cell r="B567" t="str">
            <v>Scan &amp; pay</v>
          </cell>
        </row>
        <row r="568">
          <cell r="B568" t="str">
            <v>Scan &amp; pay</v>
          </cell>
        </row>
        <row r="569">
          <cell r="B569" t="str">
            <v>Scan &amp; pay</v>
          </cell>
        </row>
        <row r="570">
          <cell r="B570" t="str">
            <v>Scan &amp; pay</v>
          </cell>
        </row>
        <row r="571">
          <cell r="B571" t="str">
            <v>Scan &amp; pay</v>
          </cell>
        </row>
        <row r="572">
          <cell r="B572" t="str">
            <v>Scan &amp; pay</v>
          </cell>
        </row>
        <row r="573">
          <cell r="B573" t="str">
            <v>Scan &amp; pay</v>
          </cell>
        </row>
        <row r="574">
          <cell r="B574" t="str">
            <v>Scan &amp; pay</v>
          </cell>
        </row>
        <row r="575">
          <cell r="B575" t="str">
            <v>Scan &amp; pay</v>
          </cell>
        </row>
        <row r="576">
          <cell r="B576" t="str">
            <v>Scan &amp; pay</v>
          </cell>
        </row>
        <row r="577">
          <cell r="B577" t="str">
            <v>Scan &amp; pay</v>
          </cell>
        </row>
        <row r="578">
          <cell r="B578" t="str">
            <v>Scan &amp; pay</v>
          </cell>
        </row>
        <row r="579">
          <cell r="B579" t="str">
            <v>Scan &amp; pay</v>
          </cell>
        </row>
        <row r="580">
          <cell r="B580" t="str">
            <v>Scan &amp; pay</v>
          </cell>
        </row>
        <row r="581">
          <cell r="B581" t="str">
            <v>Scan &amp; pay</v>
          </cell>
        </row>
        <row r="582">
          <cell r="B582" t="str">
            <v>Scan &amp; pay</v>
          </cell>
        </row>
        <row r="583">
          <cell r="B583" t="str">
            <v>Scan &amp; pay</v>
          </cell>
        </row>
        <row r="584">
          <cell r="B584" t="str">
            <v>Scan &amp; pay</v>
          </cell>
        </row>
        <row r="585">
          <cell r="B585" t="str">
            <v>Scan &amp; pay</v>
          </cell>
        </row>
        <row r="586">
          <cell r="B586" t="str">
            <v>Scan &amp; pay</v>
          </cell>
        </row>
        <row r="587">
          <cell r="B587" t="str">
            <v>Scan &amp; pay</v>
          </cell>
        </row>
        <row r="588">
          <cell r="B588" t="str">
            <v>Scan &amp; pay</v>
          </cell>
        </row>
        <row r="589">
          <cell r="B589" t="str">
            <v>Scan &amp; pay</v>
          </cell>
        </row>
        <row r="590">
          <cell r="B590" t="str">
            <v>Scan &amp; pay</v>
          </cell>
        </row>
        <row r="591">
          <cell r="B591" t="str">
            <v>Scan &amp; pay</v>
          </cell>
        </row>
        <row r="592">
          <cell r="B592" t="str">
            <v>Scan &amp; pay</v>
          </cell>
        </row>
        <row r="593">
          <cell r="B593" t="str">
            <v>Scan &amp; pay</v>
          </cell>
        </row>
        <row r="594">
          <cell r="B594" t="str">
            <v>Scan &amp; pay</v>
          </cell>
        </row>
        <row r="595">
          <cell r="B595" t="str">
            <v>Scan &amp; pay</v>
          </cell>
        </row>
        <row r="596">
          <cell r="B596" t="str">
            <v>Scan &amp; pay</v>
          </cell>
        </row>
        <row r="597">
          <cell r="B597" t="str">
            <v>Scan &amp; pay</v>
          </cell>
        </row>
        <row r="598">
          <cell r="B598" t="str">
            <v>Scan &amp; pay</v>
          </cell>
        </row>
        <row r="599">
          <cell r="B599" t="str">
            <v>Scan &amp; pay</v>
          </cell>
        </row>
        <row r="600">
          <cell r="B600" t="str">
            <v>Scan &amp; pay</v>
          </cell>
        </row>
        <row r="601">
          <cell r="B601" t="str">
            <v>Scan &amp; pay</v>
          </cell>
        </row>
        <row r="602">
          <cell r="B602" t="str">
            <v>Scan &amp; pay</v>
          </cell>
        </row>
        <row r="603">
          <cell r="B603" t="str">
            <v>Scan &amp; pay</v>
          </cell>
        </row>
        <row r="604">
          <cell r="B604" t="str">
            <v>Scan &amp; pay</v>
          </cell>
        </row>
        <row r="605">
          <cell r="B605" t="str">
            <v>Scan &amp; pay</v>
          </cell>
        </row>
        <row r="606">
          <cell r="B606" t="str">
            <v>Scan &amp; pay</v>
          </cell>
        </row>
        <row r="607">
          <cell r="B607" t="str">
            <v>Scan &amp; pay</v>
          </cell>
        </row>
        <row r="608">
          <cell r="B608" t="str">
            <v>Scan &amp; pay</v>
          </cell>
        </row>
        <row r="609">
          <cell r="B609" t="str">
            <v>Scan &amp; pay</v>
          </cell>
        </row>
        <row r="610">
          <cell r="B610" t="str">
            <v>Scan &amp; pay</v>
          </cell>
        </row>
        <row r="611">
          <cell r="B611" t="str">
            <v>Scan &amp; pay</v>
          </cell>
        </row>
        <row r="612">
          <cell r="B612" t="str">
            <v>Scan &amp; pay</v>
          </cell>
        </row>
        <row r="613">
          <cell r="B613" t="str">
            <v>Scan &amp; pay</v>
          </cell>
        </row>
        <row r="614">
          <cell r="B614" t="str">
            <v>Scan &amp; pay</v>
          </cell>
        </row>
        <row r="615">
          <cell r="B615" t="str">
            <v>Scan &amp; pay</v>
          </cell>
        </row>
        <row r="616">
          <cell r="B616" t="str">
            <v>Scan &amp; pay</v>
          </cell>
        </row>
        <row r="617">
          <cell r="B617" t="str">
            <v>Scan &amp; pay</v>
          </cell>
        </row>
        <row r="618">
          <cell r="B618" t="str">
            <v>Scan &amp; pay</v>
          </cell>
        </row>
        <row r="619">
          <cell r="B619" t="str">
            <v>Scan &amp; pay</v>
          </cell>
        </row>
        <row r="620">
          <cell r="B620" t="str">
            <v>Scan &amp; pay</v>
          </cell>
        </row>
        <row r="621">
          <cell r="B621" t="str">
            <v>Scan &amp; pay</v>
          </cell>
        </row>
        <row r="622">
          <cell r="B622" t="str">
            <v>Scan &amp; pay</v>
          </cell>
        </row>
        <row r="623">
          <cell r="B623" t="str">
            <v>Scan &amp; pay</v>
          </cell>
        </row>
        <row r="624">
          <cell r="B624" t="str">
            <v>Scan &amp; pay</v>
          </cell>
        </row>
        <row r="625">
          <cell r="B625" t="str">
            <v>Scan &amp; pay</v>
          </cell>
        </row>
        <row r="626">
          <cell r="B626" t="str">
            <v>Scan &amp; pay</v>
          </cell>
        </row>
        <row r="627">
          <cell r="B627" t="str">
            <v>Scan &amp; pay</v>
          </cell>
        </row>
        <row r="628">
          <cell r="B628" t="str">
            <v>Scan &amp; pay</v>
          </cell>
        </row>
        <row r="629">
          <cell r="B629" t="str">
            <v>Scan &amp; pay</v>
          </cell>
        </row>
        <row r="630">
          <cell r="B630" t="str">
            <v>Scan &amp; pay</v>
          </cell>
        </row>
        <row r="631">
          <cell r="B631" t="str">
            <v>Scan &amp; pay</v>
          </cell>
        </row>
        <row r="632">
          <cell r="B632" t="str">
            <v>Scan &amp; pay</v>
          </cell>
        </row>
        <row r="633">
          <cell r="B633" t="str">
            <v>Scan &amp; pay</v>
          </cell>
        </row>
        <row r="634">
          <cell r="B634" t="str">
            <v>Scan &amp; pay</v>
          </cell>
        </row>
        <row r="635">
          <cell r="B635" t="str">
            <v>Scan &amp; pay</v>
          </cell>
        </row>
        <row r="636">
          <cell r="B636" t="str">
            <v>Scan &amp; pay</v>
          </cell>
        </row>
        <row r="637">
          <cell r="B637" t="str">
            <v>Scan &amp; pay</v>
          </cell>
        </row>
        <row r="638">
          <cell r="B638" t="str">
            <v>Scan &amp; pay</v>
          </cell>
        </row>
        <row r="639">
          <cell r="B639" t="str">
            <v>Scan &amp; pay</v>
          </cell>
        </row>
        <row r="640">
          <cell r="B640" t="str">
            <v>Scan &amp; pay</v>
          </cell>
        </row>
      </sheetData>
      <sheetData sheetId="3">
        <row r="1">
          <cell r="C1" t="str">
            <v>Module</v>
          </cell>
          <cell r="F1" t="str">
            <v>Test Type</v>
          </cell>
          <cell r="G1" t="str">
            <v>Priority</v>
          </cell>
          <cell r="O1" t="str">
            <v>Execution Status</v>
          </cell>
        </row>
        <row r="2">
          <cell r="C2" t="str">
            <v>Acct Dashboard Financing</v>
          </cell>
          <cell r="F2" t="str">
            <v>Positive</v>
          </cell>
          <cell r="G2" t="str">
            <v>Medium</v>
          </cell>
          <cell r="O2" t="str">
            <v>Not Run</v>
          </cell>
        </row>
        <row r="3">
          <cell r="C3" t="str">
            <v>Acct Dashboard Financing</v>
          </cell>
          <cell r="F3" t="str">
            <v>Negative</v>
          </cell>
          <cell r="G3" t="str">
            <v>High</v>
          </cell>
          <cell r="O3" t="str">
            <v>Not Run</v>
          </cell>
        </row>
        <row r="4">
          <cell r="C4" t="str">
            <v>Acct Dashboard Financing</v>
          </cell>
          <cell r="F4" t="str">
            <v>Security</v>
          </cell>
          <cell r="G4" t="str">
            <v>High</v>
          </cell>
          <cell r="O4" t="str">
            <v>Not Run</v>
          </cell>
        </row>
        <row r="5">
          <cell r="C5" t="str">
            <v>Acct Dashboard Financing</v>
          </cell>
          <cell r="F5" t="str">
            <v>Negative / Security</v>
          </cell>
          <cell r="G5" t="str">
            <v>High</v>
          </cell>
          <cell r="O5" t="str">
            <v>Not Run</v>
          </cell>
        </row>
        <row r="6">
          <cell r="C6" t="str">
            <v>Acct Dashboard Financing</v>
          </cell>
          <cell r="F6" t="str">
            <v>UI / Functional</v>
          </cell>
          <cell r="G6" t="str">
            <v>Medium</v>
          </cell>
          <cell r="O6" t="str">
            <v>Not Run</v>
          </cell>
        </row>
        <row r="7">
          <cell r="C7" t="str">
            <v>Acct Dashboard Financing</v>
          </cell>
          <cell r="F7" t="str">
            <v>UI / Functional</v>
          </cell>
          <cell r="G7" t="str">
            <v>Medium</v>
          </cell>
          <cell r="O7" t="str">
            <v>Not Run</v>
          </cell>
        </row>
        <row r="8">
          <cell r="C8" t="str">
            <v>Acct Dashboard Financing</v>
          </cell>
          <cell r="F8" t="str">
            <v>Functional</v>
          </cell>
          <cell r="G8" t="str">
            <v>Medium</v>
          </cell>
          <cell r="O8" t="str">
            <v>Not Run</v>
          </cell>
        </row>
        <row r="9">
          <cell r="C9" t="str">
            <v>Acct Dashboard Financing</v>
          </cell>
          <cell r="F9" t="str">
            <v>Functional</v>
          </cell>
          <cell r="G9" t="str">
            <v>Medium</v>
          </cell>
          <cell r="O9" t="str">
            <v>Not Run</v>
          </cell>
        </row>
        <row r="10">
          <cell r="C10" t="str">
            <v>Acct Dashboard Financing</v>
          </cell>
          <cell r="F10" t="str">
            <v>UI / Functional</v>
          </cell>
          <cell r="G10" t="str">
            <v>Medium</v>
          </cell>
          <cell r="O10" t="str">
            <v>Not Run</v>
          </cell>
        </row>
        <row r="11">
          <cell r="C11" t="str">
            <v>Acct Dashboard Financing</v>
          </cell>
          <cell r="F11" t="str">
            <v>Functional</v>
          </cell>
          <cell r="G11" t="str">
            <v>Medium</v>
          </cell>
          <cell r="O11" t="str">
            <v>Not Run</v>
          </cell>
        </row>
        <row r="12">
          <cell r="C12" t="str">
            <v>Acct Dashboard Financing</v>
          </cell>
          <cell r="F12" t="str">
            <v>Positive</v>
          </cell>
          <cell r="G12" t="str">
            <v>High</v>
          </cell>
          <cell r="O12" t="str">
            <v>Not Run</v>
          </cell>
        </row>
        <row r="13">
          <cell r="C13" t="str">
            <v>Acct Dashboard Financing</v>
          </cell>
          <cell r="F13" t="str">
            <v>Negative</v>
          </cell>
          <cell r="G13" t="str">
            <v>High</v>
          </cell>
          <cell r="O13" t="str">
            <v>Not Run</v>
          </cell>
        </row>
        <row r="14">
          <cell r="C14" t="str">
            <v>Acct Dashboard Financing</v>
          </cell>
          <cell r="F14" t="str">
            <v>Positive</v>
          </cell>
          <cell r="G14" t="str">
            <v>Medium</v>
          </cell>
          <cell r="O14" t="str">
            <v>Not Run</v>
          </cell>
        </row>
        <row r="15">
          <cell r="C15" t="str">
            <v>Acct Dashboard Financing</v>
          </cell>
          <cell r="F15" t="str">
            <v>Negative</v>
          </cell>
          <cell r="G15" t="str">
            <v>High</v>
          </cell>
          <cell r="O15" t="str">
            <v>Not Run</v>
          </cell>
        </row>
        <row r="16">
          <cell r="C16" t="str">
            <v>Acct Dashboard Financing</v>
          </cell>
          <cell r="F16" t="str">
            <v>Security</v>
          </cell>
          <cell r="G16" t="str">
            <v>High</v>
          </cell>
          <cell r="O16" t="str">
            <v>Not Run</v>
          </cell>
        </row>
        <row r="17">
          <cell r="C17" t="str">
            <v>Acct Dashboard Financing</v>
          </cell>
          <cell r="F17" t="str">
            <v>Negative / Security</v>
          </cell>
          <cell r="G17" t="str">
            <v>High</v>
          </cell>
          <cell r="O17" t="str">
            <v>Not Run</v>
          </cell>
        </row>
        <row r="18">
          <cell r="C18" t="str">
            <v>Acct Dashboard Financing</v>
          </cell>
          <cell r="F18" t="str">
            <v>UI / Functional</v>
          </cell>
          <cell r="G18" t="str">
            <v>Medium</v>
          </cell>
          <cell r="O18" t="str">
            <v>Not Run</v>
          </cell>
        </row>
        <row r="19">
          <cell r="C19" t="str">
            <v>Acct Dashboard Financing</v>
          </cell>
          <cell r="F19" t="str">
            <v>UI / Functional</v>
          </cell>
          <cell r="G19" t="str">
            <v>Medium</v>
          </cell>
          <cell r="O19" t="str">
            <v>Not Run</v>
          </cell>
        </row>
        <row r="20">
          <cell r="C20" t="str">
            <v>Acct Dashboard Financing</v>
          </cell>
          <cell r="F20" t="str">
            <v>Functional</v>
          </cell>
          <cell r="G20" t="str">
            <v>Medium</v>
          </cell>
          <cell r="O20" t="str">
            <v>Not Run</v>
          </cell>
        </row>
        <row r="21">
          <cell r="C21" t="str">
            <v>Acct Dashboard Financing</v>
          </cell>
          <cell r="F21" t="str">
            <v>Functional</v>
          </cell>
          <cell r="G21" t="str">
            <v>Medium</v>
          </cell>
          <cell r="O21" t="str">
            <v>Not Run</v>
          </cell>
        </row>
        <row r="22">
          <cell r="C22" t="str">
            <v>Acct Dashboard Financing</v>
          </cell>
          <cell r="F22" t="str">
            <v>UI / Functional</v>
          </cell>
          <cell r="G22" t="str">
            <v>Medium</v>
          </cell>
          <cell r="O22" t="str">
            <v>Not Run</v>
          </cell>
        </row>
        <row r="23">
          <cell r="C23" t="str">
            <v>Acct Dashboard Financing</v>
          </cell>
          <cell r="F23" t="str">
            <v>Functional</v>
          </cell>
          <cell r="G23" t="str">
            <v>Medium</v>
          </cell>
          <cell r="O23" t="str">
            <v>Not Run</v>
          </cell>
        </row>
        <row r="24">
          <cell r="C24" t="str">
            <v>Acct Dashboard Financing</v>
          </cell>
          <cell r="F24" t="str">
            <v>Positive</v>
          </cell>
          <cell r="G24" t="str">
            <v>High</v>
          </cell>
          <cell r="O24" t="str">
            <v>Not Run</v>
          </cell>
        </row>
        <row r="25">
          <cell r="C25" t="str">
            <v>Acct Dashboard Financing</v>
          </cell>
          <cell r="F25" t="str">
            <v>Negative</v>
          </cell>
          <cell r="G25" t="str">
            <v>High</v>
          </cell>
          <cell r="O25" t="str">
            <v>Not Run</v>
          </cell>
        </row>
        <row r="26">
          <cell r="C26" t="str">
            <v>Acct Dashboard Financing</v>
          </cell>
          <cell r="F26" t="str">
            <v>Positive</v>
          </cell>
          <cell r="G26" t="str">
            <v>Medium</v>
          </cell>
          <cell r="O26" t="str">
            <v>Not Run</v>
          </cell>
        </row>
        <row r="27">
          <cell r="C27" t="str">
            <v>Acct Dashboard Financing</v>
          </cell>
          <cell r="F27" t="str">
            <v>Negative</v>
          </cell>
          <cell r="G27" t="str">
            <v>High</v>
          </cell>
          <cell r="O27" t="str">
            <v>Not Run</v>
          </cell>
        </row>
        <row r="28">
          <cell r="C28" t="str">
            <v>Acct Dashboard Financing</v>
          </cell>
          <cell r="F28" t="str">
            <v>Security</v>
          </cell>
          <cell r="G28" t="str">
            <v>High</v>
          </cell>
          <cell r="O28" t="str">
            <v>Not Run</v>
          </cell>
        </row>
        <row r="29">
          <cell r="C29" t="str">
            <v>Acct Dashboard Financing</v>
          </cell>
          <cell r="F29" t="str">
            <v>Negative / Security</v>
          </cell>
          <cell r="G29" t="str">
            <v>High</v>
          </cell>
          <cell r="O29" t="str">
            <v>Not Run</v>
          </cell>
        </row>
        <row r="30">
          <cell r="C30" t="str">
            <v>Acct Dashboard Financing</v>
          </cell>
          <cell r="F30" t="str">
            <v>UI / Functional</v>
          </cell>
          <cell r="G30" t="str">
            <v>Medium</v>
          </cell>
          <cell r="O30" t="str">
            <v>Not Run</v>
          </cell>
        </row>
        <row r="31">
          <cell r="C31" t="str">
            <v>Acct Dashboard Financing</v>
          </cell>
          <cell r="F31" t="str">
            <v>UI / Functional</v>
          </cell>
          <cell r="G31" t="str">
            <v>Medium</v>
          </cell>
          <cell r="O31" t="str">
            <v>Not Run</v>
          </cell>
        </row>
        <row r="32">
          <cell r="C32" t="str">
            <v>Acct Dashboard Financing</v>
          </cell>
          <cell r="F32" t="str">
            <v>Functional</v>
          </cell>
          <cell r="G32" t="str">
            <v>Medium</v>
          </cell>
          <cell r="O32" t="str">
            <v>Not Run</v>
          </cell>
        </row>
        <row r="33">
          <cell r="C33" t="str">
            <v>Acct Dashboard Financing</v>
          </cell>
          <cell r="F33" t="str">
            <v>Functional</v>
          </cell>
          <cell r="G33" t="str">
            <v>Medium</v>
          </cell>
          <cell r="O33" t="str">
            <v>Not Run</v>
          </cell>
        </row>
        <row r="34">
          <cell r="C34" t="str">
            <v>Acct Dashboard Financing</v>
          </cell>
          <cell r="F34" t="str">
            <v>Positive</v>
          </cell>
          <cell r="G34" t="str">
            <v>High</v>
          </cell>
          <cell r="O34" t="str">
            <v>Not Run</v>
          </cell>
        </row>
        <row r="35">
          <cell r="C35" t="str">
            <v>Acct Dashboard Financing</v>
          </cell>
          <cell r="F35" t="str">
            <v>Negative</v>
          </cell>
          <cell r="G35" t="str">
            <v>High</v>
          </cell>
          <cell r="O35" t="str">
            <v>Not Run</v>
          </cell>
        </row>
        <row r="36">
          <cell r="C36" t="str">
            <v>Acct Dashboard Financing</v>
          </cell>
          <cell r="F36" t="str">
            <v>Positive</v>
          </cell>
          <cell r="G36" t="str">
            <v>Medium</v>
          </cell>
          <cell r="O36" t="str">
            <v>Not Run</v>
          </cell>
        </row>
        <row r="37">
          <cell r="C37" t="str">
            <v>Acct Dashboard Financing</v>
          </cell>
          <cell r="F37" t="str">
            <v>Negative</v>
          </cell>
          <cell r="G37" t="str">
            <v>High</v>
          </cell>
          <cell r="O37" t="str">
            <v>Not Run</v>
          </cell>
        </row>
        <row r="38">
          <cell r="C38" t="str">
            <v>Acct Dashboard Financing</v>
          </cell>
          <cell r="F38" t="str">
            <v>Security</v>
          </cell>
          <cell r="G38" t="str">
            <v>High</v>
          </cell>
          <cell r="O38" t="str">
            <v>Not Run</v>
          </cell>
        </row>
        <row r="39">
          <cell r="C39" t="str">
            <v>Acct Dashboard Financing</v>
          </cell>
          <cell r="F39" t="str">
            <v>Negative / Security</v>
          </cell>
          <cell r="G39" t="str">
            <v>High</v>
          </cell>
          <cell r="O39" t="str">
            <v>Not Run</v>
          </cell>
        </row>
        <row r="40">
          <cell r="C40" t="str">
            <v>Acct Dashboard Financing</v>
          </cell>
          <cell r="F40" t="str">
            <v>UI / Functional</v>
          </cell>
          <cell r="G40" t="str">
            <v>Medium</v>
          </cell>
          <cell r="O40" t="str">
            <v>Not Run</v>
          </cell>
        </row>
        <row r="41">
          <cell r="C41" t="str">
            <v>Acct Dashboard Financing</v>
          </cell>
          <cell r="F41" t="str">
            <v>UI / Functional</v>
          </cell>
          <cell r="G41" t="str">
            <v>Medium</v>
          </cell>
          <cell r="O41" t="str">
            <v>Not Run</v>
          </cell>
        </row>
        <row r="42">
          <cell r="C42" t="str">
            <v>Acct Dashboard Financing</v>
          </cell>
          <cell r="F42" t="str">
            <v>Functional</v>
          </cell>
          <cell r="G42" t="str">
            <v>Medium</v>
          </cell>
          <cell r="O42" t="str">
            <v>Not Run</v>
          </cell>
        </row>
        <row r="43">
          <cell r="C43" t="str">
            <v>Acct Dashboard Financing</v>
          </cell>
          <cell r="F43" t="str">
            <v>Functional</v>
          </cell>
          <cell r="G43" t="str">
            <v>Medium</v>
          </cell>
          <cell r="O43" t="str">
            <v>Not Run</v>
          </cell>
        </row>
        <row r="44">
          <cell r="C44" t="str">
            <v>Acct Dashboard Financing</v>
          </cell>
          <cell r="F44" t="str">
            <v>Positive</v>
          </cell>
          <cell r="G44" t="str">
            <v>High</v>
          </cell>
          <cell r="O44" t="str">
            <v>Not Run</v>
          </cell>
        </row>
        <row r="45">
          <cell r="C45" t="str">
            <v>Acct Dashboard Financing</v>
          </cell>
          <cell r="F45" t="str">
            <v>Negative</v>
          </cell>
          <cell r="G45" t="str">
            <v>High</v>
          </cell>
          <cell r="O45" t="str">
            <v>Not Run</v>
          </cell>
        </row>
        <row r="46">
          <cell r="C46" t="str">
            <v>Acct Dashboard Financing</v>
          </cell>
          <cell r="F46" t="str">
            <v>Positive</v>
          </cell>
          <cell r="G46" t="str">
            <v>Medium</v>
          </cell>
          <cell r="O46" t="str">
            <v>Not Run</v>
          </cell>
        </row>
        <row r="47">
          <cell r="C47" t="str">
            <v>Acct Dashboard Financing</v>
          </cell>
          <cell r="F47" t="str">
            <v>Negative</v>
          </cell>
          <cell r="G47" t="str">
            <v>High</v>
          </cell>
          <cell r="O47" t="str">
            <v>Not Run</v>
          </cell>
        </row>
        <row r="48">
          <cell r="C48" t="str">
            <v>Acct Dashboard Financing</v>
          </cell>
          <cell r="F48" t="str">
            <v>Security</v>
          </cell>
          <cell r="G48" t="str">
            <v>High</v>
          </cell>
          <cell r="O48" t="str">
            <v>Not Run</v>
          </cell>
        </row>
        <row r="49">
          <cell r="C49" t="str">
            <v>Acct Dashboard Financing</v>
          </cell>
          <cell r="F49" t="str">
            <v>Negative / Security</v>
          </cell>
          <cell r="G49" t="str">
            <v>High</v>
          </cell>
          <cell r="O49" t="str">
            <v>Not Run</v>
          </cell>
        </row>
        <row r="50">
          <cell r="C50" t="str">
            <v>Acct Dashboard Financing</v>
          </cell>
          <cell r="F50" t="str">
            <v>UI / Functional</v>
          </cell>
          <cell r="G50" t="str">
            <v>Medium</v>
          </cell>
          <cell r="O50" t="str">
            <v>Not Run</v>
          </cell>
        </row>
        <row r="51">
          <cell r="C51" t="str">
            <v>Acct Dashboard Financing</v>
          </cell>
          <cell r="F51" t="str">
            <v>UI / Functional</v>
          </cell>
          <cell r="G51" t="str">
            <v>Medium</v>
          </cell>
          <cell r="O51" t="str">
            <v>Not Run</v>
          </cell>
        </row>
        <row r="52">
          <cell r="C52" t="str">
            <v>Acct Dashboard Financing</v>
          </cell>
          <cell r="F52" t="str">
            <v>Functional</v>
          </cell>
          <cell r="G52" t="str">
            <v>Medium</v>
          </cell>
          <cell r="O52" t="str">
            <v>Not Run</v>
          </cell>
        </row>
        <row r="53">
          <cell r="C53" t="str">
            <v>Acct Dashboard Financing</v>
          </cell>
          <cell r="F53" t="str">
            <v>Functional</v>
          </cell>
          <cell r="G53" t="str">
            <v>Medium</v>
          </cell>
          <cell r="O53" t="str">
            <v>Not Run</v>
          </cell>
        </row>
        <row r="54">
          <cell r="C54" t="str">
            <v>Acct Dashboard Financing</v>
          </cell>
          <cell r="F54" t="str">
            <v>Positive</v>
          </cell>
          <cell r="G54" t="str">
            <v>High</v>
          </cell>
          <cell r="O54" t="str">
            <v>Not Run</v>
          </cell>
        </row>
        <row r="55">
          <cell r="C55" t="str">
            <v>Acct Dashboard Financing</v>
          </cell>
          <cell r="F55" t="str">
            <v>Negative</v>
          </cell>
          <cell r="G55" t="str">
            <v>High</v>
          </cell>
          <cell r="O55" t="str">
            <v>Not Run</v>
          </cell>
        </row>
        <row r="56">
          <cell r="C56" t="str">
            <v>Acct Dashboard Financing</v>
          </cell>
          <cell r="F56" t="str">
            <v>Positive</v>
          </cell>
          <cell r="G56" t="str">
            <v>Medium</v>
          </cell>
          <cell r="O56" t="str">
            <v>Not Run</v>
          </cell>
        </row>
        <row r="57">
          <cell r="C57" t="str">
            <v>Acct Dashboard Financing</v>
          </cell>
          <cell r="F57" t="str">
            <v>Negative</v>
          </cell>
          <cell r="G57" t="str">
            <v>High</v>
          </cell>
          <cell r="O57" t="str">
            <v>Not Run</v>
          </cell>
        </row>
        <row r="58">
          <cell r="C58" t="str">
            <v>Acct Dashboard Financing</v>
          </cell>
          <cell r="F58" t="str">
            <v>Security</v>
          </cell>
          <cell r="G58" t="str">
            <v>High</v>
          </cell>
          <cell r="O58" t="str">
            <v>Not Run</v>
          </cell>
        </row>
        <row r="59">
          <cell r="C59" t="str">
            <v>Acct Dashboard Financing</v>
          </cell>
          <cell r="F59" t="str">
            <v>Negative / Security</v>
          </cell>
          <cell r="G59" t="str">
            <v>High</v>
          </cell>
          <cell r="O59" t="str">
            <v>Not Run</v>
          </cell>
        </row>
        <row r="60">
          <cell r="C60" t="str">
            <v>Acct Dashboard Financing</v>
          </cell>
          <cell r="F60" t="str">
            <v>UI / Functional</v>
          </cell>
          <cell r="G60" t="str">
            <v>Medium</v>
          </cell>
          <cell r="O60" t="str">
            <v>Not Run</v>
          </cell>
        </row>
        <row r="61">
          <cell r="C61" t="str">
            <v>Acct Dashboard Financing</v>
          </cell>
          <cell r="F61" t="str">
            <v>UI / Functional</v>
          </cell>
          <cell r="G61" t="str">
            <v>Medium</v>
          </cell>
          <cell r="O61" t="str">
            <v>Not Run</v>
          </cell>
        </row>
        <row r="62">
          <cell r="C62" t="str">
            <v>Acct Dashboard Financing</v>
          </cell>
          <cell r="F62" t="str">
            <v>Functional</v>
          </cell>
          <cell r="G62" t="str">
            <v>Medium</v>
          </cell>
          <cell r="O62" t="str">
            <v>Not Run</v>
          </cell>
        </row>
        <row r="63">
          <cell r="C63" t="str">
            <v>Acct Dashboard Financing</v>
          </cell>
          <cell r="F63" t="str">
            <v>Functional</v>
          </cell>
          <cell r="G63" t="str">
            <v>Medium</v>
          </cell>
          <cell r="O63" t="str">
            <v>Not Run</v>
          </cell>
        </row>
        <row r="64">
          <cell r="C64" t="str">
            <v>Acct Dashboard Financing</v>
          </cell>
          <cell r="F64" t="str">
            <v>Positive</v>
          </cell>
          <cell r="G64" t="str">
            <v>High</v>
          </cell>
          <cell r="O64" t="str">
            <v>Not Run</v>
          </cell>
        </row>
        <row r="65">
          <cell r="C65" t="str">
            <v>Acct Dashboard Financing</v>
          </cell>
          <cell r="F65" t="str">
            <v>Negative</v>
          </cell>
          <cell r="G65" t="str">
            <v>High</v>
          </cell>
          <cell r="O65" t="str">
            <v>Not Run</v>
          </cell>
        </row>
        <row r="66">
          <cell r="C66" t="str">
            <v>Acct Dashboard Financing</v>
          </cell>
          <cell r="F66" t="str">
            <v>Positive</v>
          </cell>
          <cell r="G66" t="str">
            <v>Medium</v>
          </cell>
          <cell r="O66" t="str">
            <v>Not Run</v>
          </cell>
        </row>
        <row r="67">
          <cell r="C67" t="str">
            <v>Acct Dashboard Financing</v>
          </cell>
          <cell r="F67" t="str">
            <v>Negative</v>
          </cell>
          <cell r="G67" t="str">
            <v>High</v>
          </cell>
          <cell r="O67" t="str">
            <v>Not Run</v>
          </cell>
        </row>
        <row r="68">
          <cell r="C68" t="str">
            <v>Acct Dashboard Financing</v>
          </cell>
          <cell r="F68" t="str">
            <v>Security</v>
          </cell>
          <cell r="G68" t="str">
            <v>High</v>
          </cell>
          <cell r="O68" t="str">
            <v>Not Run</v>
          </cell>
        </row>
        <row r="69">
          <cell r="C69" t="str">
            <v>Acct Dashboard Financing</v>
          </cell>
          <cell r="F69" t="str">
            <v>Negative / Security</v>
          </cell>
          <cell r="G69" t="str">
            <v>High</v>
          </cell>
          <cell r="O69" t="str">
            <v>Not Run</v>
          </cell>
        </row>
        <row r="70">
          <cell r="C70" t="str">
            <v>Acct Dashboard Financing</v>
          </cell>
          <cell r="F70" t="str">
            <v>UI / Functional</v>
          </cell>
          <cell r="G70" t="str">
            <v>Medium</v>
          </cell>
          <cell r="O70" t="str">
            <v>Not Run</v>
          </cell>
        </row>
        <row r="71">
          <cell r="C71" t="str">
            <v>Acct Dashboard Financing</v>
          </cell>
          <cell r="F71" t="str">
            <v>UI / Functional</v>
          </cell>
          <cell r="G71" t="str">
            <v>Medium</v>
          </cell>
          <cell r="O71" t="str">
            <v>Not Run</v>
          </cell>
        </row>
        <row r="72">
          <cell r="C72" t="str">
            <v>Acct Dashboard Financing</v>
          </cell>
          <cell r="F72" t="str">
            <v>UI / Functional</v>
          </cell>
          <cell r="G72" t="str">
            <v>Medium</v>
          </cell>
          <cell r="O72" t="str">
            <v>Not Run</v>
          </cell>
        </row>
        <row r="73">
          <cell r="C73" t="str">
            <v>Acct Dashboard Financing</v>
          </cell>
          <cell r="F73" t="str">
            <v>Functional</v>
          </cell>
          <cell r="G73" t="str">
            <v>High</v>
          </cell>
          <cell r="O73" t="str">
            <v>Not Run</v>
          </cell>
        </row>
        <row r="74">
          <cell r="C74" t="str">
            <v>Acct Dashboard Financing</v>
          </cell>
          <cell r="F74" t="str">
            <v>Functional</v>
          </cell>
          <cell r="G74" t="str">
            <v>Medium</v>
          </cell>
          <cell r="O74" t="str">
            <v>Not Run</v>
          </cell>
        </row>
        <row r="75">
          <cell r="C75" t="str">
            <v>Acct Dashboard Financing</v>
          </cell>
          <cell r="F75" t="str">
            <v>Functional</v>
          </cell>
          <cell r="G75" t="str">
            <v>Medium</v>
          </cell>
          <cell r="O75" t="str">
            <v>Not Run</v>
          </cell>
        </row>
        <row r="76">
          <cell r="C76" t="str">
            <v>Acct Dashboard Financing</v>
          </cell>
          <cell r="F76" t="str">
            <v>Functional</v>
          </cell>
          <cell r="G76" t="str">
            <v>Medium</v>
          </cell>
          <cell r="O76" t="str">
            <v>Not Run</v>
          </cell>
        </row>
        <row r="77">
          <cell r="C77" t="str">
            <v>Acct Dashboard Financing</v>
          </cell>
          <cell r="F77" t="str">
            <v>Functional</v>
          </cell>
          <cell r="G77" t="str">
            <v>Medium</v>
          </cell>
          <cell r="O77" t="str">
            <v>Not Run</v>
          </cell>
        </row>
        <row r="78">
          <cell r="C78" t="str">
            <v>Acct Dashboard Financing</v>
          </cell>
          <cell r="F78" t="str">
            <v>Functional</v>
          </cell>
          <cell r="G78" t="str">
            <v>Medium</v>
          </cell>
          <cell r="O78" t="str">
            <v>Not Run</v>
          </cell>
        </row>
        <row r="79">
          <cell r="C79" t="str">
            <v>Acct Dashboard Financing</v>
          </cell>
          <cell r="F79" t="str">
            <v>UI / Functional</v>
          </cell>
          <cell r="G79" t="str">
            <v>Medium</v>
          </cell>
          <cell r="O79" t="str">
            <v>Not Run</v>
          </cell>
        </row>
        <row r="80">
          <cell r="C80" t="str">
            <v>Acct Dashboard Financing</v>
          </cell>
          <cell r="F80" t="str">
            <v>Functional</v>
          </cell>
          <cell r="G80" t="str">
            <v>Medium</v>
          </cell>
          <cell r="O80" t="str">
            <v>Not Run</v>
          </cell>
        </row>
        <row r="81">
          <cell r="C81" t="str">
            <v>Acct Dashboard Financing</v>
          </cell>
          <cell r="F81" t="str">
            <v>Functional</v>
          </cell>
          <cell r="G81" t="str">
            <v>Medium</v>
          </cell>
          <cell r="O81" t="str">
            <v>Not Run</v>
          </cell>
        </row>
        <row r="82">
          <cell r="C82" t="str">
            <v>Acct Dashboard Financing</v>
          </cell>
          <cell r="F82" t="str">
            <v>Functional</v>
          </cell>
          <cell r="G82" t="str">
            <v>Medium</v>
          </cell>
          <cell r="O82" t="str">
            <v>Not Run</v>
          </cell>
        </row>
        <row r="83">
          <cell r="C83" t="str">
            <v>Acct Dashboard Financing</v>
          </cell>
          <cell r="F83" t="str">
            <v>Functional</v>
          </cell>
          <cell r="G83" t="str">
            <v>Medium</v>
          </cell>
          <cell r="O83" t="str">
            <v>Not Run</v>
          </cell>
        </row>
        <row r="84">
          <cell r="C84" t="str">
            <v>Acct Dashboard Financing</v>
          </cell>
          <cell r="F84" t="str">
            <v>Functional</v>
          </cell>
          <cell r="G84" t="str">
            <v>Medium</v>
          </cell>
          <cell r="O84" t="str">
            <v>Not Run</v>
          </cell>
        </row>
        <row r="85">
          <cell r="C85" t="str">
            <v>Acct Dashboard Financing</v>
          </cell>
          <cell r="F85" t="str">
            <v>Functional</v>
          </cell>
          <cell r="G85" t="str">
            <v>Medium</v>
          </cell>
          <cell r="O85" t="str">
            <v>Not Run</v>
          </cell>
        </row>
        <row r="86">
          <cell r="C86" t="str">
            <v>Acct Dashboard Financing</v>
          </cell>
          <cell r="F86" t="str">
            <v>Functional</v>
          </cell>
          <cell r="G86" t="str">
            <v>Medium</v>
          </cell>
          <cell r="O86" t="str">
            <v>Not Run</v>
          </cell>
        </row>
        <row r="87">
          <cell r="C87" t="str">
            <v>Acct Dashboard Financing</v>
          </cell>
          <cell r="F87" t="str">
            <v>Functional</v>
          </cell>
          <cell r="G87" t="str">
            <v>Medium</v>
          </cell>
          <cell r="O87" t="str">
            <v>Not Run</v>
          </cell>
        </row>
        <row r="88">
          <cell r="C88" t="str">
            <v>Acct Dashboard Financing</v>
          </cell>
          <cell r="F88" t="str">
            <v>Functional</v>
          </cell>
          <cell r="G88" t="str">
            <v>Medium</v>
          </cell>
          <cell r="O88" t="str">
            <v>Not Run</v>
          </cell>
        </row>
        <row r="89">
          <cell r="C89" t="str">
            <v>Acct Dashboard Financing</v>
          </cell>
          <cell r="F89" t="str">
            <v>Functional</v>
          </cell>
          <cell r="G89" t="str">
            <v>Medium</v>
          </cell>
          <cell r="O89" t="str">
            <v>Not Run</v>
          </cell>
        </row>
        <row r="90">
          <cell r="C90" t="str">
            <v>Acct Dashboard Financing</v>
          </cell>
          <cell r="F90" t="str">
            <v>Functional</v>
          </cell>
          <cell r="G90" t="str">
            <v>Medium</v>
          </cell>
          <cell r="O90" t="str">
            <v>Not Run</v>
          </cell>
        </row>
        <row r="91">
          <cell r="C91" t="str">
            <v>Acct Dashboard Financing</v>
          </cell>
          <cell r="F91" t="str">
            <v>Functional</v>
          </cell>
          <cell r="G91" t="str">
            <v>Medium</v>
          </cell>
          <cell r="O91" t="str">
            <v>Not Run</v>
          </cell>
        </row>
        <row r="92">
          <cell r="C92" t="str">
            <v>Acct Dashboard Financing</v>
          </cell>
          <cell r="F92" t="str">
            <v>Functional</v>
          </cell>
          <cell r="G92" t="str">
            <v>Medium</v>
          </cell>
          <cell r="O92" t="str">
            <v>Not Run</v>
          </cell>
        </row>
        <row r="93">
          <cell r="C93" t="str">
            <v>Acct Dashboard Financing</v>
          </cell>
          <cell r="F93" t="str">
            <v>Functional</v>
          </cell>
          <cell r="G93" t="str">
            <v>High</v>
          </cell>
          <cell r="O93" t="str">
            <v>Not Run</v>
          </cell>
        </row>
        <row r="94">
          <cell r="C94" t="str">
            <v>Acct Dashboard Financing</v>
          </cell>
          <cell r="F94" t="str">
            <v>Functional</v>
          </cell>
          <cell r="G94" t="str">
            <v>Medium</v>
          </cell>
          <cell r="O94" t="str">
            <v>Not Run</v>
          </cell>
        </row>
        <row r="95">
          <cell r="C95" t="str">
            <v>Acct Dashboard Financing</v>
          </cell>
          <cell r="F95" t="str">
            <v>Functional</v>
          </cell>
          <cell r="G95" t="str">
            <v>Medium</v>
          </cell>
          <cell r="O95" t="str">
            <v>Not Run</v>
          </cell>
        </row>
        <row r="96">
          <cell r="C96" t="str">
            <v>Acct Dashboard Financing</v>
          </cell>
          <cell r="F96" t="str">
            <v>Functional</v>
          </cell>
          <cell r="G96" t="str">
            <v>Medium</v>
          </cell>
          <cell r="O96" t="str">
            <v>Not Run</v>
          </cell>
        </row>
        <row r="97">
          <cell r="C97" t="str">
            <v>Acct Dashboard Financing</v>
          </cell>
          <cell r="F97" t="str">
            <v>Functional</v>
          </cell>
          <cell r="G97" t="str">
            <v>Medium</v>
          </cell>
          <cell r="O97" t="str">
            <v>Not Run</v>
          </cell>
        </row>
        <row r="98">
          <cell r="C98" t="str">
            <v>Acct Dashboard Financing</v>
          </cell>
          <cell r="F98" t="str">
            <v>Functional</v>
          </cell>
          <cell r="G98" t="str">
            <v>Medium</v>
          </cell>
          <cell r="O98" t="str">
            <v>Not Run</v>
          </cell>
        </row>
        <row r="99">
          <cell r="C99" t="str">
            <v>Acct Dashboard Financing</v>
          </cell>
          <cell r="F99" t="str">
            <v>Functional</v>
          </cell>
          <cell r="G99" t="str">
            <v>Medium</v>
          </cell>
          <cell r="O99" t="str">
            <v>Not Run</v>
          </cell>
        </row>
        <row r="100">
          <cell r="C100" t="str">
            <v>Acct Dashboard Financing</v>
          </cell>
          <cell r="F100" t="str">
            <v>Functional</v>
          </cell>
          <cell r="G100" t="str">
            <v>High</v>
          </cell>
          <cell r="O100" t="str">
            <v>Not Run</v>
          </cell>
        </row>
        <row r="101">
          <cell r="C101" t="str">
            <v>Acct Dashboard Financing</v>
          </cell>
          <cell r="F101" t="str">
            <v>Functional</v>
          </cell>
          <cell r="G101" t="str">
            <v>High</v>
          </cell>
          <cell r="O101" t="str">
            <v>Not Run</v>
          </cell>
        </row>
        <row r="102">
          <cell r="C102" t="str">
            <v>Acct Dashboard Financing</v>
          </cell>
          <cell r="F102" t="str">
            <v>Functional</v>
          </cell>
          <cell r="G102" t="str">
            <v>High</v>
          </cell>
          <cell r="O102" t="str">
            <v>Not Run</v>
          </cell>
        </row>
        <row r="103">
          <cell r="C103" t="str">
            <v>Acct Dashboard Financing</v>
          </cell>
          <cell r="F103" t="str">
            <v>Negative</v>
          </cell>
          <cell r="G103" t="str">
            <v>High</v>
          </cell>
          <cell r="O103" t="str">
            <v>Not Run</v>
          </cell>
        </row>
        <row r="104">
          <cell r="C104" t="str">
            <v>Acct Dashboard Financing</v>
          </cell>
          <cell r="F104" t="str">
            <v>Functional</v>
          </cell>
          <cell r="G104" t="str">
            <v>High</v>
          </cell>
          <cell r="O104" t="str">
            <v>Not Run</v>
          </cell>
        </row>
        <row r="105">
          <cell r="C105" t="str">
            <v>Acct Dashboard Financing</v>
          </cell>
          <cell r="F105" t="str">
            <v>Functional</v>
          </cell>
          <cell r="G105" t="str">
            <v>High</v>
          </cell>
          <cell r="O105" t="str">
            <v>Not Run</v>
          </cell>
        </row>
        <row r="106">
          <cell r="C106" t="str">
            <v>Acct Dashboard Financing</v>
          </cell>
          <cell r="F106" t="str">
            <v>Functional</v>
          </cell>
          <cell r="G106" t="str">
            <v>Medium</v>
          </cell>
          <cell r="O106" t="str">
            <v>Not Run</v>
          </cell>
        </row>
        <row r="107">
          <cell r="C107" t="str">
            <v>Acct Dashboard Financing</v>
          </cell>
          <cell r="F107" t="str">
            <v>Functional</v>
          </cell>
          <cell r="G107" t="str">
            <v>Medium</v>
          </cell>
          <cell r="O107" t="str">
            <v>Not Run</v>
          </cell>
        </row>
        <row r="108">
          <cell r="C108" t="str">
            <v>Acct Dashboard Financing</v>
          </cell>
          <cell r="F108" t="str">
            <v>Functional</v>
          </cell>
          <cell r="G108" t="str">
            <v>Medium</v>
          </cell>
          <cell r="O108" t="str">
            <v>Not Run</v>
          </cell>
        </row>
        <row r="109">
          <cell r="C109" t="str">
            <v>Acct Dashboard Financing</v>
          </cell>
          <cell r="F109" t="str">
            <v>Functional</v>
          </cell>
          <cell r="G109" t="str">
            <v>Medium</v>
          </cell>
          <cell r="O109" t="str">
            <v>Not Run</v>
          </cell>
        </row>
        <row r="110">
          <cell r="C110" t="str">
            <v>Acct Dashboard Financing</v>
          </cell>
          <cell r="F110" t="str">
            <v>Functional</v>
          </cell>
          <cell r="G110" t="str">
            <v>High</v>
          </cell>
          <cell r="O110" t="str">
            <v>Not Run</v>
          </cell>
        </row>
        <row r="111">
          <cell r="C111" t="str">
            <v>Acct Dashboard Financing</v>
          </cell>
          <cell r="F111" t="str">
            <v>Positive</v>
          </cell>
          <cell r="G111" t="str">
            <v>High</v>
          </cell>
          <cell r="O111" t="str">
            <v>Not Run</v>
          </cell>
        </row>
        <row r="112">
          <cell r="C112" t="str">
            <v>Acct Dashboard Financing</v>
          </cell>
          <cell r="F112" t="str">
            <v>Negative</v>
          </cell>
          <cell r="G112" t="str">
            <v>High</v>
          </cell>
          <cell r="O112" t="str">
            <v>Not Run</v>
          </cell>
        </row>
        <row r="113">
          <cell r="C113" t="str">
            <v>Acct Dashboard Financing</v>
          </cell>
          <cell r="F113" t="str">
            <v>Positive</v>
          </cell>
          <cell r="G113" t="str">
            <v>Medium</v>
          </cell>
          <cell r="O113" t="str">
            <v>Not Run</v>
          </cell>
        </row>
        <row r="114">
          <cell r="C114" t="str">
            <v>Acct Dashboard Financing</v>
          </cell>
          <cell r="F114" t="str">
            <v>Negative</v>
          </cell>
          <cell r="G114" t="str">
            <v>High</v>
          </cell>
          <cell r="O114" t="str">
            <v>Not Run</v>
          </cell>
        </row>
        <row r="115">
          <cell r="C115" t="str">
            <v>Acct Dashboard Financing</v>
          </cell>
          <cell r="F115" t="str">
            <v>Security</v>
          </cell>
          <cell r="G115" t="str">
            <v>High</v>
          </cell>
          <cell r="O115" t="str">
            <v>Not Run</v>
          </cell>
        </row>
        <row r="116">
          <cell r="C116" t="str">
            <v>Acct Dashboard Financing</v>
          </cell>
          <cell r="F116" t="str">
            <v>Negative / Security</v>
          </cell>
          <cell r="G116" t="str">
            <v>High</v>
          </cell>
          <cell r="O116" t="str">
            <v>Not Run</v>
          </cell>
        </row>
        <row r="117">
          <cell r="C117" t="str">
            <v>Acct Dashboard Financing</v>
          </cell>
          <cell r="F117" t="str">
            <v>UI / Functional</v>
          </cell>
          <cell r="G117" t="str">
            <v>Medium</v>
          </cell>
          <cell r="O117" t="str">
            <v>Not Run</v>
          </cell>
        </row>
        <row r="118">
          <cell r="C118" t="str">
            <v>Acct Dashboard Financing</v>
          </cell>
          <cell r="F118" t="str">
            <v>UI / Functional</v>
          </cell>
          <cell r="G118" t="str">
            <v>Medium</v>
          </cell>
          <cell r="O118" t="str">
            <v>Not Run</v>
          </cell>
        </row>
        <row r="119">
          <cell r="C119" t="str">
            <v>Acct Dashboard Financing</v>
          </cell>
          <cell r="F119" t="str">
            <v>UI / Functional</v>
          </cell>
          <cell r="G119" t="str">
            <v>Medium</v>
          </cell>
          <cell r="O119" t="str">
            <v>Not Run</v>
          </cell>
        </row>
        <row r="120">
          <cell r="C120" t="str">
            <v>Acct Dashboard Financing</v>
          </cell>
          <cell r="F120" t="str">
            <v>Functional</v>
          </cell>
          <cell r="G120" t="str">
            <v>High</v>
          </cell>
          <cell r="O120" t="str">
            <v>Not Run</v>
          </cell>
        </row>
        <row r="121">
          <cell r="C121" t="str">
            <v>Acct Dashboard Financing</v>
          </cell>
          <cell r="F121" t="str">
            <v>Functional</v>
          </cell>
          <cell r="G121" t="str">
            <v>Medium</v>
          </cell>
          <cell r="O121" t="str">
            <v>Not Run</v>
          </cell>
        </row>
        <row r="122">
          <cell r="C122" t="str">
            <v>Acct Dashboard Financing</v>
          </cell>
          <cell r="F122" t="str">
            <v>Functional</v>
          </cell>
          <cell r="G122" t="str">
            <v>Medium</v>
          </cell>
          <cell r="O122" t="str">
            <v>Not Run</v>
          </cell>
        </row>
        <row r="123">
          <cell r="C123" t="str">
            <v>Acct Dashboard Financing</v>
          </cell>
          <cell r="F123" t="str">
            <v>Functional</v>
          </cell>
          <cell r="G123" t="str">
            <v>Medium</v>
          </cell>
          <cell r="O123" t="str">
            <v>Not Run</v>
          </cell>
        </row>
        <row r="124">
          <cell r="C124" t="str">
            <v>Acct Dashboard Financing</v>
          </cell>
          <cell r="F124" t="str">
            <v>Functional</v>
          </cell>
          <cell r="G124" t="str">
            <v>Medium</v>
          </cell>
          <cell r="O124" t="str">
            <v>Not Run</v>
          </cell>
        </row>
        <row r="125">
          <cell r="C125" t="str">
            <v>Acct Dashboard Financing</v>
          </cell>
          <cell r="F125" t="str">
            <v>Functional</v>
          </cell>
          <cell r="G125" t="str">
            <v>Medium</v>
          </cell>
          <cell r="O125" t="str">
            <v>Not Run</v>
          </cell>
        </row>
        <row r="126">
          <cell r="C126" t="str">
            <v>Acct Dashboard Financing</v>
          </cell>
          <cell r="F126" t="str">
            <v>UI / Functional</v>
          </cell>
          <cell r="G126" t="str">
            <v>Medium</v>
          </cell>
          <cell r="O126" t="str">
            <v>Not Run</v>
          </cell>
        </row>
        <row r="127">
          <cell r="C127" t="str">
            <v>Acct Dashboard Financing</v>
          </cell>
          <cell r="F127" t="str">
            <v>Functional</v>
          </cell>
          <cell r="G127" t="str">
            <v>Medium</v>
          </cell>
          <cell r="O127" t="str">
            <v>Not Run</v>
          </cell>
        </row>
        <row r="128">
          <cell r="C128" t="str">
            <v>Acct Dashboard Financing</v>
          </cell>
          <cell r="F128" t="str">
            <v>Functional</v>
          </cell>
          <cell r="G128" t="str">
            <v>Medium</v>
          </cell>
          <cell r="O128" t="str">
            <v>Not Run</v>
          </cell>
        </row>
        <row r="129">
          <cell r="C129" t="str">
            <v>Acct Dashboard Financing</v>
          </cell>
          <cell r="F129" t="str">
            <v>Functional</v>
          </cell>
          <cell r="G129" t="str">
            <v>Medium</v>
          </cell>
          <cell r="O129" t="str">
            <v>Not Run</v>
          </cell>
        </row>
        <row r="130">
          <cell r="C130" t="str">
            <v>Acct Dashboard Financing</v>
          </cell>
          <cell r="F130" t="str">
            <v>Functional</v>
          </cell>
          <cell r="G130" t="str">
            <v>Medium</v>
          </cell>
          <cell r="O130" t="str">
            <v>Not Run</v>
          </cell>
        </row>
        <row r="131">
          <cell r="C131" t="str">
            <v>Acct Dashboard Financing</v>
          </cell>
          <cell r="F131" t="str">
            <v>Functional</v>
          </cell>
          <cell r="G131" t="str">
            <v>Medium</v>
          </cell>
          <cell r="O131" t="str">
            <v>Not Run</v>
          </cell>
        </row>
        <row r="132">
          <cell r="C132" t="str">
            <v>Acct Dashboard Financing</v>
          </cell>
          <cell r="F132" t="str">
            <v>Functional</v>
          </cell>
          <cell r="G132" t="str">
            <v>Medium</v>
          </cell>
          <cell r="O132" t="str">
            <v>Not Run</v>
          </cell>
        </row>
        <row r="133">
          <cell r="C133" t="str">
            <v>Acct Dashboard Financing</v>
          </cell>
          <cell r="F133" t="str">
            <v>Functional</v>
          </cell>
          <cell r="G133" t="str">
            <v>Medium</v>
          </cell>
          <cell r="O133" t="str">
            <v>Not Run</v>
          </cell>
        </row>
        <row r="134">
          <cell r="C134" t="str">
            <v>Acct Dashboard Financing</v>
          </cell>
          <cell r="F134" t="str">
            <v>Functional</v>
          </cell>
          <cell r="G134" t="str">
            <v>Medium</v>
          </cell>
          <cell r="O134" t="str">
            <v>Not Run</v>
          </cell>
        </row>
        <row r="135">
          <cell r="C135" t="str">
            <v>Acct Dashboard Financing</v>
          </cell>
          <cell r="F135" t="str">
            <v>Functional</v>
          </cell>
          <cell r="G135" t="str">
            <v>Medium</v>
          </cell>
          <cell r="O135" t="str">
            <v>Not Run</v>
          </cell>
        </row>
        <row r="136">
          <cell r="C136" t="str">
            <v>Acct Dashboard Financing</v>
          </cell>
          <cell r="F136" t="str">
            <v>Functional</v>
          </cell>
          <cell r="G136" t="str">
            <v>Medium</v>
          </cell>
          <cell r="O136" t="str">
            <v>Not Run</v>
          </cell>
        </row>
        <row r="137">
          <cell r="C137" t="str">
            <v>Acct Dashboard Financing</v>
          </cell>
          <cell r="F137" t="str">
            <v>Functional</v>
          </cell>
          <cell r="G137" t="str">
            <v>Medium</v>
          </cell>
          <cell r="O137" t="str">
            <v>Not Run</v>
          </cell>
        </row>
        <row r="138">
          <cell r="C138" t="str">
            <v>Acct Dashboard Financing</v>
          </cell>
          <cell r="F138" t="str">
            <v>Functional</v>
          </cell>
          <cell r="G138" t="str">
            <v>Medium</v>
          </cell>
          <cell r="O138" t="str">
            <v>Not Run</v>
          </cell>
        </row>
        <row r="139">
          <cell r="C139" t="str">
            <v>Acct Dashboard Financing</v>
          </cell>
          <cell r="F139" t="str">
            <v>Functional</v>
          </cell>
          <cell r="G139" t="str">
            <v>Medium</v>
          </cell>
          <cell r="O139" t="str">
            <v>Not Run</v>
          </cell>
        </row>
        <row r="140">
          <cell r="C140" t="str">
            <v>Acct Dashboard Financing</v>
          </cell>
          <cell r="F140" t="str">
            <v>Functional</v>
          </cell>
          <cell r="G140" t="str">
            <v>High</v>
          </cell>
          <cell r="O140" t="str">
            <v>Not Run</v>
          </cell>
        </row>
        <row r="141">
          <cell r="C141" t="str">
            <v>Acct Dashboard Financing</v>
          </cell>
          <cell r="F141" t="str">
            <v>Functional</v>
          </cell>
          <cell r="G141" t="str">
            <v>Medium</v>
          </cell>
          <cell r="O141" t="str">
            <v>Not Run</v>
          </cell>
        </row>
        <row r="142">
          <cell r="C142" t="str">
            <v>Acct Dashboard Financing</v>
          </cell>
          <cell r="F142" t="str">
            <v>Functional</v>
          </cell>
          <cell r="G142" t="str">
            <v>Medium</v>
          </cell>
          <cell r="O142" t="str">
            <v>Not Run</v>
          </cell>
        </row>
        <row r="143">
          <cell r="C143" t="str">
            <v>Acct Dashboard Financing</v>
          </cell>
          <cell r="F143" t="str">
            <v>Functional</v>
          </cell>
          <cell r="G143" t="str">
            <v>Medium</v>
          </cell>
          <cell r="O143" t="str">
            <v>Not Run</v>
          </cell>
        </row>
        <row r="144">
          <cell r="C144" t="str">
            <v>Acct Dashboard Financing</v>
          </cell>
          <cell r="F144" t="str">
            <v>Functional</v>
          </cell>
          <cell r="G144" t="str">
            <v>Medium</v>
          </cell>
          <cell r="O144" t="str">
            <v>Not Run</v>
          </cell>
        </row>
        <row r="145">
          <cell r="C145" t="str">
            <v>Acct Dashboard Financing</v>
          </cell>
          <cell r="F145" t="str">
            <v>Functional</v>
          </cell>
          <cell r="G145" t="str">
            <v>Medium</v>
          </cell>
          <cell r="O145" t="str">
            <v>Not Run</v>
          </cell>
        </row>
        <row r="146">
          <cell r="C146" t="str">
            <v>Acct Dashboard Financing</v>
          </cell>
          <cell r="F146" t="str">
            <v>Functional</v>
          </cell>
          <cell r="G146" t="str">
            <v>Medium</v>
          </cell>
          <cell r="O146" t="str">
            <v>Not Run</v>
          </cell>
        </row>
        <row r="147">
          <cell r="C147" t="str">
            <v>Acct Dashboard Financing</v>
          </cell>
          <cell r="F147" t="str">
            <v>Functional</v>
          </cell>
          <cell r="G147" t="str">
            <v>High</v>
          </cell>
          <cell r="O147" t="str">
            <v>Not Run</v>
          </cell>
        </row>
        <row r="148">
          <cell r="C148" t="str">
            <v>Acct Dashboard Financing</v>
          </cell>
          <cell r="F148" t="str">
            <v>Functional</v>
          </cell>
          <cell r="G148" t="str">
            <v>High</v>
          </cell>
          <cell r="O148" t="str">
            <v>Not Run</v>
          </cell>
        </row>
        <row r="149">
          <cell r="C149" t="str">
            <v>Acct Dashboard Financing</v>
          </cell>
          <cell r="F149" t="str">
            <v>Functional</v>
          </cell>
          <cell r="G149" t="str">
            <v>High</v>
          </cell>
          <cell r="O149" t="str">
            <v>Not Run</v>
          </cell>
        </row>
        <row r="150">
          <cell r="C150" t="str">
            <v>Acct Dashboard Financing</v>
          </cell>
          <cell r="F150" t="str">
            <v>Negative</v>
          </cell>
          <cell r="G150" t="str">
            <v>High</v>
          </cell>
          <cell r="O150" t="str">
            <v>Not Run</v>
          </cell>
        </row>
        <row r="151">
          <cell r="C151" t="str">
            <v>Acct Dashboard Financing</v>
          </cell>
          <cell r="F151" t="str">
            <v>Functional</v>
          </cell>
          <cell r="G151" t="str">
            <v>High</v>
          </cell>
          <cell r="O151" t="str">
            <v>Not Run</v>
          </cell>
        </row>
        <row r="152">
          <cell r="C152" t="str">
            <v>Acct Dashboard Financing</v>
          </cell>
          <cell r="F152" t="str">
            <v>Functional</v>
          </cell>
          <cell r="G152" t="str">
            <v>High</v>
          </cell>
          <cell r="O152" t="str">
            <v>Not Run</v>
          </cell>
        </row>
        <row r="153">
          <cell r="C153" t="str">
            <v>Acct Dashboard Financing</v>
          </cell>
          <cell r="F153" t="str">
            <v>Functional</v>
          </cell>
          <cell r="G153" t="str">
            <v>Medium</v>
          </cell>
          <cell r="O153" t="str">
            <v>Not Run</v>
          </cell>
        </row>
        <row r="154">
          <cell r="C154" t="str">
            <v>Acct Dashboard Financing</v>
          </cell>
          <cell r="F154" t="str">
            <v>Functional</v>
          </cell>
          <cell r="G154" t="str">
            <v>Medium</v>
          </cell>
          <cell r="O154" t="str">
            <v>Not Run</v>
          </cell>
        </row>
        <row r="155">
          <cell r="C155" t="str">
            <v>Acct Dashboard Financing</v>
          </cell>
          <cell r="F155" t="str">
            <v>Functional</v>
          </cell>
          <cell r="G155" t="str">
            <v>Medium</v>
          </cell>
          <cell r="O155" t="str">
            <v>Not Run</v>
          </cell>
        </row>
        <row r="156">
          <cell r="C156" t="str">
            <v>Acct Dashboard Financing</v>
          </cell>
          <cell r="F156" t="str">
            <v>Functional</v>
          </cell>
          <cell r="G156" t="str">
            <v>Medium</v>
          </cell>
          <cell r="O156" t="str">
            <v>Not Run</v>
          </cell>
        </row>
        <row r="157">
          <cell r="C157" t="str">
            <v>Acct Dashboard Financing</v>
          </cell>
          <cell r="F157" t="str">
            <v>Functional</v>
          </cell>
          <cell r="G157" t="str">
            <v>High</v>
          </cell>
          <cell r="O157" t="str">
            <v>Not Run</v>
          </cell>
        </row>
        <row r="158">
          <cell r="C158" t="str">
            <v>Acct Dashboard Financing</v>
          </cell>
          <cell r="F158" t="str">
            <v>Positive</v>
          </cell>
          <cell r="G158" t="str">
            <v>High</v>
          </cell>
          <cell r="O158" t="str">
            <v>Not Run</v>
          </cell>
        </row>
        <row r="159">
          <cell r="C159" t="str">
            <v>Acct Dashboard Financing</v>
          </cell>
          <cell r="F159" t="str">
            <v>Negative</v>
          </cell>
          <cell r="G159" t="str">
            <v>High</v>
          </cell>
          <cell r="O159" t="str">
            <v>Not Run</v>
          </cell>
        </row>
        <row r="160">
          <cell r="C160" t="str">
            <v>Acct Dashboard Non-Financing</v>
          </cell>
          <cell r="F160" t="str">
            <v>Positive</v>
          </cell>
          <cell r="G160" t="str">
            <v>Medium</v>
          </cell>
          <cell r="O160" t="str">
            <v>Not Run</v>
          </cell>
        </row>
        <row r="161">
          <cell r="C161" t="str">
            <v>Acct Dashboard Non-Financing</v>
          </cell>
          <cell r="F161" t="str">
            <v>Negative</v>
          </cell>
          <cell r="G161" t="str">
            <v>High</v>
          </cell>
          <cell r="O161" t="str">
            <v>Not Run</v>
          </cell>
        </row>
        <row r="162">
          <cell r="C162" t="str">
            <v>Acct Dashboard Non-Financing</v>
          </cell>
          <cell r="F162" t="str">
            <v>Security</v>
          </cell>
          <cell r="G162" t="str">
            <v>High</v>
          </cell>
          <cell r="O162" t="str">
            <v>Not Run</v>
          </cell>
        </row>
        <row r="163">
          <cell r="C163" t="str">
            <v>Acct Dashboard Non-Financing</v>
          </cell>
          <cell r="F163" t="str">
            <v>Negative / Security</v>
          </cell>
          <cell r="G163" t="str">
            <v>High</v>
          </cell>
          <cell r="O163" t="str">
            <v>Not Run</v>
          </cell>
        </row>
        <row r="164">
          <cell r="C164" t="str">
            <v>Acct Dashboard Non-Financing</v>
          </cell>
          <cell r="F164" t="str">
            <v>UI / Functional</v>
          </cell>
          <cell r="G164" t="str">
            <v>Medium</v>
          </cell>
          <cell r="O164" t="str">
            <v>Not Run</v>
          </cell>
        </row>
        <row r="165">
          <cell r="C165" t="str">
            <v>Acct Dashboard Non-Financing</v>
          </cell>
          <cell r="F165" t="str">
            <v>UI / Functional</v>
          </cell>
          <cell r="G165" t="str">
            <v>Medium</v>
          </cell>
          <cell r="O165" t="str">
            <v>Not Run</v>
          </cell>
        </row>
        <row r="166">
          <cell r="C166" t="str">
            <v>Acct Dashboard Non-Financing</v>
          </cell>
          <cell r="F166" t="str">
            <v>UI / Functional</v>
          </cell>
          <cell r="G166" t="str">
            <v>High</v>
          </cell>
          <cell r="O166" t="str">
            <v>Not Run</v>
          </cell>
        </row>
        <row r="167">
          <cell r="C167" t="str">
            <v>Acct Dashboard Non-Financing</v>
          </cell>
          <cell r="F167" t="str">
            <v>UI / Functional</v>
          </cell>
          <cell r="G167" t="str">
            <v>High</v>
          </cell>
          <cell r="O167" t="str">
            <v>Not Run</v>
          </cell>
        </row>
        <row r="168">
          <cell r="C168" t="str">
            <v>Acct Dashboard Non-Financing</v>
          </cell>
          <cell r="F168" t="str">
            <v>Functional</v>
          </cell>
          <cell r="G168" t="str">
            <v>Medium</v>
          </cell>
          <cell r="O168" t="str">
            <v>Not Run</v>
          </cell>
        </row>
        <row r="169">
          <cell r="C169" t="str">
            <v>Acct Dashboard Non-Financing</v>
          </cell>
          <cell r="F169" t="str">
            <v>UI / Functional</v>
          </cell>
          <cell r="G169" t="str">
            <v>Medium</v>
          </cell>
          <cell r="O169" t="str">
            <v>Not Run</v>
          </cell>
        </row>
        <row r="170">
          <cell r="C170" t="str">
            <v>Acct Dashboard Non-Financing</v>
          </cell>
          <cell r="F170" t="str">
            <v>Functional</v>
          </cell>
          <cell r="G170" t="str">
            <v>High</v>
          </cell>
          <cell r="O170" t="str">
            <v>Not Run</v>
          </cell>
        </row>
        <row r="171">
          <cell r="C171" t="str">
            <v>Acct Dashboard Non-Financing</v>
          </cell>
          <cell r="F171" t="str">
            <v>UI / Functional</v>
          </cell>
          <cell r="G171" t="str">
            <v>Medium</v>
          </cell>
          <cell r="O171" t="str">
            <v>Not Run</v>
          </cell>
        </row>
        <row r="172">
          <cell r="C172" t="str">
            <v>Acct Dashboard Non-Financing</v>
          </cell>
          <cell r="F172" t="str">
            <v>Negative</v>
          </cell>
          <cell r="G172" t="str">
            <v>High</v>
          </cell>
          <cell r="O172" t="str">
            <v>Not Run</v>
          </cell>
        </row>
        <row r="173">
          <cell r="C173" t="str">
            <v>Acct Dashboard Non-Financing</v>
          </cell>
          <cell r="F173" t="str">
            <v>Negative</v>
          </cell>
          <cell r="G173" t="str">
            <v>Medium</v>
          </cell>
          <cell r="O173" t="str">
            <v>Not Run</v>
          </cell>
        </row>
        <row r="174">
          <cell r="C174" t="str">
            <v>Acct Dashboard Non-Financing</v>
          </cell>
          <cell r="F174" t="str">
            <v>UI / Functional</v>
          </cell>
          <cell r="G174" t="str">
            <v>Medium</v>
          </cell>
          <cell r="O174" t="str">
            <v>Not Run</v>
          </cell>
        </row>
        <row r="175">
          <cell r="C175" t="str">
            <v>Acct Dashboard Non-Financing</v>
          </cell>
          <cell r="F175" t="str">
            <v>UI / Functional</v>
          </cell>
          <cell r="G175" t="str">
            <v>Medium</v>
          </cell>
          <cell r="O175" t="str">
            <v>Not Run</v>
          </cell>
        </row>
        <row r="176">
          <cell r="C176" t="str">
            <v>Acct Dashboard Non-Financing</v>
          </cell>
          <cell r="F176" t="str">
            <v>Security</v>
          </cell>
          <cell r="G176" t="str">
            <v>High</v>
          </cell>
          <cell r="O176" t="str">
            <v>Not Run</v>
          </cell>
        </row>
        <row r="177">
          <cell r="C177" t="str">
            <v>Acct Dashboard Non-Financing</v>
          </cell>
          <cell r="F177" t="str">
            <v>Positive</v>
          </cell>
          <cell r="G177" t="str">
            <v>High</v>
          </cell>
          <cell r="O177" t="str">
            <v>Not Run</v>
          </cell>
        </row>
        <row r="178">
          <cell r="C178" t="str">
            <v>Acct Dashboard Non-Financing</v>
          </cell>
          <cell r="F178" t="str">
            <v>Negative</v>
          </cell>
          <cell r="G178" t="str">
            <v>High</v>
          </cell>
          <cell r="O178" t="str">
            <v>Not Run</v>
          </cell>
        </row>
        <row r="179">
          <cell r="C179" t="str">
            <v>Acct Dashboard Non-Financing</v>
          </cell>
          <cell r="F179" t="str">
            <v>Positive</v>
          </cell>
          <cell r="G179" t="str">
            <v>Medium</v>
          </cell>
          <cell r="O179" t="str">
            <v>Not Run</v>
          </cell>
        </row>
        <row r="180">
          <cell r="C180" t="str">
            <v>Acct Dashboard Non-Financing</v>
          </cell>
          <cell r="F180" t="str">
            <v>Negative</v>
          </cell>
          <cell r="G180" t="str">
            <v>High</v>
          </cell>
          <cell r="O180" t="str">
            <v>Not Run</v>
          </cell>
        </row>
        <row r="181">
          <cell r="C181" t="str">
            <v>Acct Dashboard Non-Financing</v>
          </cell>
          <cell r="F181" t="str">
            <v>Security</v>
          </cell>
          <cell r="G181" t="str">
            <v>High</v>
          </cell>
          <cell r="O181" t="str">
            <v>Not Run</v>
          </cell>
        </row>
        <row r="182">
          <cell r="C182" t="str">
            <v>Acct Dashboard Non-Financing</v>
          </cell>
          <cell r="F182" t="str">
            <v>Negative / Security</v>
          </cell>
          <cell r="G182" t="str">
            <v>High</v>
          </cell>
          <cell r="O182" t="str">
            <v>Not Run</v>
          </cell>
        </row>
        <row r="183">
          <cell r="C183" t="str">
            <v>Acct Dashboard Non-Financing</v>
          </cell>
          <cell r="F183" t="str">
            <v>UI / Functional</v>
          </cell>
          <cell r="G183" t="str">
            <v>Medium</v>
          </cell>
          <cell r="O183" t="str">
            <v>Not Run</v>
          </cell>
        </row>
        <row r="184">
          <cell r="C184" t="str">
            <v>Acct Dashboard Non-Financing</v>
          </cell>
          <cell r="F184" t="str">
            <v>Functional</v>
          </cell>
          <cell r="G184" t="str">
            <v>Medium</v>
          </cell>
          <cell r="O184" t="str">
            <v>Not Run</v>
          </cell>
        </row>
        <row r="185">
          <cell r="C185" t="str">
            <v>Acct Dashboard Non-Financing</v>
          </cell>
          <cell r="F185" t="str">
            <v>Security</v>
          </cell>
          <cell r="G185" t="str">
            <v>High</v>
          </cell>
          <cell r="O185" t="str">
            <v>Not Run</v>
          </cell>
        </row>
        <row r="186">
          <cell r="C186" t="str">
            <v>Acct Dashboard Non-Financing</v>
          </cell>
          <cell r="F186" t="str">
            <v>UI / Functional</v>
          </cell>
          <cell r="G186" t="str">
            <v>Medium</v>
          </cell>
          <cell r="O186" t="str">
            <v>Not Run</v>
          </cell>
        </row>
        <row r="187">
          <cell r="C187" t="str">
            <v>Acct Dashboard Non-Financing</v>
          </cell>
          <cell r="F187" t="str">
            <v>UI / Functional</v>
          </cell>
          <cell r="G187" t="str">
            <v>Medium</v>
          </cell>
          <cell r="O187" t="str">
            <v>Not Run</v>
          </cell>
        </row>
        <row r="188">
          <cell r="C188" t="str">
            <v>Acct Dashboard Non-Financing</v>
          </cell>
          <cell r="F188" t="str">
            <v>Functional</v>
          </cell>
          <cell r="G188" t="str">
            <v>Medium</v>
          </cell>
          <cell r="O188" t="str">
            <v>Not Run</v>
          </cell>
        </row>
        <row r="189">
          <cell r="C189" t="str">
            <v>Acct Dashboard Non-Financing</v>
          </cell>
          <cell r="F189" t="str">
            <v>Functional</v>
          </cell>
          <cell r="G189" t="str">
            <v>Medium</v>
          </cell>
          <cell r="O189" t="str">
            <v>Not Run</v>
          </cell>
        </row>
        <row r="190">
          <cell r="C190" t="str">
            <v>Acct Dashboard Non-Financing</v>
          </cell>
          <cell r="F190" t="str">
            <v>Functional</v>
          </cell>
          <cell r="G190" t="str">
            <v>High</v>
          </cell>
          <cell r="O190" t="str">
            <v>Not Run</v>
          </cell>
        </row>
        <row r="191">
          <cell r="C191" t="str">
            <v>Acct Dashboard Non-Financing</v>
          </cell>
          <cell r="F191" t="str">
            <v>Positive</v>
          </cell>
          <cell r="G191" t="str">
            <v>High</v>
          </cell>
          <cell r="O191" t="str">
            <v>Not Run</v>
          </cell>
        </row>
        <row r="192">
          <cell r="C192" t="str">
            <v>Acct Dashboard Non-Financing</v>
          </cell>
          <cell r="F192" t="str">
            <v>Negative</v>
          </cell>
          <cell r="G192" t="str">
            <v>High</v>
          </cell>
          <cell r="O192" t="str">
            <v>Not Run</v>
          </cell>
        </row>
        <row r="193">
          <cell r="C193" t="str">
            <v>Acct Dashboard Non-Financing</v>
          </cell>
          <cell r="F193" t="str">
            <v>Positive</v>
          </cell>
          <cell r="G193" t="str">
            <v>Medium</v>
          </cell>
          <cell r="O193" t="str">
            <v>Not Run</v>
          </cell>
        </row>
        <row r="194">
          <cell r="C194" t="str">
            <v>Acct Dashboard Non-Financing</v>
          </cell>
          <cell r="F194" t="str">
            <v>Negative</v>
          </cell>
          <cell r="G194" t="str">
            <v>High</v>
          </cell>
          <cell r="O194" t="str">
            <v>Not Run</v>
          </cell>
        </row>
        <row r="195">
          <cell r="C195" t="str">
            <v>Acct Dashboard Non-Financing</v>
          </cell>
          <cell r="F195" t="str">
            <v>Security</v>
          </cell>
          <cell r="G195" t="str">
            <v>High</v>
          </cell>
          <cell r="O195" t="str">
            <v>Not Run</v>
          </cell>
        </row>
        <row r="196">
          <cell r="C196" t="str">
            <v>Acct Dashboard Non-Financing</v>
          </cell>
          <cell r="F196" t="str">
            <v>Negative / Security</v>
          </cell>
          <cell r="G196" t="str">
            <v>High</v>
          </cell>
          <cell r="O196" t="str">
            <v>Not Run</v>
          </cell>
        </row>
        <row r="197">
          <cell r="C197" t="str">
            <v>Acct Dashboard Non-Financing</v>
          </cell>
          <cell r="F197" t="str">
            <v>UI / Functional</v>
          </cell>
          <cell r="G197" t="str">
            <v>Medium</v>
          </cell>
          <cell r="O197" t="str">
            <v>Not Run</v>
          </cell>
        </row>
        <row r="198">
          <cell r="C198" t="str">
            <v>Acct Dashboard Non-Financing</v>
          </cell>
          <cell r="F198" t="str">
            <v>Functional</v>
          </cell>
          <cell r="G198" t="str">
            <v>Medium</v>
          </cell>
          <cell r="O198" t="str">
            <v>Not Run</v>
          </cell>
        </row>
        <row r="199">
          <cell r="C199" t="str">
            <v>Acct Dashboard Non-Financing</v>
          </cell>
          <cell r="F199" t="str">
            <v>UI / Functional</v>
          </cell>
          <cell r="G199" t="str">
            <v>Medium</v>
          </cell>
          <cell r="O199" t="str">
            <v>Not Run</v>
          </cell>
        </row>
        <row r="200">
          <cell r="C200" t="str">
            <v>Acct Dashboard Non-Financing</v>
          </cell>
          <cell r="F200" t="str">
            <v>UI / Functional</v>
          </cell>
          <cell r="G200" t="str">
            <v>Medium</v>
          </cell>
          <cell r="O200" t="str">
            <v>Not Run</v>
          </cell>
        </row>
        <row r="201">
          <cell r="C201" t="str">
            <v>Acct Dashboard Non-Financing</v>
          </cell>
          <cell r="F201" t="str">
            <v>UI / Functional</v>
          </cell>
          <cell r="G201" t="str">
            <v>Medium</v>
          </cell>
          <cell r="O201" t="str">
            <v>Not Run</v>
          </cell>
        </row>
        <row r="202">
          <cell r="C202" t="str">
            <v>Acct Dashboard Non-Financing</v>
          </cell>
          <cell r="F202" t="str">
            <v>Functional</v>
          </cell>
          <cell r="G202" t="str">
            <v>Medium</v>
          </cell>
          <cell r="O202" t="str">
            <v>Not Run</v>
          </cell>
        </row>
        <row r="203">
          <cell r="C203" t="str">
            <v>Acct Dashboard Non-Financing</v>
          </cell>
          <cell r="F203" t="str">
            <v>Functional</v>
          </cell>
          <cell r="G203" t="str">
            <v>Medium</v>
          </cell>
          <cell r="O203" t="str">
            <v>Not Run</v>
          </cell>
        </row>
        <row r="204">
          <cell r="C204" t="str">
            <v>Acct Dashboard Non-Financing</v>
          </cell>
          <cell r="F204" t="str">
            <v>Functional</v>
          </cell>
          <cell r="G204" t="str">
            <v>Medium</v>
          </cell>
          <cell r="O204" t="str">
            <v>Not Run</v>
          </cell>
        </row>
        <row r="205">
          <cell r="C205" t="str">
            <v>Acct Dashboard Non-Financing</v>
          </cell>
          <cell r="F205" t="str">
            <v>Positive</v>
          </cell>
          <cell r="G205" t="str">
            <v>High</v>
          </cell>
          <cell r="O205" t="str">
            <v>Not Run</v>
          </cell>
        </row>
        <row r="206">
          <cell r="C206" t="str">
            <v>Acct Dashboard Non-Financing</v>
          </cell>
          <cell r="F206" t="str">
            <v>Negative</v>
          </cell>
          <cell r="G206" t="str">
            <v>High</v>
          </cell>
          <cell r="O206" t="str">
            <v>Not Run</v>
          </cell>
        </row>
        <row r="207">
          <cell r="C207" t="str">
            <v>Acct Dashboard Non-Financing</v>
          </cell>
          <cell r="F207" t="str">
            <v>Positive</v>
          </cell>
          <cell r="G207" t="str">
            <v>Medium</v>
          </cell>
          <cell r="O207" t="str">
            <v>Not Run</v>
          </cell>
        </row>
        <row r="208">
          <cell r="C208" t="str">
            <v>Acct Dashboard Non-Financing</v>
          </cell>
          <cell r="F208" t="str">
            <v>Negative</v>
          </cell>
          <cell r="G208" t="str">
            <v>High</v>
          </cell>
          <cell r="O208" t="str">
            <v>Not Run</v>
          </cell>
        </row>
        <row r="209">
          <cell r="C209" t="str">
            <v>Acct Dashboard Non-Financing</v>
          </cell>
          <cell r="F209" t="str">
            <v>Security</v>
          </cell>
          <cell r="G209" t="str">
            <v>High</v>
          </cell>
          <cell r="O209" t="str">
            <v>Not Run</v>
          </cell>
        </row>
        <row r="210">
          <cell r="C210" t="str">
            <v>Acct Dashboard Non-Financing</v>
          </cell>
          <cell r="F210" t="str">
            <v>Negative / Security</v>
          </cell>
          <cell r="G210" t="str">
            <v>High</v>
          </cell>
          <cell r="O210" t="str">
            <v>Not Run</v>
          </cell>
        </row>
        <row r="211">
          <cell r="C211" t="str">
            <v>Acct Dashboard Non-Financing</v>
          </cell>
          <cell r="F211" t="str">
            <v>UI / Functional</v>
          </cell>
          <cell r="G211" t="str">
            <v>Medium</v>
          </cell>
          <cell r="O211" t="str">
            <v>Not Run</v>
          </cell>
        </row>
        <row r="212">
          <cell r="C212" t="str">
            <v>Acct Dashboard Non-Financing</v>
          </cell>
          <cell r="F212" t="str">
            <v>Functional</v>
          </cell>
          <cell r="G212" t="str">
            <v>Medium</v>
          </cell>
          <cell r="O212" t="str">
            <v>Not Run</v>
          </cell>
        </row>
        <row r="213">
          <cell r="C213" t="str">
            <v>Acct Dashboard Non-Financing</v>
          </cell>
          <cell r="F213" t="str">
            <v>Negative</v>
          </cell>
          <cell r="G213" t="str">
            <v>High</v>
          </cell>
          <cell r="O213" t="str">
            <v>Not Run</v>
          </cell>
        </row>
        <row r="214">
          <cell r="C214" t="str">
            <v>Acct Dashboard Non-Financing</v>
          </cell>
          <cell r="F214" t="str">
            <v>UI / Functional</v>
          </cell>
          <cell r="G214" t="str">
            <v>Medium</v>
          </cell>
          <cell r="O214" t="str">
            <v>Not Run</v>
          </cell>
        </row>
        <row r="215">
          <cell r="C215" t="str">
            <v>Acct Dashboard Non-Financing</v>
          </cell>
          <cell r="F215" t="str">
            <v>UI / Functional</v>
          </cell>
          <cell r="G215" t="str">
            <v>Medium</v>
          </cell>
          <cell r="O215" t="str">
            <v>Not Run</v>
          </cell>
        </row>
        <row r="216">
          <cell r="C216" t="str">
            <v>Acct Dashboard Non-Financing</v>
          </cell>
          <cell r="F216" t="str">
            <v>Functional</v>
          </cell>
          <cell r="G216" t="str">
            <v>Medium</v>
          </cell>
          <cell r="O216" t="str">
            <v>Not Run</v>
          </cell>
        </row>
        <row r="217">
          <cell r="C217" t="str">
            <v>Acct Dashboard Non-Financing</v>
          </cell>
          <cell r="F217" t="str">
            <v>Functional</v>
          </cell>
          <cell r="G217" t="str">
            <v>Medium</v>
          </cell>
          <cell r="O217" t="str">
            <v>Not Run</v>
          </cell>
        </row>
        <row r="218">
          <cell r="C218" t="str">
            <v>Acct Dashboard Non-Financing</v>
          </cell>
          <cell r="F218" t="str">
            <v>Functional</v>
          </cell>
          <cell r="G218" t="str">
            <v>Medium</v>
          </cell>
          <cell r="O218" t="str">
            <v>Not Run</v>
          </cell>
        </row>
        <row r="219">
          <cell r="C219" t="str">
            <v>Acct Dashboard Non-Financing</v>
          </cell>
          <cell r="F219" t="str">
            <v>Positive</v>
          </cell>
          <cell r="G219" t="str">
            <v>High</v>
          </cell>
          <cell r="O219" t="str">
            <v>Not Run</v>
          </cell>
        </row>
        <row r="220">
          <cell r="C220" t="str">
            <v>Acct Dashboard Non-Financing</v>
          </cell>
          <cell r="F220" t="str">
            <v>Negative</v>
          </cell>
          <cell r="G220" t="str">
            <v>High</v>
          </cell>
          <cell r="O220" t="str">
            <v>Not Run</v>
          </cell>
        </row>
        <row r="221">
          <cell r="C221" t="str">
            <v>Acct Dashboard Non-Financing</v>
          </cell>
          <cell r="F221" t="str">
            <v>Positive</v>
          </cell>
          <cell r="G221" t="str">
            <v>Medium</v>
          </cell>
          <cell r="O221" t="str">
            <v>Not Run</v>
          </cell>
        </row>
        <row r="222">
          <cell r="C222" t="str">
            <v>Acct Dashboard Non-Financing</v>
          </cell>
          <cell r="F222" t="str">
            <v>Negative</v>
          </cell>
          <cell r="G222" t="str">
            <v>High</v>
          </cell>
          <cell r="O222" t="str">
            <v>Not Run</v>
          </cell>
        </row>
        <row r="223">
          <cell r="C223" t="str">
            <v>Acct Dashboard Non-Financing</v>
          </cell>
          <cell r="F223" t="str">
            <v>Security</v>
          </cell>
          <cell r="G223" t="str">
            <v>High</v>
          </cell>
          <cell r="O223" t="str">
            <v>Not Run</v>
          </cell>
        </row>
        <row r="224">
          <cell r="C224" t="str">
            <v>Acct Dashboard Non-Financing</v>
          </cell>
          <cell r="F224" t="str">
            <v>Negative / Security</v>
          </cell>
          <cell r="G224" t="str">
            <v>High</v>
          </cell>
          <cell r="O224" t="str">
            <v>Not Run</v>
          </cell>
        </row>
        <row r="225">
          <cell r="C225" t="str">
            <v>Acct Dashboard Non-Financing</v>
          </cell>
          <cell r="F225" t="str">
            <v>UI / Functional</v>
          </cell>
          <cell r="G225" t="str">
            <v>Medium</v>
          </cell>
          <cell r="O225" t="str">
            <v>Not Run</v>
          </cell>
        </row>
        <row r="226">
          <cell r="C226" t="str">
            <v>Acct Dashboard Non-Financing</v>
          </cell>
          <cell r="F226" t="str">
            <v>Functional</v>
          </cell>
          <cell r="G226" t="str">
            <v>Medium</v>
          </cell>
          <cell r="O226" t="str">
            <v>Not Run</v>
          </cell>
        </row>
        <row r="227">
          <cell r="C227" t="str">
            <v>Acct Dashboard Non-Financing</v>
          </cell>
          <cell r="F227" t="str">
            <v>Functional</v>
          </cell>
          <cell r="G227" t="str">
            <v>Medium</v>
          </cell>
          <cell r="O227" t="str">
            <v>Not Run</v>
          </cell>
        </row>
        <row r="228">
          <cell r="C228" t="str">
            <v>Acct Dashboard Non-Financing</v>
          </cell>
          <cell r="F228" t="str">
            <v>Negative</v>
          </cell>
          <cell r="G228" t="str">
            <v>High</v>
          </cell>
          <cell r="O228" t="str">
            <v>Not Run</v>
          </cell>
        </row>
        <row r="229">
          <cell r="C229" t="str">
            <v>Acct Dashboard Non-Financing</v>
          </cell>
          <cell r="F229" t="str">
            <v>UI / Functional</v>
          </cell>
          <cell r="G229" t="str">
            <v>Medium</v>
          </cell>
          <cell r="O229" t="str">
            <v>Not Run</v>
          </cell>
        </row>
        <row r="230">
          <cell r="C230" t="str">
            <v>Acct Dashboard Non-Financing</v>
          </cell>
          <cell r="F230" t="str">
            <v>UI / Functional</v>
          </cell>
          <cell r="G230" t="str">
            <v>Medium</v>
          </cell>
          <cell r="O230" t="str">
            <v>Not Run</v>
          </cell>
        </row>
        <row r="231">
          <cell r="C231" t="str">
            <v>Acct Dashboard Non-Financing</v>
          </cell>
          <cell r="F231" t="str">
            <v>Functional</v>
          </cell>
          <cell r="G231" t="str">
            <v>Medium</v>
          </cell>
          <cell r="O231" t="str">
            <v>Not Run</v>
          </cell>
        </row>
        <row r="232">
          <cell r="C232" t="str">
            <v>Acct Dashboard Non-Financing</v>
          </cell>
          <cell r="F232" t="str">
            <v>Functional</v>
          </cell>
          <cell r="G232" t="str">
            <v>Medium</v>
          </cell>
          <cell r="O232" t="str">
            <v>Not Run</v>
          </cell>
        </row>
        <row r="233">
          <cell r="C233" t="str">
            <v>Acct Dashboard Non-Financing</v>
          </cell>
          <cell r="F233" t="str">
            <v>Functional</v>
          </cell>
          <cell r="G233" t="str">
            <v>Medium</v>
          </cell>
          <cell r="O233" t="str">
            <v>Not Run</v>
          </cell>
        </row>
        <row r="234">
          <cell r="C234" t="str">
            <v>Acct Dashboard Non-Financing</v>
          </cell>
          <cell r="F234" t="str">
            <v>Positive</v>
          </cell>
          <cell r="G234" t="str">
            <v>High</v>
          </cell>
          <cell r="O234" t="str">
            <v>Not Run</v>
          </cell>
        </row>
        <row r="235">
          <cell r="C235" t="str">
            <v>Acct Dashboard Non-Financing</v>
          </cell>
          <cell r="F235" t="str">
            <v>Negative</v>
          </cell>
          <cell r="G235" t="str">
            <v>High</v>
          </cell>
          <cell r="O235" t="str">
            <v>Not Run</v>
          </cell>
        </row>
        <row r="236">
          <cell r="C236" t="str">
            <v>Acct Dashboard Non-Financing</v>
          </cell>
          <cell r="F236" t="str">
            <v>Positive</v>
          </cell>
          <cell r="G236" t="str">
            <v>Medium</v>
          </cell>
          <cell r="O236" t="str">
            <v>Not Run</v>
          </cell>
        </row>
        <row r="237">
          <cell r="C237" t="str">
            <v>Acct Dashboard Non-Financing</v>
          </cell>
          <cell r="F237" t="str">
            <v>Negative</v>
          </cell>
          <cell r="G237" t="str">
            <v>High</v>
          </cell>
          <cell r="O237" t="str">
            <v>Not Run</v>
          </cell>
        </row>
        <row r="238">
          <cell r="C238" t="str">
            <v>Acct Dashboard Non-Financing</v>
          </cell>
          <cell r="F238" t="str">
            <v>Security</v>
          </cell>
          <cell r="G238" t="str">
            <v>High</v>
          </cell>
          <cell r="O238" t="str">
            <v>Not Run</v>
          </cell>
        </row>
        <row r="239">
          <cell r="C239" t="str">
            <v>Acct Dashboard Non-Financing</v>
          </cell>
          <cell r="F239" t="str">
            <v>Negative / Security</v>
          </cell>
          <cell r="G239" t="str">
            <v>High</v>
          </cell>
          <cell r="O239" t="str">
            <v>Not Run</v>
          </cell>
        </row>
        <row r="240">
          <cell r="C240" t="str">
            <v>Acct Dashboard Non-Financing</v>
          </cell>
          <cell r="F240" t="str">
            <v>UI / Functional</v>
          </cell>
          <cell r="G240" t="str">
            <v>Medium</v>
          </cell>
          <cell r="O240" t="str">
            <v>Not Run</v>
          </cell>
        </row>
        <row r="241">
          <cell r="C241" t="str">
            <v>Acct Dashboard Non-Financing</v>
          </cell>
          <cell r="F241" t="str">
            <v>Functional</v>
          </cell>
          <cell r="G241" t="str">
            <v>Medium</v>
          </cell>
          <cell r="O241" t="str">
            <v>Not Run</v>
          </cell>
        </row>
        <row r="242">
          <cell r="C242" t="str">
            <v>Acct Dashboard Non-Financing</v>
          </cell>
          <cell r="F242" t="str">
            <v>Functional</v>
          </cell>
          <cell r="G242" t="str">
            <v>Medium</v>
          </cell>
          <cell r="O242" t="str">
            <v>Not Run</v>
          </cell>
        </row>
        <row r="243">
          <cell r="C243" t="str">
            <v>Acct Dashboard Non-Financing</v>
          </cell>
          <cell r="F243" t="str">
            <v>Functional</v>
          </cell>
          <cell r="G243" t="str">
            <v>Medium</v>
          </cell>
          <cell r="O243" t="str">
            <v>Not Run</v>
          </cell>
        </row>
        <row r="244">
          <cell r="C244" t="str">
            <v>Acct Dashboard Non-Financing</v>
          </cell>
          <cell r="F244" t="str">
            <v>Functional</v>
          </cell>
          <cell r="G244" t="str">
            <v>High</v>
          </cell>
          <cell r="O244" t="str">
            <v>Not Run</v>
          </cell>
        </row>
        <row r="245">
          <cell r="C245" t="str">
            <v>Acct Dashboard Non-Financing</v>
          </cell>
          <cell r="F245" t="str">
            <v>UI / Functional</v>
          </cell>
          <cell r="G245" t="str">
            <v>High</v>
          </cell>
          <cell r="O245" t="str">
            <v>Not Run</v>
          </cell>
        </row>
        <row r="246">
          <cell r="C246" t="str">
            <v>Acct Dashboard Non-Financing</v>
          </cell>
          <cell r="F246" t="str">
            <v>UI / Functional</v>
          </cell>
          <cell r="G246" t="str">
            <v>Medium</v>
          </cell>
          <cell r="O246" t="str">
            <v>Not Run</v>
          </cell>
        </row>
        <row r="247">
          <cell r="C247" t="str">
            <v>Acct Dashboard Non-Financing</v>
          </cell>
          <cell r="F247" t="str">
            <v>UI / Functional</v>
          </cell>
          <cell r="G247" t="str">
            <v>Medium</v>
          </cell>
          <cell r="O247" t="str">
            <v>Not Run</v>
          </cell>
        </row>
        <row r="248">
          <cell r="C248" t="str">
            <v>Acct Dashboard Non-Financing</v>
          </cell>
          <cell r="F248" t="str">
            <v>Negative</v>
          </cell>
          <cell r="G248" t="str">
            <v>High</v>
          </cell>
          <cell r="O248" t="str">
            <v>Not Run</v>
          </cell>
        </row>
        <row r="249">
          <cell r="C249" t="str">
            <v>Acct Dashboard Non-Financing</v>
          </cell>
          <cell r="F249" t="str">
            <v>UI / Functional</v>
          </cell>
          <cell r="G249" t="str">
            <v>Medium</v>
          </cell>
          <cell r="O249" t="str">
            <v>Not Run</v>
          </cell>
        </row>
        <row r="250">
          <cell r="C250" t="str">
            <v>Acct Dashboard Non-Financing</v>
          </cell>
          <cell r="F250" t="str">
            <v>Functional</v>
          </cell>
          <cell r="G250" t="str">
            <v>Medium</v>
          </cell>
          <cell r="O250" t="str">
            <v>Not Run</v>
          </cell>
        </row>
        <row r="251">
          <cell r="C251" t="str">
            <v>Acct Dashboard Non-Financing</v>
          </cell>
          <cell r="F251" t="str">
            <v>Functional</v>
          </cell>
          <cell r="G251" t="str">
            <v>Medium</v>
          </cell>
          <cell r="O251" t="str">
            <v>Not Run</v>
          </cell>
        </row>
        <row r="252">
          <cell r="C252" t="str">
            <v>Acct Dashboard Non-Financing</v>
          </cell>
          <cell r="F252" t="str">
            <v>Functional</v>
          </cell>
          <cell r="G252" t="str">
            <v>High</v>
          </cell>
          <cell r="O252" t="str">
            <v>Not Run</v>
          </cell>
        </row>
        <row r="253">
          <cell r="C253" t="str">
            <v>Acct Dashboard Non-Financing</v>
          </cell>
          <cell r="F253" t="str">
            <v>Positive</v>
          </cell>
          <cell r="G253" t="str">
            <v>High</v>
          </cell>
          <cell r="O253" t="str">
            <v>Not Run</v>
          </cell>
        </row>
        <row r="254">
          <cell r="C254" t="str">
            <v>Acct Dashboard Non-Financing</v>
          </cell>
          <cell r="F254" t="str">
            <v>Negative</v>
          </cell>
          <cell r="G254" t="str">
            <v>High</v>
          </cell>
          <cell r="O254" t="str">
            <v>Not Run</v>
          </cell>
        </row>
        <row r="255">
          <cell r="C255" t="str">
            <v>Acct Dashboard Non-Financing</v>
          </cell>
          <cell r="F255" t="str">
            <v>Positive</v>
          </cell>
          <cell r="G255" t="str">
            <v>Medium</v>
          </cell>
          <cell r="O255" t="str">
            <v>Not Run</v>
          </cell>
        </row>
        <row r="256">
          <cell r="C256" t="str">
            <v>Acct Dashboard Non-Financing</v>
          </cell>
          <cell r="F256" t="str">
            <v>Negative</v>
          </cell>
          <cell r="G256" t="str">
            <v>High</v>
          </cell>
          <cell r="O256" t="str">
            <v>Not Run</v>
          </cell>
        </row>
        <row r="257">
          <cell r="C257" t="str">
            <v>Acct Dashboard Non-Financing</v>
          </cell>
          <cell r="F257" t="str">
            <v>Security</v>
          </cell>
          <cell r="G257" t="str">
            <v>High</v>
          </cell>
          <cell r="O257" t="str">
            <v>Not Run</v>
          </cell>
        </row>
        <row r="258">
          <cell r="C258" t="str">
            <v>Acct Dashboard Non-Financing</v>
          </cell>
          <cell r="F258" t="str">
            <v>Negative / Security</v>
          </cell>
          <cell r="G258" t="str">
            <v>High</v>
          </cell>
          <cell r="O258" t="str">
            <v>Not Run</v>
          </cell>
        </row>
        <row r="259">
          <cell r="C259" t="str">
            <v>Acct Dashboard Non-Financing</v>
          </cell>
          <cell r="F259" t="str">
            <v>UI / Functional</v>
          </cell>
          <cell r="G259" t="str">
            <v>Medium</v>
          </cell>
          <cell r="O259" t="str">
            <v>Not Run</v>
          </cell>
        </row>
        <row r="260">
          <cell r="C260" t="str">
            <v>Acct Dashboard Non-Financing</v>
          </cell>
          <cell r="F260" t="str">
            <v>Functional</v>
          </cell>
          <cell r="G260" t="str">
            <v>Medium</v>
          </cell>
          <cell r="O260" t="str">
            <v>Not Run</v>
          </cell>
        </row>
        <row r="261">
          <cell r="C261" t="str">
            <v>Acct Dashboard Non-Financing</v>
          </cell>
          <cell r="F261" t="str">
            <v>Functional</v>
          </cell>
          <cell r="G261" t="str">
            <v>Medium</v>
          </cell>
          <cell r="O261" t="str">
            <v>Not Run</v>
          </cell>
        </row>
        <row r="262">
          <cell r="C262" t="str">
            <v>Acct Dashboard Non-Financing</v>
          </cell>
          <cell r="F262" t="str">
            <v>Functional</v>
          </cell>
          <cell r="G262" t="str">
            <v>Medium</v>
          </cell>
          <cell r="O262" t="str">
            <v>Not Run</v>
          </cell>
        </row>
        <row r="263">
          <cell r="C263" t="str">
            <v>Acct Dashboard Non-Financing</v>
          </cell>
          <cell r="F263" t="str">
            <v>Functional</v>
          </cell>
          <cell r="G263" t="str">
            <v>High</v>
          </cell>
          <cell r="O263" t="str">
            <v>Not Run</v>
          </cell>
        </row>
        <row r="264">
          <cell r="C264" t="str">
            <v>Acct Dashboard Non-Financing</v>
          </cell>
          <cell r="F264" t="str">
            <v>UI / Functional</v>
          </cell>
          <cell r="G264" t="str">
            <v>Medium</v>
          </cell>
          <cell r="O264" t="str">
            <v>Not Run</v>
          </cell>
        </row>
        <row r="265">
          <cell r="C265" t="str">
            <v>Acct Dashboard Non-Financing</v>
          </cell>
          <cell r="F265" t="str">
            <v>UI / Functional</v>
          </cell>
          <cell r="G265" t="str">
            <v>High</v>
          </cell>
          <cell r="O265" t="str">
            <v>Not Run</v>
          </cell>
        </row>
        <row r="266">
          <cell r="C266" t="str">
            <v>Acct Dashboard Non-Financing</v>
          </cell>
          <cell r="F266" t="str">
            <v>UI / Functional</v>
          </cell>
          <cell r="G266" t="str">
            <v>Medium</v>
          </cell>
          <cell r="O266" t="str">
            <v>Not Run</v>
          </cell>
        </row>
        <row r="267">
          <cell r="C267" t="str">
            <v>Acct Dashboard Non-Financing</v>
          </cell>
          <cell r="F267" t="str">
            <v>Functional</v>
          </cell>
          <cell r="G267" t="str">
            <v>Medium</v>
          </cell>
          <cell r="O267" t="str">
            <v>Not Run</v>
          </cell>
        </row>
        <row r="268">
          <cell r="C268" t="str">
            <v>Acct Dashboard Non-Financing</v>
          </cell>
          <cell r="F268" t="str">
            <v>Functional</v>
          </cell>
          <cell r="G268" t="str">
            <v>Medium</v>
          </cell>
          <cell r="O268" t="str">
            <v>Not Run</v>
          </cell>
        </row>
        <row r="269">
          <cell r="C269" t="str">
            <v>Acct Dashboard Non-Financing</v>
          </cell>
          <cell r="F269" t="str">
            <v>Functional</v>
          </cell>
          <cell r="G269" t="str">
            <v>High</v>
          </cell>
          <cell r="O269" t="str">
            <v>Not Run</v>
          </cell>
        </row>
        <row r="270">
          <cell r="C270" t="str">
            <v>Acct Dashboard Non-Financing</v>
          </cell>
          <cell r="F270" t="str">
            <v>Positive</v>
          </cell>
          <cell r="G270" t="str">
            <v>High</v>
          </cell>
          <cell r="O270" t="str">
            <v>Not Run</v>
          </cell>
        </row>
        <row r="271">
          <cell r="C271" t="str">
            <v>Acct Dashboard Non-Financing</v>
          </cell>
          <cell r="F271" t="str">
            <v>Negative</v>
          </cell>
          <cell r="G271" t="str">
            <v>High</v>
          </cell>
          <cell r="O271" t="str">
            <v>Not Run</v>
          </cell>
        </row>
        <row r="272">
          <cell r="C272" t="str">
            <v>Acct Dashboard Non-Financing</v>
          </cell>
          <cell r="F272" t="str">
            <v>Positive</v>
          </cell>
          <cell r="G272" t="str">
            <v>Medium</v>
          </cell>
          <cell r="O272" t="str">
            <v>Not Run</v>
          </cell>
        </row>
        <row r="273">
          <cell r="C273" t="str">
            <v>Acct Dashboard Non-Financing</v>
          </cell>
          <cell r="F273" t="str">
            <v>Negative</v>
          </cell>
          <cell r="G273" t="str">
            <v>High</v>
          </cell>
          <cell r="O273" t="str">
            <v>Not Run</v>
          </cell>
        </row>
        <row r="274">
          <cell r="C274" t="str">
            <v>Acct Dashboard Non-Financing</v>
          </cell>
          <cell r="F274" t="str">
            <v>Security</v>
          </cell>
          <cell r="G274" t="str">
            <v>High</v>
          </cell>
          <cell r="O274" t="str">
            <v>Not Run</v>
          </cell>
        </row>
        <row r="275">
          <cell r="C275" t="str">
            <v>Acct Dashboard Non-Financing</v>
          </cell>
          <cell r="F275" t="str">
            <v>Negative / Security</v>
          </cell>
          <cell r="G275" t="str">
            <v>High</v>
          </cell>
          <cell r="O275" t="str">
            <v>Not Run</v>
          </cell>
        </row>
        <row r="276">
          <cell r="C276" t="str">
            <v>Acct Dashboard Non-Financing</v>
          </cell>
          <cell r="F276" t="str">
            <v>UI / Functional</v>
          </cell>
          <cell r="G276" t="str">
            <v>Medium</v>
          </cell>
          <cell r="O276" t="str">
            <v>Not Run</v>
          </cell>
        </row>
        <row r="277">
          <cell r="C277" t="str">
            <v>Acct Dashboard Non-Financing</v>
          </cell>
          <cell r="F277" t="str">
            <v>UI / Functional</v>
          </cell>
          <cell r="G277" t="str">
            <v>High</v>
          </cell>
          <cell r="O277" t="str">
            <v>Not Run</v>
          </cell>
        </row>
        <row r="278">
          <cell r="C278" t="str">
            <v>Acct Dashboard Non-Financing</v>
          </cell>
          <cell r="F278" t="str">
            <v>Security</v>
          </cell>
          <cell r="G278" t="str">
            <v>High</v>
          </cell>
          <cell r="O278" t="str">
            <v>Not Run</v>
          </cell>
        </row>
        <row r="279">
          <cell r="C279" t="str">
            <v>Acct Dashboard Non-Financing</v>
          </cell>
          <cell r="F279" t="str">
            <v>Security</v>
          </cell>
          <cell r="G279" t="str">
            <v>High</v>
          </cell>
          <cell r="O279" t="str">
            <v>Not Run</v>
          </cell>
        </row>
        <row r="280">
          <cell r="C280" t="str">
            <v>Acct Dashboard Non-Financing</v>
          </cell>
          <cell r="F280" t="str">
            <v>Negative</v>
          </cell>
          <cell r="G280" t="str">
            <v>High</v>
          </cell>
          <cell r="O280" t="str">
            <v>Not Run</v>
          </cell>
        </row>
        <row r="281">
          <cell r="C281" t="str">
            <v>Acct Dashboard Non-Financing</v>
          </cell>
          <cell r="F281" t="str">
            <v>Negative</v>
          </cell>
          <cell r="G281" t="str">
            <v>High</v>
          </cell>
          <cell r="O281" t="str">
            <v>Not Run</v>
          </cell>
        </row>
        <row r="282">
          <cell r="C282" t="str">
            <v>Acct Dashboard Non-Financing</v>
          </cell>
          <cell r="F282" t="str">
            <v>Negative</v>
          </cell>
          <cell r="G282" t="str">
            <v>High</v>
          </cell>
          <cell r="O282" t="str">
            <v>Not Run</v>
          </cell>
        </row>
        <row r="283">
          <cell r="C283" t="str">
            <v>Acct Dashboard Non-Financing</v>
          </cell>
          <cell r="F283" t="str">
            <v>Negative</v>
          </cell>
          <cell r="G283" t="str">
            <v>Medium</v>
          </cell>
          <cell r="O283" t="str">
            <v>Not Run</v>
          </cell>
        </row>
        <row r="284">
          <cell r="C284" t="str">
            <v>Acct Dashboard Non-Financing</v>
          </cell>
          <cell r="F284" t="str">
            <v>UI / Functional</v>
          </cell>
          <cell r="G284" t="str">
            <v>Medium</v>
          </cell>
          <cell r="O284" t="str">
            <v>Not Run</v>
          </cell>
        </row>
        <row r="285">
          <cell r="C285" t="str">
            <v>Acct Dashboard Non-Financing</v>
          </cell>
          <cell r="F285" t="str">
            <v>UI / Functional</v>
          </cell>
          <cell r="G285" t="str">
            <v>Medium</v>
          </cell>
          <cell r="O285" t="str">
            <v>Not Run</v>
          </cell>
        </row>
        <row r="286">
          <cell r="C286" t="str">
            <v>Acct Dashboard Non-Financing</v>
          </cell>
          <cell r="F286" t="str">
            <v>Functional</v>
          </cell>
          <cell r="G286" t="str">
            <v>Medium</v>
          </cell>
          <cell r="O286" t="str">
            <v>Not Run</v>
          </cell>
        </row>
        <row r="287">
          <cell r="C287" t="str">
            <v>Acct Dashboard Non-Financing</v>
          </cell>
          <cell r="F287" t="str">
            <v>UI / Functional</v>
          </cell>
          <cell r="G287" t="str">
            <v>Medium</v>
          </cell>
          <cell r="O287" t="str">
            <v>Not Run</v>
          </cell>
        </row>
        <row r="288">
          <cell r="C288" t="str">
            <v>Acct Dashboard Non-Financing</v>
          </cell>
          <cell r="F288" t="str">
            <v>Functional</v>
          </cell>
          <cell r="G288" t="str">
            <v>High</v>
          </cell>
          <cell r="O288" t="str">
            <v>Not Run</v>
          </cell>
        </row>
        <row r="289">
          <cell r="C289" t="str">
            <v>Acct Dashboard Non-Financing</v>
          </cell>
          <cell r="F289" t="str">
            <v>Security</v>
          </cell>
          <cell r="G289" t="str">
            <v>High</v>
          </cell>
          <cell r="O289" t="str">
            <v>Not Run</v>
          </cell>
        </row>
        <row r="290">
          <cell r="C290" t="str">
            <v>Acct Dashboard Non-Financing</v>
          </cell>
          <cell r="F290" t="str">
            <v>Positive</v>
          </cell>
          <cell r="G290" t="str">
            <v>High</v>
          </cell>
          <cell r="O290" t="str">
            <v>Not Run</v>
          </cell>
        </row>
        <row r="291">
          <cell r="C291" t="str">
            <v>Acct Dashboard Non-Financing</v>
          </cell>
          <cell r="F291" t="str">
            <v>Negative</v>
          </cell>
          <cell r="G291" t="str">
            <v>High</v>
          </cell>
          <cell r="O291" t="str">
            <v>Not Run</v>
          </cell>
        </row>
        <row r="292">
          <cell r="C292" t="str">
            <v>Acct Dashboard Non-Financing</v>
          </cell>
          <cell r="F292" t="str">
            <v>Positive</v>
          </cell>
          <cell r="G292" t="str">
            <v>Medium</v>
          </cell>
          <cell r="O292" t="str">
            <v>Not Run</v>
          </cell>
        </row>
        <row r="293">
          <cell r="C293" t="str">
            <v>Acct Dashboard Non-Financing</v>
          </cell>
          <cell r="F293" t="str">
            <v>Negative</v>
          </cell>
          <cell r="G293" t="str">
            <v>High</v>
          </cell>
          <cell r="O293" t="str">
            <v>Not Run</v>
          </cell>
        </row>
        <row r="294">
          <cell r="C294" t="str">
            <v>Acct Dashboard Non-Financing</v>
          </cell>
          <cell r="F294" t="str">
            <v>Security</v>
          </cell>
          <cell r="G294" t="str">
            <v>High</v>
          </cell>
          <cell r="O294" t="str">
            <v>Not Run</v>
          </cell>
        </row>
        <row r="295">
          <cell r="C295" t="str">
            <v>Acct Dashboard Non-Financing</v>
          </cell>
          <cell r="F295" t="str">
            <v>Negative / Security</v>
          </cell>
          <cell r="G295" t="str">
            <v>High</v>
          </cell>
          <cell r="O295" t="str">
            <v>Not Run</v>
          </cell>
        </row>
        <row r="296">
          <cell r="C296" t="str">
            <v>Acct Dashboard Non-Financing</v>
          </cell>
          <cell r="F296" t="str">
            <v>UI / Functional</v>
          </cell>
          <cell r="G296" t="str">
            <v>Medium</v>
          </cell>
          <cell r="O296" t="str">
            <v>Not Run</v>
          </cell>
        </row>
        <row r="297">
          <cell r="C297" t="str">
            <v>Acct Dashboard Non-Financing</v>
          </cell>
          <cell r="F297" t="str">
            <v>UI / Functional</v>
          </cell>
          <cell r="G297" t="str">
            <v>Medium</v>
          </cell>
          <cell r="O297" t="str">
            <v>Not Run</v>
          </cell>
        </row>
        <row r="298">
          <cell r="C298" t="str">
            <v>Acct Dashboard Non-Financing</v>
          </cell>
          <cell r="F298" t="str">
            <v>UI / Functional</v>
          </cell>
          <cell r="G298" t="str">
            <v>High</v>
          </cell>
          <cell r="O298" t="str">
            <v>Not Run</v>
          </cell>
        </row>
        <row r="299">
          <cell r="C299" t="str">
            <v>Acct Dashboard Non-Financing</v>
          </cell>
          <cell r="F299" t="str">
            <v>UI / Functional</v>
          </cell>
          <cell r="G299" t="str">
            <v>High</v>
          </cell>
          <cell r="O299" t="str">
            <v>Not Run</v>
          </cell>
        </row>
        <row r="300">
          <cell r="C300" t="str">
            <v>Acct Dashboard Non-Financing</v>
          </cell>
          <cell r="F300" t="str">
            <v>UI / Functional</v>
          </cell>
          <cell r="G300" t="str">
            <v>High</v>
          </cell>
          <cell r="O300" t="str">
            <v>Not Run</v>
          </cell>
        </row>
        <row r="301">
          <cell r="C301" t="str">
            <v>Acct Dashboard Non-Financing</v>
          </cell>
          <cell r="F301" t="str">
            <v>UI / Functional</v>
          </cell>
          <cell r="G301" t="str">
            <v>Medium</v>
          </cell>
          <cell r="O301" t="str">
            <v>Not Run</v>
          </cell>
        </row>
        <row r="302">
          <cell r="C302" t="str">
            <v>Acct Dashboard Non-Financing</v>
          </cell>
          <cell r="F302" t="str">
            <v>UI / Functional</v>
          </cell>
          <cell r="G302" t="str">
            <v>Medium</v>
          </cell>
          <cell r="O302" t="str">
            <v>Not Run</v>
          </cell>
        </row>
        <row r="303">
          <cell r="C303" t="str">
            <v>Acct Dashboard Non-Financing</v>
          </cell>
          <cell r="F303" t="str">
            <v>Functional</v>
          </cell>
          <cell r="G303" t="str">
            <v>Medium</v>
          </cell>
          <cell r="O303" t="str">
            <v>Not Run</v>
          </cell>
        </row>
        <row r="304">
          <cell r="C304" t="str">
            <v>Acct Dashboard Non-Financing</v>
          </cell>
          <cell r="F304" t="str">
            <v>Functional</v>
          </cell>
          <cell r="G304" t="str">
            <v>Medium</v>
          </cell>
          <cell r="O304" t="str">
            <v>Not Run</v>
          </cell>
        </row>
        <row r="305">
          <cell r="C305" t="str">
            <v>Acct Dashboard Non-Financing</v>
          </cell>
          <cell r="F305" t="str">
            <v>UI / Functional</v>
          </cell>
          <cell r="G305" t="str">
            <v>Medium</v>
          </cell>
          <cell r="O305" t="str">
            <v>Not Run</v>
          </cell>
        </row>
        <row r="306">
          <cell r="C306" t="str">
            <v>Acct Dashboard Non-Financing</v>
          </cell>
          <cell r="F306" t="str">
            <v>Positive</v>
          </cell>
          <cell r="G306" t="str">
            <v>High</v>
          </cell>
          <cell r="O306" t="str">
            <v>Not Run</v>
          </cell>
        </row>
        <row r="307">
          <cell r="C307" t="str">
            <v>Acct Dashboard Non-Financing</v>
          </cell>
          <cell r="F307" t="str">
            <v>Negative</v>
          </cell>
          <cell r="G307" t="str">
            <v>High</v>
          </cell>
          <cell r="O307" t="str">
            <v>Not Run</v>
          </cell>
        </row>
        <row r="308">
          <cell r="C308" t="str">
            <v>App Dashboard</v>
          </cell>
          <cell r="F308" t="str">
            <v>Positive</v>
          </cell>
          <cell r="G308" t="str">
            <v>Medium</v>
          </cell>
          <cell r="O308" t="str">
            <v>Not Run</v>
          </cell>
        </row>
        <row r="309">
          <cell r="C309" t="str">
            <v>App Dashboard</v>
          </cell>
          <cell r="F309" t="str">
            <v>Negative</v>
          </cell>
          <cell r="G309" t="str">
            <v>High</v>
          </cell>
          <cell r="O309" t="str">
            <v>Not Run</v>
          </cell>
        </row>
        <row r="310">
          <cell r="C310" t="str">
            <v>App Dashboard</v>
          </cell>
          <cell r="F310" t="str">
            <v>Security</v>
          </cell>
          <cell r="G310" t="str">
            <v>High</v>
          </cell>
          <cell r="O310" t="str">
            <v>Not Run</v>
          </cell>
        </row>
        <row r="311">
          <cell r="C311" t="str">
            <v>App Dashboard</v>
          </cell>
          <cell r="F311" t="str">
            <v>Negative / Security</v>
          </cell>
          <cell r="G311" t="str">
            <v>High</v>
          </cell>
          <cell r="O311" t="str">
            <v>Not Run</v>
          </cell>
        </row>
        <row r="312">
          <cell r="C312" t="str">
            <v>App Dashboard</v>
          </cell>
          <cell r="F312" t="str">
            <v>Functional</v>
          </cell>
          <cell r="G312" t="str">
            <v>Medium</v>
          </cell>
          <cell r="O312" t="str">
            <v>Not Run</v>
          </cell>
        </row>
        <row r="313">
          <cell r="C313" t="str">
            <v>App Dashboard</v>
          </cell>
          <cell r="F313" t="str">
            <v>UI / Functional</v>
          </cell>
          <cell r="G313" t="str">
            <v>Medium</v>
          </cell>
          <cell r="O313" t="str">
            <v>Not Run</v>
          </cell>
        </row>
        <row r="314">
          <cell r="C314" t="str">
            <v>App Dashboard</v>
          </cell>
          <cell r="F314" t="str">
            <v>UI / Functional</v>
          </cell>
          <cell r="G314" t="str">
            <v>Medium</v>
          </cell>
          <cell r="O314" t="str">
            <v>Not Run</v>
          </cell>
        </row>
        <row r="315">
          <cell r="C315" t="str">
            <v>App Dashboard</v>
          </cell>
          <cell r="F315" t="str">
            <v>Functional</v>
          </cell>
          <cell r="G315" t="str">
            <v>Medium</v>
          </cell>
          <cell r="O315" t="str">
            <v>Not Run</v>
          </cell>
        </row>
        <row r="316">
          <cell r="C316" t="str">
            <v>App Dashboard</v>
          </cell>
          <cell r="F316" t="str">
            <v>Functional</v>
          </cell>
          <cell r="G316" t="str">
            <v>Medium</v>
          </cell>
          <cell r="O316" t="str">
            <v>Not Run</v>
          </cell>
        </row>
        <row r="317">
          <cell r="C317" t="str">
            <v>App Dashboard</v>
          </cell>
          <cell r="F317" t="str">
            <v>Functional</v>
          </cell>
          <cell r="G317" t="str">
            <v>Medium</v>
          </cell>
          <cell r="O317" t="str">
            <v>Not Run</v>
          </cell>
        </row>
        <row r="318">
          <cell r="C318" t="str">
            <v>App Dashboard</v>
          </cell>
          <cell r="F318" t="str">
            <v>Functional</v>
          </cell>
          <cell r="G318" t="str">
            <v>Medium</v>
          </cell>
          <cell r="O318" t="str">
            <v>Not Run</v>
          </cell>
        </row>
        <row r="319">
          <cell r="C319" t="str">
            <v>App Dashboard</v>
          </cell>
          <cell r="F319" t="str">
            <v>Functional</v>
          </cell>
          <cell r="G319" t="str">
            <v>Medium</v>
          </cell>
          <cell r="O319" t="str">
            <v>Not Run</v>
          </cell>
        </row>
        <row r="320">
          <cell r="C320" t="str">
            <v>App Dashboard</v>
          </cell>
          <cell r="F320" t="str">
            <v>Functional</v>
          </cell>
          <cell r="G320" t="str">
            <v>Medium</v>
          </cell>
          <cell r="O320" t="str">
            <v>Not Run</v>
          </cell>
        </row>
        <row r="321">
          <cell r="C321" t="str">
            <v>App Dashboard</v>
          </cell>
          <cell r="F321" t="str">
            <v>Functional</v>
          </cell>
          <cell r="G321" t="str">
            <v>Medium</v>
          </cell>
          <cell r="O321" t="str">
            <v>Not Run</v>
          </cell>
        </row>
        <row r="322">
          <cell r="C322" t="str">
            <v>App Dashboard</v>
          </cell>
          <cell r="F322" t="str">
            <v>UI / Functional</v>
          </cell>
          <cell r="G322" t="str">
            <v>Medium</v>
          </cell>
          <cell r="O322" t="str">
            <v>Not Run</v>
          </cell>
        </row>
        <row r="323">
          <cell r="C323" t="str">
            <v>App Dashboard</v>
          </cell>
          <cell r="F323" t="str">
            <v>Security</v>
          </cell>
          <cell r="G323" t="str">
            <v>High</v>
          </cell>
          <cell r="O323" t="str">
            <v>Not Run</v>
          </cell>
        </row>
        <row r="324">
          <cell r="C324" t="str">
            <v>App Dashboard</v>
          </cell>
          <cell r="F324" t="str">
            <v>Functional</v>
          </cell>
          <cell r="G324" t="str">
            <v>Medium</v>
          </cell>
          <cell r="O324" t="str">
            <v>Not Run</v>
          </cell>
        </row>
        <row r="325">
          <cell r="C325" t="str">
            <v>App Dashboard</v>
          </cell>
          <cell r="F325" t="str">
            <v>Functional</v>
          </cell>
          <cell r="G325" t="str">
            <v>Medium</v>
          </cell>
          <cell r="O325" t="str">
            <v>Not Run</v>
          </cell>
        </row>
        <row r="326">
          <cell r="C326" t="str">
            <v>App Dashboard</v>
          </cell>
          <cell r="F326" t="str">
            <v>UI / Functional</v>
          </cell>
          <cell r="G326" t="str">
            <v>Medium</v>
          </cell>
          <cell r="O326" t="str">
            <v>Not Run</v>
          </cell>
        </row>
        <row r="327">
          <cell r="C327" t="str">
            <v>App Dashboard</v>
          </cell>
          <cell r="F327" t="str">
            <v>Positive</v>
          </cell>
          <cell r="G327" t="str">
            <v>High</v>
          </cell>
          <cell r="O327" t="str">
            <v>Not Run</v>
          </cell>
        </row>
        <row r="328">
          <cell r="C328" t="str">
            <v>App Dashboard</v>
          </cell>
          <cell r="F328" t="str">
            <v>Negative</v>
          </cell>
          <cell r="G328" t="str">
            <v>High</v>
          </cell>
          <cell r="O328" t="str">
            <v>Not Run</v>
          </cell>
        </row>
        <row r="329">
          <cell r="C329" t="str">
            <v>App Dashboard</v>
          </cell>
          <cell r="F329" t="str">
            <v>Positive</v>
          </cell>
          <cell r="G329" t="str">
            <v>Medium</v>
          </cell>
          <cell r="O329" t="str">
            <v>Not Run</v>
          </cell>
        </row>
        <row r="330">
          <cell r="C330" t="str">
            <v>App Dashboard</v>
          </cell>
          <cell r="F330" t="str">
            <v>Negative</v>
          </cell>
          <cell r="G330" t="str">
            <v>High</v>
          </cell>
          <cell r="O330" t="str">
            <v>Not Run</v>
          </cell>
        </row>
        <row r="331">
          <cell r="C331" t="str">
            <v>App Dashboard</v>
          </cell>
          <cell r="F331" t="str">
            <v>Security</v>
          </cell>
          <cell r="G331" t="str">
            <v>High</v>
          </cell>
          <cell r="O331" t="str">
            <v>Not Run</v>
          </cell>
        </row>
        <row r="332">
          <cell r="C332" t="str">
            <v>App Dashboard</v>
          </cell>
          <cell r="F332" t="str">
            <v>Negative / Security</v>
          </cell>
          <cell r="G332" t="str">
            <v>High</v>
          </cell>
          <cell r="O332" t="str">
            <v>Not Run</v>
          </cell>
        </row>
        <row r="333">
          <cell r="C333" t="str">
            <v>App Dashboard</v>
          </cell>
          <cell r="F333" t="str">
            <v>Functional</v>
          </cell>
          <cell r="G333" t="str">
            <v>Medium</v>
          </cell>
          <cell r="O333" t="str">
            <v>Not Run</v>
          </cell>
        </row>
        <row r="334">
          <cell r="C334" t="str">
            <v>App Dashboard</v>
          </cell>
          <cell r="F334" t="str">
            <v>UI / Functional</v>
          </cell>
          <cell r="G334" t="str">
            <v>Medium</v>
          </cell>
          <cell r="O334" t="str">
            <v>Not Run</v>
          </cell>
        </row>
        <row r="335">
          <cell r="C335" t="str">
            <v>App Dashboard</v>
          </cell>
          <cell r="F335" t="str">
            <v>Functional</v>
          </cell>
          <cell r="G335" t="str">
            <v>Medium</v>
          </cell>
          <cell r="O335" t="str">
            <v>Not Run</v>
          </cell>
        </row>
        <row r="336">
          <cell r="C336" t="str">
            <v>App Dashboard</v>
          </cell>
          <cell r="F336" t="str">
            <v>Functional</v>
          </cell>
          <cell r="G336" t="str">
            <v>Medium</v>
          </cell>
          <cell r="O336" t="str">
            <v>Not Run</v>
          </cell>
        </row>
        <row r="337">
          <cell r="C337" t="str">
            <v>App Dashboard</v>
          </cell>
          <cell r="F337" t="str">
            <v>Functional</v>
          </cell>
          <cell r="G337" t="str">
            <v>Medium</v>
          </cell>
          <cell r="O337" t="str">
            <v>Not Run</v>
          </cell>
        </row>
        <row r="338">
          <cell r="C338" t="str">
            <v>App Dashboard</v>
          </cell>
          <cell r="F338" t="str">
            <v>Functional</v>
          </cell>
          <cell r="G338" t="str">
            <v>Medium</v>
          </cell>
          <cell r="O338" t="str">
            <v>Not Run</v>
          </cell>
        </row>
        <row r="339">
          <cell r="C339" t="str">
            <v>App Dashboard</v>
          </cell>
          <cell r="F339" t="str">
            <v>Functional</v>
          </cell>
          <cell r="G339" t="str">
            <v>Medium</v>
          </cell>
          <cell r="O339" t="str">
            <v>Not Run</v>
          </cell>
        </row>
        <row r="340">
          <cell r="C340" t="str">
            <v>App Dashboard</v>
          </cell>
          <cell r="F340" t="str">
            <v>Functional</v>
          </cell>
          <cell r="G340" t="str">
            <v>Medium</v>
          </cell>
          <cell r="O340" t="str">
            <v>Not Run</v>
          </cell>
        </row>
        <row r="341">
          <cell r="C341" t="str">
            <v>App Dashboard</v>
          </cell>
          <cell r="F341" t="str">
            <v>Functional</v>
          </cell>
          <cell r="G341" t="str">
            <v>Medium</v>
          </cell>
          <cell r="O341" t="str">
            <v>Not Run</v>
          </cell>
        </row>
        <row r="342">
          <cell r="C342" t="str">
            <v>App Dashboard</v>
          </cell>
          <cell r="F342" t="str">
            <v>Functional</v>
          </cell>
          <cell r="G342" t="str">
            <v>Medium</v>
          </cell>
          <cell r="O342" t="str">
            <v>Not Run</v>
          </cell>
        </row>
        <row r="343">
          <cell r="C343" t="str">
            <v>App Dashboard</v>
          </cell>
          <cell r="F343" t="str">
            <v>UI / Functional</v>
          </cell>
          <cell r="G343" t="str">
            <v>Medium</v>
          </cell>
          <cell r="O343" t="str">
            <v>Not Run</v>
          </cell>
        </row>
        <row r="344">
          <cell r="C344" t="str">
            <v>App Dashboard</v>
          </cell>
          <cell r="F344" t="str">
            <v>Security</v>
          </cell>
          <cell r="G344" t="str">
            <v>High</v>
          </cell>
          <cell r="O344" t="str">
            <v>Not Run</v>
          </cell>
        </row>
        <row r="345">
          <cell r="C345" t="str">
            <v>App Dashboard</v>
          </cell>
          <cell r="F345" t="str">
            <v>Functional</v>
          </cell>
          <cell r="G345" t="str">
            <v>Medium</v>
          </cell>
          <cell r="O345" t="str">
            <v>Not Run</v>
          </cell>
        </row>
        <row r="346">
          <cell r="C346" t="str">
            <v>App Dashboard</v>
          </cell>
          <cell r="F346" t="str">
            <v>Functional</v>
          </cell>
          <cell r="G346" t="str">
            <v>Medium</v>
          </cell>
          <cell r="O346" t="str">
            <v>Not Run</v>
          </cell>
        </row>
        <row r="347">
          <cell r="C347" t="str">
            <v>App Dashboard</v>
          </cell>
          <cell r="F347" t="str">
            <v>UI / Functional</v>
          </cell>
          <cell r="G347" t="str">
            <v>Medium</v>
          </cell>
          <cell r="O347" t="str">
            <v>Not Run</v>
          </cell>
        </row>
        <row r="348">
          <cell r="C348" t="str">
            <v>App Dashboard</v>
          </cell>
          <cell r="F348" t="str">
            <v>Positive</v>
          </cell>
          <cell r="G348" t="str">
            <v>High</v>
          </cell>
          <cell r="O348" t="str">
            <v>Not Run</v>
          </cell>
        </row>
        <row r="349">
          <cell r="C349" t="str">
            <v>App Dashboard</v>
          </cell>
          <cell r="F349" t="str">
            <v>Negative</v>
          </cell>
          <cell r="G349" t="str">
            <v>High</v>
          </cell>
          <cell r="O349" t="str">
            <v>Not Run</v>
          </cell>
        </row>
        <row r="350">
          <cell r="C350" t="str">
            <v>App Dashboard</v>
          </cell>
          <cell r="F350" t="str">
            <v>Positive</v>
          </cell>
          <cell r="G350" t="str">
            <v>Medium</v>
          </cell>
          <cell r="O350" t="str">
            <v>Not Run</v>
          </cell>
        </row>
        <row r="351">
          <cell r="C351" t="str">
            <v>App Dashboard</v>
          </cell>
          <cell r="F351" t="str">
            <v>Negative</v>
          </cell>
          <cell r="G351" t="str">
            <v>High</v>
          </cell>
          <cell r="O351" t="str">
            <v>Not Run</v>
          </cell>
        </row>
        <row r="352">
          <cell r="C352" t="str">
            <v>App Dashboard</v>
          </cell>
          <cell r="F352" t="str">
            <v>Security</v>
          </cell>
          <cell r="G352" t="str">
            <v>High</v>
          </cell>
          <cell r="O352" t="str">
            <v>Not Run</v>
          </cell>
        </row>
        <row r="353">
          <cell r="C353" t="str">
            <v>App Dashboard</v>
          </cell>
          <cell r="F353" t="str">
            <v>Negative / Security</v>
          </cell>
          <cell r="G353" t="str">
            <v>High</v>
          </cell>
          <cell r="O353" t="str">
            <v>Not Run</v>
          </cell>
        </row>
        <row r="354">
          <cell r="C354" t="str">
            <v>App Dashboard</v>
          </cell>
          <cell r="F354" t="str">
            <v>Functional</v>
          </cell>
          <cell r="G354" t="str">
            <v>Medium</v>
          </cell>
          <cell r="O354" t="str">
            <v>Not Run</v>
          </cell>
        </row>
        <row r="355">
          <cell r="C355" t="str">
            <v>App Dashboard</v>
          </cell>
          <cell r="F355" t="str">
            <v>Positive</v>
          </cell>
          <cell r="G355" t="str">
            <v>High</v>
          </cell>
          <cell r="O355" t="str">
            <v>Not Run</v>
          </cell>
        </row>
        <row r="356">
          <cell r="C356" t="str">
            <v>App Dashboard</v>
          </cell>
          <cell r="F356" t="str">
            <v>Negative</v>
          </cell>
          <cell r="G356" t="str">
            <v>High</v>
          </cell>
          <cell r="O356" t="str">
            <v>Not Run</v>
          </cell>
        </row>
        <row r="357">
          <cell r="C357" t="str">
            <v>App Dashboard</v>
          </cell>
          <cell r="F357" t="str">
            <v>Positive</v>
          </cell>
          <cell r="G357" t="str">
            <v>Medium</v>
          </cell>
          <cell r="O357" t="str">
            <v>Not Run</v>
          </cell>
        </row>
        <row r="358">
          <cell r="C358" t="str">
            <v>App Dashboard</v>
          </cell>
          <cell r="F358" t="str">
            <v>Negative</v>
          </cell>
          <cell r="G358" t="str">
            <v>High</v>
          </cell>
          <cell r="O358" t="str">
            <v>Not Run</v>
          </cell>
        </row>
        <row r="359">
          <cell r="C359" t="str">
            <v>App Dashboard</v>
          </cell>
          <cell r="F359" t="str">
            <v>Security</v>
          </cell>
          <cell r="G359" t="str">
            <v>High</v>
          </cell>
          <cell r="O359" t="str">
            <v>Not Run</v>
          </cell>
        </row>
        <row r="360">
          <cell r="C360" t="str">
            <v>App Dashboard</v>
          </cell>
          <cell r="F360" t="str">
            <v>Negative / Security</v>
          </cell>
          <cell r="G360" t="str">
            <v>High</v>
          </cell>
          <cell r="O360" t="str">
            <v>Not Run</v>
          </cell>
        </row>
        <row r="361">
          <cell r="C361" t="str">
            <v>App Dashboard</v>
          </cell>
          <cell r="F361" t="str">
            <v>Functional</v>
          </cell>
          <cell r="G361" t="str">
            <v>Medium</v>
          </cell>
          <cell r="O361" t="str">
            <v>Not Run</v>
          </cell>
        </row>
        <row r="362">
          <cell r="C362" t="str">
            <v>App Dashboard</v>
          </cell>
          <cell r="F362" t="str">
            <v>Positive</v>
          </cell>
          <cell r="G362" t="str">
            <v>High</v>
          </cell>
          <cell r="O362" t="str">
            <v>Not Run</v>
          </cell>
        </row>
        <row r="363">
          <cell r="C363" t="str">
            <v>App Dashboard</v>
          </cell>
          <cell r="F363" t="str">
            <v>Negative</v>
          </cell>
          <cell r="G363" t="str">
            <v>High</v>
          </cell>
          <cell r="O363" t="str">
            <v>Not Run</v>
          </cell>
        </row>
        <row r="364">
          <cell r="C364" t="str">
            <v>App Dashboard</v>
          </cell>
          <cell r="F364" t="str">
            <v>Positive</v>
          </cell>
          <cell r="G364" t="str">
            <v>Medium</v>
          </cell>
          <cell r="O364" t="str">
            <v>Not Run</v>
          </cell>
        </row>
        <row r="365">
          <cell r="C365" t="str">
            <v>App Dashboard</v>
          </cell>
          <cell r="F365" t="str">
            <v>Negative</v>
          </cell>
          <cell r="G365" t="str">
            <v>High</v>
          </cell>
          <cell r="O365" t="str">
            <v>Not Run</v>
          </cell>
        </row>
        <row r="366">
          <cell r="C366" t="str">
            <v>App Dashboard</v>
          </cell>
          <cell r="F366" t="str">
            <v>Security</v>
          </cell>
          <cell r="G366" t="str">
            <v>High</v>
          </cell>
          <cell r="O366" t="str">
            <v>Not Run</v>
          </cell>
        </row>
        <row r="367">
          <cell r="C367" t="str">
            <v>App Dashboard</v>
          </cell>
          <cell r="F367" t="str">
            <v>Negative / Security</v>
          </cell>
          <cell r="G367" t="str">
            <v>High</v>
          </cell>
          <cell r="O367" t="str">
            <v>Not Run</v>
          </cell>
        </row>
        <row r="368">
          <cell r="C368" t="str">
            <v>App Dashboard</v>
          </cell>
          <cell r="F368" t="str">
            <v>Functional</v>
          </cell>
          <cell r="G368" t="str">
            <v>Medium</v>
          </cell>
          <cell r="O368" t="str">
            <v>Not Run</v>
          </cell>
        </row>
        <row r="369">
          <cell r="C369" t="str">
            <v>App Dashboard</v>
          </cell>
          <cell r="F369" t="str">
            <v>UI / Functional</v>
          </cell>
          <cell r="G369" t="str">
            <v>High</v>
          </cell>
          <cell r="O369" t="str">
            <v>Not Run</v>
          </cell>
        </row>
        <row r="370">
          <cell r="C370" t="str">
            <v>App Dashboard</v>
          </cell>
          <cell r="F370" t="str">
            <v>Functional</v>
          </cell>
          <cell r="G370" t="str">
            <v>Medium</v>
          </cell>
          <cell r="O370" t="str">
            <v>Not Run</v>
          </cell>
        </row>
        <row r="371">
          <cell r="C371" t="str">
            <v>App Dashboard</v>
          </cell>
          <cell r="F371" t="str">
            <v>Functional</v>
          </cell>
          <cell r="G371" t="str">
            <v>Medium</v>
          </cell>
          <cell r="O371" t="str">
            <v>Not Run</v>
          </cell>
        </row>
        <row r="372">
          <cell r="C372" t="str">
            <v>App Dashboard</v>
          </cell>
          <cell r="F372" t="str">
            <v>Functional</v>
          </cell>
          <cell r="G372" t="str">
            <v>Medium</v>
          </cell>
          <cell r="O372" t="str">
            <v>Not Run</v>
          </cell>
        </row>
        <row r="373">
          <cell r="C373" t="str">
            <v>App Dashboard</v>
          </cell>
          <cell r="F373" t="str">
            <v>Functional</v>
          </cell>
          <cell r="G373" t="str">
            <v>Medium</v>
          </cell>
          <cell r="O373" t="str">
            <v>Not Run</v>
          </cell>
        </row>
        <row r="374">
          <cell r="C374" t="str">
            <v>App Dashboard</v>
          </cell>
          <cell r="F374" t="str">
            <v>Functional</v>
          </cell>
          <cell r="G374" t="str">
            <v>Medium</v>
          </cell>
          <cell r="O374" t="str">
            <v>Not Run</v>
          </cell>
        </row>
        <row r="375">
          <cell r="C375" t="str">
            <v>App Dashboard</v>
          </cell>
          <cell r="F375" t="str">
            <v>Functional</v>
          </cell>
          <cell r="G375" t="str">
            <v>Medium</v>
          </cell>
          <cell r="O375" t="str">
            <v>Not Run</v>
          </cell>
        </row>
        <row r="376">
          <cell r="C376" t="str">
            <v>App Dashboard</v>
          </cell>
          <cell r="F376" t="str">
            <v>Functional</v>
          </cell>
          <cell r="G376" t="str">
            <v>Medium</v>
          </cell>
          <cell r="O376" t="str">
            <v>Not Run</v>
          </cell>
        </row>
        <row r="377">
          <cell r="C377" t="str">
            <v>App Dashboard</v>
          </cell>
          <cell r="F377" t="str">
            <v>Functional</v>
          </cell>
          <cell r="G377" t="str">
            <v>Medium</v>
          </cell>
          <cell r="O377" t="str">
            <v>Not Run</v>
          </cell>
        </row>
        <row r="378">
          <cell r="C378" t="str">
            <v>App Dashboard</v>
          </cell>
          <cell r="F378" t="str">
            <v>Functional</v>
          </cell>
          <cell r="G378" t="str">
            <v>Medium</v>
          </cell>
          <cell r="O378" t="str">
            <v>Not Run</v>
          </cell>
        </row>
        <row r="379">
          <cell r="C379" t="str">
            <v>App Dashboard</v>
          </cell>
          <cell r="F379" t="str">
            <v>Functional</v>
          </cell>
          <cell r="G379" t="str">
            <v>Medium</v>
          </cell>
          <cell r="O379" t="str">
            <v>Not Run</v>
          </cell>
        </row>
        <row r="380">
          <cell r="C380" t="str">
            <v>App Dashboard</v>
          </cell>
          <cell r="F380" t="str">
            <v>Functional</v>
          </cell>
          <cell r="G380" t="str">
            <v>Medium</v>
          </cell>
          <cell r="O380" t="str">
            <v>Not Run</v>
          </cell>
        </row>
        <row r="381">
          <cell r="C381" t="str">
            <v>App Dashboard</v>
          </cell>
          <cell r="F381" t="str">
            <v>UI / Functional</v>
          </cell>
          <cell r="G381" t="str">
            <v>High</v>
          </cell>
          <cell r="O381" t="str">
            <v>Not Run</v>
          </cell>
        </row>
        <row r="382">
          <cell r="C382" t="str">
            <v>App Dashboard</v>
          </cell>
          <cell r="F382" t="str">
            <v>Positive</v>
          </cell>
          <cell r="G382" t="str">
            <v>High</v>
          </cell>
          <cell r="O382" t="str">
            <v>Not Run</v>
          </cell>
        </row>
        <row r="383">
          <cell r="C383" t="str">
            <v>App Dashboard</v>
          </cell>
          <cell r="F383" t="str">
            <v>Negative</v>
          </cell>
          <cell r="G383" t="str">
            <v>High</v>
          </cell>
          <cell r="O383" t="str">
            <v>Not Run</v>
          </cell>
        </row>
        <row r="384">
          <cell r="C384" t="str">
            <v>App Dashboard</v>
          </cell>
          <cell r="F384" t="str">
            <v>Positive</v>
          </cell>
          <cell r="G384" t="str">
            <v>High</v>
          </cell>
          <cell r="O384" t="str">
            <v>Not Run</v>
          </cell>
        </row>
        <row r="385">
          <cell r="C385" t="str">
            <v>App Dashboard</v>
          </cell>
          <cell r="F385" t="str">
            <v>Negative</v>
          </cell>
          <cell r="G385" t="str">
            <v>High</v>
          </cell>
          <cell r="O385" t="str">
            <v>Not Run</v>
          </cell>
        </row>
        <row r="386">
          <cell r="C386" t="str">
            <v>App Dashboard</v>
          </cell>
          <cell r="F386" t="str">
            <v>Security</v>
          </cell>
          <cell r="G386" t="str">
            <v>High</v>
          </cell>
          <cell r="O386" t="str">
            <v>Not Run</v>
          </cell>
        </row>
        <row r="387">
          <cell r="C387" t="str">
            <v>App Dashboard</v>
          </cell>
          <cell r="F387" t="str">
            <v>Negative / Security</v>
          </cell>
          <cell r="G387" t="str">
            <v>High</v>
          </cell>
          <cell r="O387" t="str">
            <v>Not Run</v>
          </cell>
        </row>
        <row r="388">
          <cell r="C388" t="str">
            <v>App Dashboard</v>
          </cell>
          <cell r="F388" t="str">
            <v>Functional</v>
          </cell>
          <cell r="G388" t="str">
            <v>Medium</v>
          </cell>
          <cell r="O388" t="str">
            <v>Not Run</v>
          </cell>
        </row>
        <row r="389">
          <cell r="C389" t="str">
            <v>App Dashboard</v>
          </cell>
          <cell r="F389" t="str">
            <v>UI / Functional</v>
          </cell>
          <cell r="G389" t="str">
            <v>Medium</v>
          </cell>
          <cell r="O389" t="str">
            <v>Not Run</v>
          </cell>
        </row>
        <row r="390">
          <cell r="C390" t="str">
            <v>App Dashboard</v>
          </cell>
          <cell r="F390" t="str">
            <v>Security</v>
          </cell>
          <cell r="G390" t="str">
            <v>High</v>
          </cell>
          <cell r="O390" t="str">
            <v>Not Run</v>
          </cell>
        </row>
        <row r="391">
          <cell r="C391" t="str">
            <v>App Dashboard</v>
          </cell>
          <cell r="F391" t="str">
            <v>Functional</v>
          </cell>
          <cell r="G391" t="str">
            <v>Medium</v>
          </cell>
          <cell r="O391" t="str">
            <v>Not Run</v>
          </cell>
        </row>
        <row r="392">
          <cell r="C392" t="str">
            <v>App Dashboard</v>
          </cell>
          <cell r="F392" t="str">
            <v>Functional</v>
          </cell>
          <cell r="G392" t="str">
            <v>Medium</v>
          </cell>
          <cell r="O392" t="str">
            <v>Not Run</v>
          </cell>
        </row>
        <row r="393">
          <cell r="C393" t="str">
            <v>App Dashboard</v>
          </cell>
          <cell r="F393" t="str">
            <v>Security</v>
          </cell>
          <cell r="G393" t="str">
            <v>High</v>
          </cell>
          <cell r="O393" t="str">
            <v>Not Run</v>
          </cell>
        </row>
        <row r="394">
          <cell r="C394" t="str">
            <v>App Dashboard</v>
          </cell>
          <cell r="F394" t="str">
            <v>Functional</v>
          </cell>
          <cell r="G394" t="str">
            <v>Medium</v>
          </cell>
          <cell r="O394" t="str">
            <v>Not Run</v>
          </cell>
        </row>
        <row r="395">
          <cell r="C395" t="str">
            <v>App Dashboard</v>
          </cell>
          <cell r="F395" t="str">
            <v>Security</v>
          </cell>
          <cell r="G395" t="str">
            <v>High</v>
          </cell>
          <cell r="O395" t="str">
            <v>Not Run</v>
          </cell>
        </row>
        <row r="396">
          <cell r="C396" t="str">
            <v>App Dashboard</v>
          </cell>
          <cell r="F396" t="str">
            <v>Functional</v>
          </cell>
          <cell r="G396" t="str">
            <v>Medium</v>
          </cell>
          <cell r="O396" t="str">
            <v>Not Run</v>
          </cell>
        </row>
        <row r="397">
          <cell r="C397" t="str">
            <v>App Dashboard</v>
          </cell>
          <cell r="F397" t="str">
            <v>Security</v>
          </cell>
          <cell r="G397" t="str">
            <v>High</v>
          </cell>
          <cell r="O397" t="str">
            <v>Not Run</v>
          </cell>
        </row>
        <row r="398">
          <cell r="C398" t="str">
            <v>App Dashboard</v>
          </cell>
          <cell r="F398" t="str">
            <v>Security</v>
          </cell>
          <cell r="G398" t="str">
            <v>High</v>
          </cell>
          <cell r="O398" t="str">
            <v>Not Run</v>
          </cell>
        </row>
        <row r="399">
          <cell r="C399" t="str">
            <v>App Dashboard</v>
          </cell>
          <cell r="F399" t="str">
            <v>Functional</v>
          </cell>
          <cell r="G399" t="str">
            <v>Medium</v>
          </cell>
          <cell r="O399" t="str">
            <v>Not Run</v>
          </cell>
        </row>
        <row r="400">
          <cell r="C400" t="str">
            <v>App Dashboard</v>
          </cell>
          <cell r="F400" t="str">
            <v>Security</v>
          </cell>
          <cell r="G400" t="str">
            <v>High</v>
          </cell>
          <cell r="O400" t="str">
            <v>Not Run</v>
          </cell>
        </row>
        <row r="401">
          <cell r="C401" t="str">
            <v>App Dashboard</v>
          </cell>
          <cell r="F401" t="str">
            <v>Positive</v>
          </cell>
          <cell r="G401" t="str">
            <v>High</v>
          </cell>
          <cell r="O401" t="str">
            <v>Not Run</v>
          </cell>
        </row>
        <row r="402">
          <cell r="C402" t="str">
            <v>App Dashboard</v>
          </cell>
          <cell r="F402" t="str">
            <v>Negative</v>
          </cell>
          <cell r="G402" t="str">
            <v>High</v>
          </cell>
          <cell r="O402" t="str">
            <v>Not Run</v>
          </cell>
        </row>
        <row r="403">
          <cell r="C403" t="str">
            <v>App Dashboard</v>
          </cell>
          <cell r="F403" t="str">
            <v>Positive</v>
          </cell>
          <cell r="G403" t="str">
            <v>Medium</v>
          </cell>
          <cell r="O403" t="str">
            <v>Not Run</v>
          </cell>
        </row>
        <row r="404">
          <cell r="C404" t="str">
            <v>App Dashboard</v>
          </cell>
          <cell r="F404" t="str">
            <v>Negative</v>
          </cell>
          <cell r="G404" t="str">
            <v>High</v>
          </cell>
          <cell r="O404" t="str">
            <v>Not Run</v>
          </cell>
        </row>
        <row r="405">
          <cell r="C405" t="str">
            <v>App Dashboard</v>
          </cell>
          <cell r="F405" t="str">
            <v>Security</v>
          </cell>
          <cell r="G405" t="str">
            <v>High</v>
          </cell>
          <cell r="O405" t="str">
            <v>Not Run</v>
          </cell>
        </row>
        <row r="406">
          <cell r="C406" t="str">
            <v>App Dashboard</v>
          </cell>
          <cell r="F406" t="str">
            <v>Negative / Security</v>
          </cell>
          <cell r="G406" t="str">
            <v>High</v>
          </cell>
          <cell r="O406" t="str">
            <v>Not Run</v>
          </cell>
        </row>
        <row r="407">
          <cell r="C407" t="str">
            <v>App Dashboard</v>
          </cell>
          <cell r="F407" t="str">
            <v>Functional</v>
          </cell>
          <cell r="G407" t="str">
            <v>Medium</v>
          </cell>
          <cell r="O407" t="str">
            <v>Not Run</v>
          </cell>
        </row>
        <row r="408">
          <cell r="C408" t="str">
            <v>App Dashboard</v>
          </cell>
          <cell r="F408" t="str">
            <v>UI / Functional</v>
          </cell>
          <cell r="G408" t="str">
            <v>Medium</v>
          </cell>
          <cell r="O408" t="str">
            <v>Not Run</v>
          </cell>
        </row>
        <row r="409">
          <cell r="C409" t="str">
            <v>App Dashboard</v>
          </cell>
          <cell r="F409" t="str">
            <v>Functional</v>
          </cell>
          <cell r="G409" t="str">
            <v>Medium</v>
          </cell>
          <cell r="O409" t="str">
            <v>Not Run</v>
          </cell>
        </row>
        <row r="410">
          <cell r="C410" t="str">
            <v>App Dashboard</v>
          </cell>
          <cell r="F410" t="str">
            <v>Functional</v>
          </cell>
          <cell r="G410" t="str">
            <v>Medium</v>
          </cell>
          <cell r="O410" t="str">
            <v>Not Run</v>
          </cell>
        </row>
        <row r="411">
          <cell r="C411" t="str">
            <v>App Dashboard</v>
          </cell>
          <cell r="F411" t="str">
            <v>Functional</v>
          </cell>
          <cell r="G411" t="str">
            <v>Medium</v>
          </cell>
          <cell r="O411" t="str">
            <v>Not Run</v>
          </cell>
        </row>
        <row r="412">
          <cell r="C412" t="str">
            <v>App Dashboard</v>
          </cell>
          <cell r="F412" t="str">
            <v>Functional</v>
          </cell>
          <cell r="G412" t="str">
            <v>Medium</v>
          </cell>
          <cell r="O412" t="str">
            <v>Not Run</v>
          </cell>
        </row>
        <row r="413">
          <cell r="C413" t="str">
            <v>App Dashboard</v>
          </cell>
          <cell r="F413" t="str">
            <v>Functional</v>
          </cell>
          <cell r="G413" t="str">
            <v>Medium</v>
          </cell>
          <cell r="O413" t="str">
            <v>Not Run</v>
          </cell>
        </row>
        <row r="414">
          <cell r="C414" t="str">
            <v>App Dashboard</v>
          </cell>
          <cell r="F414" t="str">
            <v>Functional</v>
          </cell>
          <cell r="G414" t="str">
            <v>Medium</v>
          </cell>
          <cell r="O414" t="str">
            <v>Not Run</v>
          </cell>
        </row>
        <row r="415">
          <cell r="C415" t="str">
            <v>App Dashboard</v>
          </cell>
          <cell r="F415" t="str">
            <v>Security</v>
          </cell>
          <cell r="G415" t="str">
            <v>High</v>
          </cell>
          <cell r="O415" t="str">
            <v>Not Run</v>
          </cell>
        </row>
        <row r="416">
          <cell r="C416" t="str">
            <v>App Dashboard</v>
          </cell>
          <cell r="F416" t="str">
            <v>Security</v>
          </cell>
          <cell r="G416" t="str">
            <v>High</v>
          </cell>
          <cell r="O416" t="str">
            <v>Not Run</v>
          </cell>
        </row>
        <row r="417">
          <cell r="C417" t="str">
            <v>App Dashboard</v>
          </cell>
          <cell r="F417" t="str">
            <v>UI / Functional</v>
          </cell>
          <cell r="G417" t="str">
            <v>Medium</v>
          </cell>
          <cell r="O417" t="str">
            <v>Not Run</v>
          </cell>
        </row>
        <row r="418">
          <cell r="C418" t="str">
            <v>App Dashboard</v>
          </cell>
          <cell r="F418" t="str">
            <v>Positive</v>
          </cell>
          <cell r="G418" t="str">
            <v>High</v>
          </cell>
          <cell r="O418" t="str">
            <v>Not Run</v>
          </cell>
        </row>
        <row r="419">
          <cell r="C419" t="str">
            <v>App Dashboard</v>
          </cell>
          <cell r="F419" t="str">
            <v>Negative</v>
          </cell>
          <cell r="G419" t="str">
            <v>High</v>
          </cell>
          <cell r="O419" t="str">
            <v>Not Run</v>
          </cell>
        </row>
        <row r="420">
          <cell r="C420" t="str">
            <v>App Dashboard</v>
          </cell>
          <cell r="F420" t="str">
            <v>Positive</v>
          </cell>
          <cell r="G420" t="str">
            <v>High</v>
          </cell>
          <cell r="O420" t="str">
            <v>Not Run</v>
          </cell>
        </row>
        <row r="421">
          <cell r="C421" t="str">
            <v>App Dashboard</v>
          </cell>
          <cell r="F421" t="str">
            <v>Negative</v>
          </cell>
          <cell r="G421" t="str">
            <v>High</v>
          </cell>
          <cell r="O421" t="str">
            <v>Not Run</v>
          </cell>
        </row>
        <row r="422">
          <cell r="C422" t="str">
            <v>App Dashboard</v>
          </cell>
          <cell r="F422" t="str">
            <v>Security</v>
          </cell>
          <cell r="G422" t="str">
            <v>High</v>
          </cell>
          <cell r="O422" t="str">
            <v>Not Run</v>
          </cell>
        </row>
        <row r="423">
          <cell r="C423" t="str">
            <v>App Dashboard</v>
          </cell>
          <cell r="F423" t="str">
            <v>Negative / Security</v>
          </cell>
          <cell r="G423" t="str">
            <v>High</v>
          </cell>
          <cell r="O423" t="str">
            <v>Not Run</v>
          </cell>
        </row>
        <row r="424">
          <cell r="C424" t="str">
            <v>App Dashboard</v>
          </cell>
          <cell r="F424" t="str">
            <v>Negative</v>
          </cell>
          <cell r="G424" t="str">
            <v>High</v>
          </cell>
          <cell r="O424" t="str">
            <v>Not Run</v>
          </cell>
        </row>
        <row r="425">
          <cell r="C425" t="str">
            <v>App Dashboard</v>
          </cell>
          <cell r="F425" t="str">
            <v>Positive</v>
          </cell>
          <cell r="G425" t="str">
            <v>High</v>
          </cell>
          <cell r="O425" t="str">
            <v>Not Run</v>
          </cell>
        </row>
        <row r="426">
          <cell r="C426" t="str">
            <v>App Dashboard</v>
          </cell>
          <cell r="F426" t="str">
            <v>Negative</v>
          </cell>
          <cell r="G426" t="str">
            <v>High</v>
          </cell>
          <cell r="O426" t="str">
            <v>Not Run</v>
          </cell>
        </row>
        <row r="427">
          <cell r="C427" t="str">
            <v>App Dashboard</v>
          </cell>
          <cell r="F427" t="str">
            <v>Positive</v>
          </cell>
          <cell r="G427" t="str">
            <v>Medium</v>
          </cell>
          <cell r="O427" t="str">
            <v>Not Run</v>
          </cell>
        </row>
        <row r="428">
          <cell r="C428" t="str">
            <v>App Dashboard</v>
          </cell>
          <cell r="F428" t="str">
            <v>Negative</v>
          </cell>
          <cell r="G428" t="str">
            <v>High</v>
          </cell>
          <cell r="O428" t="str">
            <v>Not Run</v>
          </cell>
        </row>
        <row r="429">
          <cell r="C429" t="str">
            <v>App Dashboard</v>
          </cell>
          <cell r="F429" t="str">
            <v>Security</v>
          </cell>
          <cell r="G429" t="str">
            <v>High</v>
          </cell>
          <cell r="O429" t="str">
            <v>Not Run</v>
          </cell>
        </row>
        <row r="430">
          <cell r="C430" t="str">
            <v>App Dashboard</v>
          </cell>
          <cell r="F430" t="str">
            <v>Negative / Security</v>
          </cell>
          <cell r="G430" t="str">
            <v>High</v>
          </cell>
          <cell r="O430" t="str">
            <v>Not Run</v>
          </cell>
        </row>
        <row r="431">
          <cell r="C431" t="str">
            <v>App Dashboard</v>
          </cell>
          <cell r="F431" t="str">
            <v>Functional</v>
          </cell>
          <cell r="G431" t="str">
            <v>Medium</v>
          </cell>
          <cell r="O431" t="str">
            <v>Not Run</v>
          </cell>
        </row>
        <row r="432">
          <cell r="C432" t="str">
            <v>App Dashboard</v>
          </cell>
          <cell r="F432" t="str">
            <v>Functional</v>
          </cell>
          <cell r="G432" t="str">
            <v>High</v>
          </cell>
          <cell r="O432" t="str">
            <v>Not Run</v>
          </cell>
        </row>
        <row r="433">
          <cell r="C433" t="str">
            <v>App Dashboard</v>
          </cell>
          <cell r="F433" t="str">
            <v>Positive</v>
          </cell>
          <cell r="G433" t="str">
            <v>High</v>
          </cell>
          <cell r="O433" t="str">
            <v>Not Run</v>
          </cell>
        </row>
        <row r="434">
          <cell r="C434" t="str">
            <v>App Dashboard</v>
          </cell>
          <cell r="F434" t="str">
            <v>Negative</v>
          </cell>
          <cell r="G434" t="str">
            <v>High</v>
          </cell>
          <cell r="O434" t="str">
            <v>Not Run</v>
          </cell>
        </row>
        <row r="435">
          <cell r="C435" t="str">
            <v>App Dashboard</v>
          </cell>
          <cell r="F435" t="str">
            <v>Positive</v>
          </cell>
          <cell r="G435" t="str">
            <v>High</v>
          </cell>
          <cell r="O435" t="str">
            <v>Not Run</v>
          </cell>
        </row>
        <row r="436">
          <cell r="C436" t="str">
            <v>App Dashboard</v>
          </cell>
          <cell r="F436" t="str">
            <v>Negative</v>
          </cell>
          <cell r="G436" t="str">
            <v>High</v>
          </cell>
          <cell r="O436" t="str">
            <v>Not Run</v>
          </cell>
        </row>
        <row r="437">
          <cell r="C437" t="str">
            <v>App Dashboard</v>
          </cell>
          <cell r="F437" t="str">
            <v>Security</v>
          </cell>
          <cell r="G437" t="str">
            <v>High</v>
          </cell>
          <cell r="O437" t="str">
            <v>Not Run</v>
          </cell>
        </row>
        <row r="438">
          <cell r="C438" t="str">
            <v>App Dashboard</v>
          </cell>
          <cell r="F438" t="str">
            <v>Negative / Security</v>
          </cell>
          <cell r="G438" t="str">
            <v>High</v>
          </cell>
          <cell r="O438" t="str">
            <v>Not Run</v>
          </cell>
        </row>
        <row r="439">
          <cell r="C439" t="str">
            <v>App Dashboard</v>
          </cell>
          <cell r="F439" t="str">
            <v>Functional</v>
          </cell>
          <cell r="G439" t="str">
            <v>Medium</v>
          </cell>
          <cell r="O439" t="str">
            <v>Not Run</v>
          </cell>
        </row>
        <row r="440">
          <cell r="C440" t="str">
            <v>App Dashboard</v>
          </cell>
          <cell r="F440" t="str">
            <v>Security</v>
          </cell>
          <cell r="G440" t="str">
            <v>High</v>
          </cell>
          <cell r="O440" t="str">
            <v>Not Run</v>
          </cell>
        </row>
        <row r="441">
          <cell r="C441" t="str">
            <v>App Dashboard</v>
          </cell>
          <cell r="F441" t="str">
            <v>Functional</v>
          </cell>
          <cell r="G441" t="str">
            <v>Medium</v>
          </cell>
          <cell r="O441" t="str">
            <v>Not Run</v>
          </cell>
        </row>
        <row r="442">
          <cell r="C442" t="str">
            <v>App Dashboard</v>
          </cell>
          <cell r="F442" t="str">
            <v>Security</v>
          </cell>
          <cell r="G442" t="str">
            <v>High</v>
          </cell>
          <cell r="O442" t="str">
            <v>Not Run</v>
          </cell>
        </row>
        <row r="443">
          <cell r="C443" t="str">
            <v>App Dashboard</v>
          </cell>
          <cell r="F443" t="str">
            <v>Functional</v>
          </cell>
          <cell r="G443" t="str">
            <v>Medium</v>
          </cell>
          <cell r="O443" t="str">
            <v>Not Run</v>
          </cell>
        </row>
        <row r="444">
          <cell r="C444" t="str">
            <v>App Dashboard</v>
          </cell>
          <cell r="F444" t="str">
            <v>Security</v>
          </cell>
          <cell r="G444" t="str">
            <v>High</v>
          </cell>
          <cell r="O444" t="str">
            <v>Not Run</v>
          </cell>
        </row>
        <row r="445">
          <cell r="C445" t="str">
            <v>App Dashboard</v>
          </cell>
          <cell r="F445" t="str">
            <v>Functional</v>
          </cell>
          <cell r="G445" t="str">
            <v>Medium</v>
          </cell>
          <cell r="O445" t="str">
            <v>Not Run</v>
          </cell>
        </row>
        <row r="446">
          <cell r="C446" t="str">
            <v>App Dashboard</v>
          </cell>
          <cell r="F446" t="str">
            <v>Functional</v>
          </cell>
          <cell r="G446" t="str">
            <v>Medium</v>
          </cell>
          <cell r="O446" t="str">
            <v>Not Run</v>
          </cell>
        </row>
        <row r="447">
          <cell r="C447" t="str">
            <v>App Dashboard</v>
          </cell>
          <cell r="F447" t="str">
            <v>Functional</v>
          </cell>
          <cell r="G447" t="str">
            <v>Medium</v>
          </cell>
          <cell r="O447" t="str">
            <v>Not Run</v>
          </cell>
        </row>
        <row r="448">
          <cell r="C448" t="str">
            <v>App Dashboard</v>
          </cell>
          <cell r="F448" t="str">
            <v>Functional</v>
          </cell>
          <cell r="G448" t="str">
            <v>Medium</v>
          </cell>
          <cell r="O448" t="str">
            <v>Not Run</v>
          </cell>
        </row>
        <row r="449">
          <cell r="C449" t="str">
            <v>App Dashboard</v>
          </cell>
          <cell r="F449" t="str">
            <v>Positive</v>
          </cell>
          <cell r="G449" t="str">
            <v>High</v>
          </cell>
          <cell r="O449" t="str">
            <v>Not Run</v>
          </cell>
        </row>
        <row r="450">
          <cell r="C450" t="str">
            <v>App Dashboard</v>
          </cell>
          <cell r="F450" t="str">
            <v>Negative</v>
          </cell>
          <cell r="G450" t="str">
            <v>High</v>
          </cell>
          <cell r="O450" t="str">
            <v>Not Run</v>
          </cell>
        </row>
        <row r="451">
          <cell r="C451" t="str">
            <v>A&amp;A</v>
          </cell>
          <cell r="F451" t="str">
            <v>Positive</v>
          </cell>
          <cell r="G451" t="str">
            <v>High</v>
          </cell>
          <cell r="O451" t="str">
            <v>Not Run</v>
          </cell>
        </row>
        <row r="452">
          <cell r="C452" t="str">
            <v>A&amp;A</v>
          </cell>
          <cell r="F452" t="str">
            <v>Negative</v>
          </cell>
          <cell r="G452" t="str">
            <v>High</v>
          </cell>
          <cell r="O452" t="str">
            <v>Not Run</v>
          </cell>
        </row>
        <row r="453">
          <cell r="C453" t="str">
            <v>A&amp;A</v>
          </cell>
          <cell r="F453" t="str">
            <v>Security</v>
          </cell>
          <cell r="G453" t="str">
            <v>High</v>
          </cell>
          <cell r="O453" t="str">
            <v>Not Run</v>
          </cell>
        </row>
        <row r="454">
          <cell r="C454" t="str">
            <v>A&amp;A</v>
          </cell>
          <cell r="F454" t="str">
            <v>Security</v>
          </cell>
          <cell r="G454" t="str">
            <v>High</v>
          </cell>
          <cell r="O454" t="str">
            <v>Not Run</v>
          </cell>
        </row>
        <row r="455">
          <cell r="C455" t="str">
            <v>A&amp;A</v>
          </cell>
          <cell r="F455" t="str">
            <v>Security</v>
          </cell>
          <cell r="G455" t="str">
            <v>High</v>
          </cell>
          <cell r="O455" t="str">
            <v>Not Run</v>
          </cell>
        </row>
        <row r="456">
          <cell r="C456" t="str">
            <v>A&amp;A</v>
          </cell>
          <cell r="F456" t="str">
            <v>Security</v>
          </cell>
          <cell r="G456" t="str">
            <v>High</v>
          </cell>
          <cell r="O456" t="str">
            <v>Not Run</v>
          </cell>
        </row>
        <row r="457">
          <cell r="C457" t="str">
            <v>A&amp;A</v>
          </cell>
          <cell r="F457" t="str">
            <v>Security</v>
          </cell>
          <cell r="G457" t="str">
            <v>Medium</v>
          </cell>
          <cell r="O457" t="str">
            <v>Not Run</v>
          </cell>
        </row>
        <row r="458">
          <cell r="C458" t="str">
            <v>A&amp;A</v>
          </cell>
          <cell r="F458" t="str">
            <v>Security</v>
          </cell>
          <cell r="G458" t="str">
            <v>Medium</v>
          </cell>
          <cell r="O458" t="str">
            <v>Not Run</v>
          </cell>
        </row>
        <row r="459">
          <cell r="C459" t="str">
            <v>A&amp;A</v>
          </cell>
          <cell r="F459" t="str">
            <v>Security</v>
          </cell>
          <cell r="G459" t="str">
            <v>Medium</v>
          </cell>
          <cell r="O459" t="str">
            <v>Not Run</v>
          </cell>
        </row>
        <row r="460">
          <cell r="C460" t="str">
            <v>A&amp;A</v>
          </cell>
          <cell r="F460" t="str">
            <v>Security</v>
          </cell>
          <cell r="G460" t="str">
            <v>Medium</v>
          </cell>
          <cell r="O460" t="str">
            <v>Not Run</v>
          </cell>
        </row>
        <row r="461">
          <cell r="C461" t="str">
            <v>A&amp;A</v>
          </cell>
          <cell r="F461" t="str">
            <v>Positive</v>
          </cell>
          <cell r="G461" t="str">
            <v>High</v>
          </cell>
          <cell r="O461" t="str">
            <v>Not Run</v>
          </cell>
        </row>
        <row r="462">
          <cell r="C462" t="str">
            <v>A&amp;A</v>
          </cell>
          <cell r="F462" t="str">
            <v>Negative</v>
          </cell>
          <cell r="G462" t="str">
            <v>High</v>
          </cell>
          <cell r="O462" t="str">
            <v>Not Run</v>
          </cell>
        </row>
        <row r="463">
          <cell r="C463" t="str">
            <v>A&amp;A</v>
          </cell>
          <cell r="F463" t="str">
            <v>Positive</v>
          </cell>
          <cell r="G463" t="str">
            <v>High</v>
          </cell>
          <cell r="O463" t="str">
            <v>Not Run</v>
          </cell>
        </row>
        <row r="464">
          <cell r="C464" t="str">
            <v>A&amp;A</v>
          </cell>
          <cell r="F464" t="str">
            <v>Negative</v>
          </cell>
          <cell r="G464" t="str">
            <v>High</v>
          </cell>
          <cell r="O464" t="str">
            <v>Not Run</v>
          </cell>
        </row>
        <row r="465">
          <cell r="C465" t="str">
            <v>A&amp;A</v>
          </cell>
          <cell r="F465" t="str">
            <v>Security</v>
          </cell>
          <cell r="G465" t="str">
            <v>High</v>
          </cell>
          <cell r="O465" t="str">
            <v>Not Run</v>
          </cell>
        </row>
        <row r="466">
          <cell r="C466" t="str">
            <v>A&amp;A</v>
          </cell>
          <cell r="F466" t="str">
            <v>Security</v>
          </cell>
          <cell r="G466" t="str">
            <v>High</v>
          </cell>
          <cell r="O466" t="str">
            <v>Not Run</v>
          </cell>
        </row>
        <row r="467">
          <cell r="C467" t="str">
            <v>A&amp;A</v>
          </cell>
          <cell r="F467" t="str">
            <v>Positive</v>
          </cell>
          <cell r="G467" t="str">
            <v>High</v>
          </cell>
          <cell r="O467" t="str">
            <v>Not Run</v>
          </cell>
        </row>
        <row r="468">
          <cell r="C468" t="str">
            <v>A&amp;A</v>
          </cell>
          <cell r="F468" t="str">
            <v>Negative</v>
          </cell>
          <cell r="G468" t="str">
            <v>High</v>
          </cell>
          <cell r="O468" t="str">
            <v>Not Run</v>
          </cell>
        </row>
        <row r="469">
          <cell r="C469" t="str">
            <v>A&amp;A</v>
          </cell>
          <cell r="F469" t="str">
            <v>Positive</v>
          </cell>
          <cell r="G469" t="str">
            <v>High</v>
          </cell>
          <cell r="O469" t="str">
            <v>Not Run</v>
          </cell>
        </row>
        <row r="470">
          <cell r="C470" t="str">
            <v>A&amp;A</v>
          </cell>
          <cell r="F470" t="str">
            <v>Negative</v>
          </cell>
          <cell r="G470" t="str">
            <v>High</v>
          </cell>
          <cell r="O470" t="str">
            <v>Not Run</v>
          </cell>
        </row>
        <row r="471">
          <cell r="C471" t="str">
            <v>A&amp;A</v>
          </cell>
          <cell r="F471" t="str">
            <v>Security</v>
          </cell>
          <cell r="G471" t="str">
            <v>High</v>
          </cell>
          <cell r="O471" t="str">
            <v>Not Run</v>
          </cell>
        </row>
        <row r="472">
          <cell r="C472" t="str">
            <v>A&amp;A</v>
          </cell>
          <cell r="F472" t="str">
            <v>Security</v>
          </cell>
          <cell r="G472" t="str">
            <v>High</v>
          </cell>
          <cell r="O472" t="str">
            <v>Not Run</v>
          </cell>
        </row>
        <row r="473">
          <cell r="C473" t="str">
            <v>A&amp;A</v>
          </cell>
          <cell r="F473" t="str">
            <v>Security</v>
          </cell>
          <cell r="G473" t="str">
            <v>High</v>
          </cell>
          <cell r="O473" t="str">
            <v>Not Run</v>
          </cell>
        </row>
        <row r="474">
          <cell r="C474" t="str">
            <v>A&amp;A</v>
          </cell>
          <cell r="F474" t="str">
            <v>Security</v>
          </cell>
          <cell r="G474" t="str">
            <v>High</v>
          </cell>
          <cell r="O474" t="str">
            <v>Not Run</v>
          </cell>
        </row>
        <row r="475">
          <cell r="C475" t="str">
            <v>A&amp;A</v>
          </cell>
          <cell r="F475" t="str">
            <v>Security</v>
          </cell>
          <cell r="G475" t="str">
            <v>High</v>
          </cell>
          <cell r="O475" t="str">
            <v>Not Run</v>
          </cell>
        </row>
        <row r="476">
          <cell r="C476" t="str">
            <v>A&amp;A</v>
          </cell>
          <cell r="F476" t="str">
            <v>Security</v>
          </cell>
          <cell r="G476" t="str">
            <v>High</v>
          </cell>
          <cell r="O476" t="str">
            <v>Not Run</v>
          </cell>
        </row>
        <row r="477">
          <cell r="C477" t="str">
            <v>A&amp;A</v>
          </cell>
          <cell r="F477" t="str">
            <v>Security</v>
          </cell>
          <cell r="G477" t="str">
            <v>High</v>
          </cell>
          <cell r="O477" t="str">
            <v>Not Run</v>
          </cell>
        </row>
        <row r="478">
          <cell r="C478" t="str">
            <v>A&amp;A</v>
          </cell>
          <cell r="F478" t="str">
            <v>Security</v>
          </cell>
          <cell r="G478" t="str">
            <v>High</v>
          </cell>
          <cell r="O478" t="str">
            <v>Not Run</v>
          </cell>
        </row>
        <row r="479">
          <cell r="C479" t="str">
            <v>A&amp;A</v>
          </cell>
          <cell r="F479" t="str">
            <v>Positive</v>
          </cell>
          <cell r="G479" t="str">
            <v>High</v>
          </cell>
          <cell r="O479" t="str">
            <v>Not Run</v>
          </cell>
        </row>
        <row r="480">
          <cell r="C480" t="str">
            <v>A&amp;A</v>
          </cell>
          <cell r="F480" t="str">
            <v>Negative</v>
          </cell>
          <cell r="G480" t="str">
            <v>High</v>
          </cell>
          <cell r="O480" t="str">
            <v>Not Run</v>
          </cell>
        </row>
        <row r="481">
          <cell r="C481" t="str">
            <v>A&amp;A</v>
          </cell>
          <cell r="F481" t="str">
            <v>Positive</v>
          </cell>
          <cell r="G481" t="str">
            <v>Medium</v>
          </cell>
          <cell r="O481" t="str">
            <v>Not Run</v>
          </cell>
        </row>
        <row r="482">
          <cell r="C482" t="str">
            <v>A&amp;A</v>
          </cell>
          <cell r="F482" t="str">
            <v>Negative</v>
          </cell>
          <cell r="G482" t="str">
            <v>High</v>
          </cell>
          <cell r="O482" t="str">
            <v>Not Run</v>
          </cell>
        </row>
        <row r="483">
          <cell r="C483" t="str">
            <v>A&amp;A</v>
          </cell>
          <cell r="F483" t="str">
            <v>Security</v>
          </cell>
          <cell r="G483" t="str">
            <v>High</v>
          </cell>
          <cell r="O483" t="str">
            <v>Not Run</v>
          </cell>
        </row>
        <row r="484">
          <cell r="C484" t="str">
            <v>A&amp;A</v>
          </cell>
          <cell r="F484" t="str">
            <v>Security</v>
          </cell>
          <cell r="G484" t="str">
            <v>High</v>
          </cell>
          <cell r="O484" t="str">
            <v>Not Run</v>
          </cell>
        </row>
        <row r="485">
          <cell r="C485" t="str">
            <v>A&amp;A</v>
          </cell>
          <cell r="F485" t="str">
            <v>Security</v>
          </cell>
          <cell r="G485" t="str">
            <v>Medium</v>
          </cell>
          <cell r="O485" t="str">
            <v>Not Run</v>
          </cell>
        </row>
        <row r="486">
          <cell r="C486" t="str">
            <v>A&amp;A</v>
          </cell>
          <cell r="F486" t="str">
            <v>Security</v>
          </cell>
          <cell r="G486" t="str">
            <v>Medium</v>
          </cell>
          <cell r="O486" t="str">
            <v>Not Run</v>
          </cell>
        </row>
        <row r="487">
          <cell r="C487" t="str">
            <v>A&amp;A</v>
          </cell>
          <cell r="F487" t="str">
            <v>Positive</v>
          </cell>
          <cell r="G487" t="str">
            <v>High</v>
          </cell>
          <cell r="O487" t="str">
            <v>Not Run</v>
          </cell>
        </row>
        <row r="488">
          <cell r="C488" t="str">
            <v>A&amp;A</v>
          </cell>
          <cell r="F488" t="str">
            <v>Negative</v>
          </cell>
          <cell r="G488" t="str">
            <v>High</v>
          </cell>
          <cell r="O488" t="str">
            <v>Not Run</v>
          </cell>
        </row>
        <row r="489">
          <cell r="C489" t="str">
            <v>A&amp;A</v>
          </cell>
          <cell r="F489" t="str">
            <v>Positive</v>
          </cell>
          <cell r="G489" t="str">
            <v>High</v>
          </cell>
          <cell r="O489" t="str">
            <v>Not Run</v>
          </cell>
        </row>
        <row r="490">
          <cell r="C490" t="str">
            <v>A&amp;A</v>
          </cell>
          <cell r="F490" t="str">
            <v>Negative</v>
          </cell>
          <cell r="G490" t="str">
            <v>High</v>
          </cell>
          <cell r="O490" t="str">
            <v>Not Run</v>
          </cell>
        </row>
        <row r="491">
          <cell r="C491" t="str">
            <v>A&amp;A</v>
          </cell>
          <cell r="F491" t="str">
            <v>Functional</v>
          </cell>
          <cell r="G491" t="str">
            <v>High</v>
          </cell>
          <cell r="O491" t="str">
            <v>Not Run</v>
          </cell>
        </row>
        <row r="492">
          <cell r="C492" t="str">
            <v>A&amp;A</v>
          </cell>
          <cell r="F492" t="str">
            <v>Security</v>
          </cell>
          <cell r="G492" t="str">
            <v>High</v>
          </cell>
          <cell r="O492" t="str">
            <v>Not Run</v>
          </cell>
        </row>
        <row r="493">
          <cell r="C493" t="str">
            <v>A&amp;A</v>
          </cell>
          <cell r="F493" t="str">
            <v>Security</v>
          </cell>
          <cell r="G493" t="str">
            <v>High</v>
          </cell>
          <cell r="O493" t="str">
            <v>Not Run</v>
          </cell>
        </row>
        <row r="494">
          <cell r="C494" t="str">
            <v>A&amp;A</v>
          </cell>
          <cell r="F494" t="str">
            <v>Security</v>
          </cell>
          <cell r="G494" t="str">
            <v>Medium</v>
          </cell>
          <cell r="O494" t="str">
            <v>Not Run</v>
          </cell>
        </row>
        <row r="495">
          <cell r="C495" t="str">
            <v>A&amp;A</v>
          </cell>
          <cell r="F495" t="str">
            <v>Functional</v>
          </cell>
          <cell r="G495" t="str">
            <v>Medium</v>
          </cell>
          <cell r="O495" t="str">
            <v>Not Run</v>
          </cell>
        </row>
        <row r="496">
          <cell r="C496" t="str">
            <v>A&amp;A</v>
          </cell>
          <cell r="F496" t="str">
            <v>Security</v>
          </cell>
          <cell r="G496" t="str">
            <v>High</v>
          </cell>
          <cell r="O496" t="str">
            <v>Not Run</v>
          </cell>
        </row>
        <row r="497">
          <cell r="C497" t="str">
            <v>A&amp;A</v>
          </cell>
          <cell r="F497" t="str">
            <v>Functional</v>
          </cell>
          <cell r="G497" t="str">
            <v>Medium</v>
          </cell>
          <cell r="O497" t="str">
            <v>Not Run</v>
          </cell>
        </row>
        <row r="498">
          <cell r="C498" t="str">
            <v>A&amp;A</v>
          </cell>
          <cell r="F498" t="str">
            <v>Positive</v>
          </cell>
          <cell r="G498" t="str">
            <v>High</v>
          </cell>
          <cell r="O498" t="str">
            <v>Not Run</v>
          </cell>
        </row>
        <row r="499">
          <cell r="C499" t="str">
            <v>A&amp;A</v>
          </cell>
          <cell r="F499" t="str">
            <v>Negative</v>
          </cell>
          <cell r="G499" t="str">
            <v>High</v>
          </cell>
          <cell r="O499" t="str">
            <v>Not Run</v>
          </cell>
        </row>
        <row r="500">
          <cell r="C500" t="str">
            <v>A&amp;A</v>
          </cell>
          <cell r="F500" t="str">
            <v>Positive</v>
          </cell>
          <cell r="G500" t="str">
            <v>High</v>
          </cell>
          <cell r="O500" t="str">
            <v>Not Run</v>
          </cell>
        </row>
        <row r="501">
          <cell r="C501" t="str">
            <v>A&amp;A</v>
          </cell>
          <cell r="F501" t="str">
            <v>Negative</v>
          </cell>
          <cell r="G501" t="str">
            <v>High</v>
          </cell>
          <cell r="O501" t="str">
            <v>Not Run</v>
          </cell>
        </row>
        <row r="502">
          <cell r="C502" t="str">
            <v>A&amp;A</v>
          </cell>
          <cell r="F502" t="str">
            <v>Security</v>
          </cell>
          <cell r="G502" t="str">
            <v>High</v>
          </cell>
          <cell r="O502" t="str">
            <v>Not Run</v>
          </cell>
        </row>
        <row r="503">
          <cell r="C503" t="str">
            <v>A&amp;A</v>
          </cell>
          <cell r="F503" t="str">
            <v>Security</v>
          </cell>
          <cell r="G503" t="str">
            <v>High</v>
          </cell>
          <cell r="O503" t="str">
            <v>Not Run</v>
          </cell>
        </row>
        <row r="504">
          <cell r="C504" t="str">
            <v>A&amp;A</v>
          </cell>
          <cell r="F504" t="str">
            <v>Security</v>
          </cell>
          <cell r="G504" t="str">
            <v>High</v>
          </cell>
          <cell r="O504" t="str">
            <v>Not Run</v>
          </cell>
        </row>
        <row r="505">
          <cell r="C505" t="str">
            <v>A&amp;A</v>
          </cell>
          <cell r="F505" t="str">
            <v>Security</v>
          </cell>
          <cell r="G505" t="str">
            <v>High</v>
          </cell>
          <cell r="O505" t="str">
            <v>Not Run</v>
          </cell>
        </row>
        <row r="506">
          <cell r="C506" t="str">
            <v>A&amp;A</v>
          </cell>
          <cell r="F506" t="str">
            <v>Security</v>
          </cell>
          <cell r="G506" t="str">
            <v>Medium</v>
          </cell>
          <cell r="O506" t="str">
            <v>Not Run</v>
          </cell>
        </row>
        <row r="507">
          <cell r="C507" t="str">
            <v>A&amp;A</v>
          </cell>
          <cell r="F507" t="str">
            <v>Security</v>
          </cell>
          <cell r="G507" t="str">
            <v>Medium</v>
          </cell>
          <cell r="O507" t="str">
            <v>Not Run</v>
          </cell>
        </row>
        <row r="508">
          <cell r="C508" t="str">
            <v>A&amp;A</v>
          </cell>
          <cell r="F508" t="str">
            <v>Positive</v>
          </cell>
          <cell r="G508" t="str">
            <v>High</v>
          </cell>
          <cell r="O508" t="str">
            <v>Not Run</v>
          </cell>
        </row>
        <row r="509">
          <cell r="C509" t="str">
            <v>A&amp;A</v>
          </cell>
          <cell r="F509" t="str">
            <v>Negative</v>
          </cell>
          <cell r="G509" t="str">
            <v>High</v>
          </cell>
          <cell r="O509" t="str">
            <v>Not Run</v>
          </cell>
        </row>
        <row r="510">
          <cell r="C510" t="str">
            <v>A&amp;A</v>
          </cell>
          <cell r="F510" t="str">
            <v>Positive</v>
          </cell>
          <cell r="G510" t="str">
            <v>Medium</v>
          </cell>
          <cell r="O510" t="str">
            <v>Not Run</v>
          </cell>
        </row>
        <row r="511">
          <cell r="C511" t="str">
            <v>A&amp;A</v>
          </cell>
          <cell r="F511" t="str">
            <v>Negative</v>
          </cell>
          <cell r="G511" t="str">
            <v>High</v>
          </cell>
          <cell r="O511" t="str">
            <v>Not Run</v>
          </cell>
        </row>
        <row r="512">
          <cell r="C512" t="str">
            <v>A&amp;A</v>
          </cell>
          <cell r="F512" t="str">
            <v>Security</v>
          </cell>
          <cell r="G512" t="str">
            <v>High</v>
          </cell>
          <cell r="O512" t="str">
            <v>Not Run</v>
          </cell>
        </row>
        <row r="513">
          <cell r="C513" t="str">
            <v>A&amp;A</v>
          </cell>
          <cell r="F513" t="str">
            <v>Security</v>
          </cell>
          <cell r="G513" t="str">
            <v>High</v>
          </cell>
          <cell r="O513" t="str">
            <v>Not Run</v>
          </cell>
        </row>
        <row r="514">
          <cell r="C514" t="str">
            <v>A&amp;A</v>
          </cell>
          <cell r="F514" t="str">
            <v>Functional</v>
          </cell>
          <cell r="G514" t="str">
            <v>High</v>
          </cell>
          <cell r="O514" t="str">
            <v>Not Run</v>
          </cell>
        </row>
        <row r="515">
          <cell r="C515" t="str">
            <v>A&amp;A</v>
          </cell>
          <cell r="F515" t="str">
            <v>Functional</v>
          </cell>
          <cell r="G515" t="str">
            <v>Medium</v>
          </cell>
          <cell r="O515" t="str">
            <v>Not Run</v>
          </cell>
        </row>
        <row r="516">
          <cell r="C516" t="str">
            <v>A&amp;A</v>
          </cell>
          <cell r="F516" t="str">
            <v>Positive</v>
          </cell>
          <cell r="G516" t="str">
            <v>High</v>
          </cell>
          <cell r="O516" t="str">
            <v>Not Run</v>
          </cell>
        </row>
        <row r="517">
          <cell r="C517" t="str">
            <v>A&amp;A</v>
          </cell>
          <cell r="F517" t="str">
            <v>Negative</v>
          </cell>
          <cell r="G517" t="str">
            <v>High</v>
          </cell>
          <cell r="O517" t="str">
            <v>Not Run</v>
          </cell>
        </row>
        <row r="518">
          <cell r="C518" t="str">
            <v>A&amp;A</v>
          </cell>
          <cell r="F518" t="str">
            <v>Positive</v>
          </cell>
          <cell r="G518" t="str">
            <v>High</v>
          </cell>
          <cell r="O518" t="str">
            <v>Not Run</v>
          </cell>
        </row>
        <row r="519">
          <cell r="C519" t="str">
            <v>A&amp;A</v>
          </cell>
          <cell r="F519" t="str">
            <v>Negative</v>
          </cell>
          <cell r="G519" t="str">
            <v>High</v>
          </cell>
          <cell r="O519" t="str">
            <v>Not Run</v>
          </cell>
        </row>
        <row r="520">
          <cell r="C520" t="str">
            <v>A&amp;A</v>
          </cell>
          <cell r="F520" t="str">
            <v>Security</v>
          </cell>
          <cell r="G520" t="str">
            <v>High</v>
          </cell>
          <cell r="O520" t="str">
            <v>Not Run</v>
          </cell>
        </row>
        <row r="521">
          <cell r="C521" t="str">
            <v>A&amp;A</v>
          </cell>
          <cell r="F521" t="str">
            <v>Security</v>
          </cell>
          <cell r="G521" t="str">
            <v>High</v>
          </cell>
          <cell r="O521" t="str">
            <v>Not Run</v>
          </cell>
        </row>
        <row r="522">
          <cell r="C522" t="str">
            <v>A&amp;A</v>
          </cell>
          <cell r="F522" t="str">
            <v>Functional</v>
          </cell>
          <cell r="G522" t="str">
            <v>Medium</v>
          </cell>
          <cell r="O522" t="str">
            <v>Not Run</v>
          </cell>
        </row>
        <row r="523">
          <cell r="C523" t="str">
            <v>A&amp;A</v>
          </cell>
          <cell r="F523" t="str">
            <v>Positive</v>
          </cell>
          <cell r="G523" t="str">
            <v>High</v>
          </cell>
          <cell r="O523" t="str">
            <v>Not Run</v>
          </cell>
        </row>
        <row r="524">
          <cell r="C524" t="str">
            <v>A&amp;A</v>
          </cell>
          <cell r="F524" t="str">
            <v>Negative</v>
          </cell>
          <cell r="G524" t="str">
            <v>High</v>
          </cell>
          <cell r="O524" t="str">
            <v>Not Run</v>
          </cell>
        </row>
        <row r="525">
          <cell r="C525" t="str">
            <v>A&amp;A</v>
          </cell>
          <cell r="F525" t="str">
            <v>Positive</v>
          </cell>
          <cell r="G525" t="str">
            <v>High</v>
          </cell>
          <cell r="O525" t="str">
            <v>Not Run</v>
          </cell>
        </row>
        <row r="526">
          <cell r="C526" t="str">
            <v>A&amp;A</v>
          </cell>
          <cell r="F526" t="str">
            <v>Negative</v>
          </cell>
          <cell r="G526" t="str">
            <v>High</v>
          </cell>
          <cell r="O526" t="str">
            <v>Not Run</v>
          </cell>
        </row>
        <row r="527">
          <cell r="C527" t="str">
            <v>A&amp;A</v>
          </cell>
          <cell r="F527" t="str">
            <v>Functional</v>
          </cell>
          <cell r="G527" t="str">
            <v>Medium</v>
          </cell>
          <cell r="O527" t="str">
            <v>Not Run</v>
          </cell>
        </row>
        <row r="528">
          <cell r="C528" t="str">
            <v>A&amp;A</v>
          </cell>
          <cell r="F528" t="str">
            <v>Positive</v>
          </cell>
          <cell r="G528" t="str">
            <v>High</v>
          </cell>
          <cell r="O528" t="str">
            <v>Not Run</v>
          </cell>
        </row>
        <row r="529">
          <cell r="C529" t="str">
            <v>A&amp;A</v>
          </cell>
          <cell r="F529" t="str">
            <v>Negative</v>
          </cell>
          <cell r="G529" t="str">
            <v>High</v>
          </cell>
          <cell r="O529" t="str">
            <v>Not Run</v>
          </cell>
        </row>
        <row r="530">
          <cell r="C530" t="str">
            <v>A&amp;A</v>
          </cell>
          <cell r="F530" t="str">
            <v>Positive</v>
          </cell>
          <cell r="G530" t="str">
            <v>High</v>
          </cell>
          <cell r="O530" t="str">
            <v>Not Run</v>
          </cell>
        </row>
        <row r="531">
          <cell r="C531" t="str">
            <v>A&amp;A</v>
          </cell>
          <cell r="F531" t="str">
            <v>Negative</v>
          </cell>
          <cell r="G531" t="str">
            <v>High</v>
          </cell>
          <cell r="O531" t="str">
            <v>Not Run</v>
          </cell>
        </row>
        <row r="532">
          <cell r="C532" t="str">
            <v>A&amp;A</v>
          </cell>
          <cell r="F532" t="str">
            <v>Functional</v>
          </cell>
          <cell r="G532" t="str">
            <v>Medium</v>
          </cell>
          <cell r="O532" t="str">
            <v>Not Run</v>
          </cell>
        </row>
        <row r="533">
          <cell r="C533" t="str">
            <v>A&amp;A</v>
          </cell>
          <cell r="F533" t="str">
            <v>Positive</v>
          </cell>
          <cell r="G533" t="str">
            <v>High</v>
          </cell>
          <cell r="O533" t="str">
            <v>Not Run</v>
          </cell>
        </row>
        <row r="534">
          <cell r="C534" t="str">
            <v>A&amp;A</v>
          </cell>
          <cell r="F534" t="str">
            <v>Negative</v>
          </cell>
          <cell r="G534" t="str">
            <v>High</v>
          </cell>
          <cell r="O534" t="str">
            <v>Not Run</v>
          </cell>
        </row>
        <row r="535">
          <cell r="C535" t="str">
            <v>Local Transfer</v>
          </cell>
          <cell r="F535" t="str">
            <v>Positive</v>
          </cell>
          <cell r="G535" t="str">
            <v>High</v>
          </cell>
          <cell r="O535" t="str">
            <v>Not Run</v>
          </cell>
        </row>
        <row r="536">
          <cell r="C536" t="str">
            <v>Local Transfer</v>
          </cell>
          <cell r="F536" t="str">
            <v>Negative</v>
          </cell>
          <cell r="G536" t="str">
            <v>High</v>
          </cell>
          <cell r="O536" t="str">
            <v>Not Run</v>
          </cell>
        </row>
        <row r="537">
          <cell r="C537" t="str">
            <v>Local Transfer</v>
          </cell>
          <cell r="F537" t="str">
            <v>Security</v>
          </cell>
          <cell r="G537" t="str">
            <v>High</v>
          </cell>
          <cell r="O537" t="str">
            <v>Not Run</v>
          </cell>
        </row>
        <row r="538">
          <cell r="C538" t="str">
            <v>Local Transfer</v>
          </cell>
          <cell r="F538" t="str">
            <v>Negative / Security</v>
          </cell>
          <cell r="G538" t="str">
            <v>High</v>
          </cell>
          <cell r="O538" t="str">
            <v>Not Run</v>
          </cell>
        </row>
        <row r="539">
          <cell r="C539" t="str">
            <v>Local Transfer</v>
          </cell>
          <cell r="F539" t="str">
            <v>Functional</v>
          </cell>
          <cell r="G539" t="str">
            <v>High</v>
          </cell>
          <cell r="O539" t="str">
            <v>Not Run</v>
          </cell>
        </row>
        <row r="540">
          <cell r="C540" t="str">
            <v>Local Transfer</v>
          </cell>
          <cell r="F540" t="str">
            <v>UI / Functional</v>
          </cell>
          <cell r="G540" t="str">
            <v>High</v>
          </cell>
          <cell r="O540" t="str">
            <v>Not Run</v>
          </cell>
        </row>
        <row r="541">
          <cell r="C541" t="str">
            <v>Local Transfer</v>
          </cell>
          <cell r="F541" t="str">
            <v>Functional</v>
          </cell>
          <cell r="G541" t="str">
            <v>High</v>
          </cell>
          <cell r="O541" t="str">
            <v>Not Run</v>
          </cell>
        </row>
        <row r="542">
          <cell r="C542" t="str">
            <v>Local Transfer</v>
          </cell>
          <cell r="F542" t="str">
            <v>Functional</v>
          </cell>
          <cell r="G542" t="str">
            <v>Medium</v>
          </cell>
          <cell r="O542" t="str">
            <v>Not Run</v>
          </cell>
        </row>
        <row r="543">
          <cell r="C543" t="str">
            <v>Local Transfer</v>
          </cell>
          <cell r="F543" t="str">
            <v>UI / Functional</v>
          </cell>
          <cell r="G543" t="str">
            <v>High</v>
          </cell>
          <cell r="O543" t="str">
            <v>Not Run</v>
          </cell>
        </row>
        <row r="544">
          <cell r="C544" t="str">
            <v>Local Transfer</v>
          </cell>
          <cell r="F544" t="str">
            <v>Security</v>
          </cell>
          <cell r="G544" t="str">
            <v>High</v>
          </cell>
          <cell r="O544" t="str">
            <v>Not Run</v>
          </cell>
        </row>
        <row r="545">
          <cell r="C545" t="str">
            <v>Local Transfer</v>
          </cell>
          <cell r="F545" t="str">
            <v>Functional</v>
          </cell>
          <cell r="G545" t="str">
            <v>High</v>
          </cell>
          <cell r="O545" t="str">
            <v>Not Run</v>
          </cell>
        </row>
        <row r="546">
          <cell r="C546" t="str">
            <v>Local Transfer</v>
          </cell>
          <cell r="F546" t="str">
            <v>Functional</v>
          </cell>
          <cell r="G546" t="str">
            <v>Medium</v>
          </cell>
          <cell r="O546" t="str">
            <v>Not Run</v>
          </cell>
        </row>
        <row r="547">
          <cell r="C547" t="str">
            <v>Local Transfer</v>
          </cell>
          <cell r="F547" t="str">
            <v>Functional</v>
          </cell>
          <cell r="G547" t="str">
            <v>High</v>
          </cell>
          <cell r="O547" t="str">
            <v>Not Run</v>
          </cell>
        </row>
        <row r="548">
          <cell r="C548" t="str">
            <v>Local Transfer</v>
          </cell>
          <cell r="F548" t="str">
            <v>Positive</v>
          </cell>
          <cell r="G548" t="str">
            <v>High</v>
          </cell>
          <cell r="O548" t="str">
            <v>Not Run</v>
          </cell>
        </row>
        <row r="549">
          <cell r="C549" t="str">
            <v>Local Transfer</v>
          </cell>
          <cell r="F549" t="str">
            <v>Negative</v>
          </cell>
          <cell r="G549" t="str">
            <v>High</v>
          </cell>
          <cell r="O549" t="str">
            <v>Not Run</v>
          </cell>
        </row>
        <row r="550">
          <cell r="C550" t="str">
            <v>Local Transfer</v>
          </cell>
          <cell r="F550" t="str">
            <v>Positive</v>
          </cell>
          <cell r="G550" t="str">
            <v>High</v>
          </cell>
          <cell r="O550" t="str">
            <v>Not Run</v>
          </cell>
        </row>
        <row r="551">
          <cell r="C551" t="str">
            <v>Local Transfer</v>
          </cell>
          <cell r="F551" t="str">
            <v>Negative</v>
          </cell>
          <cell r="G551" t="str">
            <v>High</v>
          </cell>
          <cell r="O551" t="str">
            <v>Not Run</v>
          </cell>
        </row>
        <row r="552">
          <cell r="C552" t="str">
            <v>Local Transfer</v>
          </cell>
          <cell r="F552" t="str">
            <v>Security</v>
          </cell>
          <cell r="G552" t="str">
            <v>High</v>
          </cell>
          <cell r="O552" t="str">
            <v>Not Run</v>
          </cell>
        </row>
        <row r="553">
          <cell r="C553" t="str">
            <v>Local Transfer</v>
          </cell>
          <cell r="F553" t="str">
            <v>Negative / Security</v>
          </cell>
          <cell r="G553" t="str">
            <v>High</v>
          </cell>
          <cell r="O553" t="str">
            <v>Not Run</v>
          </cell>
        </row>
        <row r="554">
          <cell r="C554" t="str">
            <v>Local Transfer</v>
          </cell>
          <cell r="F554" t="str">
            <v>Functional</v>
          </cell>
          <cell r="G554" t="str">
            <v>High</v>
          </cell>
          <cell r="O554" t="str">
            <v>Not Run</v>
          </cell>
        </row>
        <row r="555">
          <cell r="C555" t="str">
            <v>Local Transfer</v>
          </cell>
          <cell r="F555" t="str">
            <v>UI / Functional</v>
          </cell>
          <cell r="G555" t="str">
            <v>High</v>
          </cell>
          <cell r="O555" t="str">
            <v>Not Run</v>
          </cell>
        </row>
        <row r="556">
          <cell r="C556" t="str">
            <v>Local Transfer</v>
          </cell>
          <cell r="F556" t="str">
            <v>Functional</v>
          </cell>
          <cell r="G556" t="str">
            <v>High</v>
          </cell>
          <cell r="O556" t="str">
            <v>Not Run</v>
          </cell>
        </row>
        <row r="557">
          <cell r="C557" t="str">
            <v>Local Transfer</v>
          </cell>
          <cell r="F557" t="str">
            <v>Functional</v>
          </cell>
          <cell r="G557" t="str">
            <v>High</v>
          </cell>
          <cell r="O557" t="str">
            <v>Not Run</v>
          </cell>
        </row>
        <row r="558">
          <cell r="C558" t="str">
            <v>Local Transfer</v>
          </cell>
          <cell r="F558" t="str">
            <v>Functional</v>
          </cell>
          <cell r="G558" t="str">
            <v>Medium</v>
          </cell>
          <cell r="O558" t="str">
            <v>Not Run</v>
          </cell>
        </row>
        <row r="559">
          <cell r="C559" t="str">
            <v>Local Transfer</v>
          </cell>
          <cell r="F559" t="str">
            <v>UI / Functional</v>
          </cell>
          <cell r="G559" t="str">
            <v>High</v>
          </cell>
          <cell r="O559" t="str">
            <v>Not Run</v>
          </cell>
        </row>
        <row r="560">
          <cell r="C560" t="str">
            <v>Local Transfer</v>
          </cell>
          <cell r="F560" t="str">
            <v>UI / Functional</v>
          </cell>
          <cell r="G560" t="str">
            <v>High</v>
          </cell>
          <cell r="O560" t="str">
            <v>Not Run</v>
          </cell>
        </row>
        <row r="561">
          <cell r="C561" t="str">
            <v>Local Transfer</v>
          </cell>
          <cell r="F561" t="str">
            <v>Functional</v>
          </cell>
          <cell r="G561" t="str">
            <v>High</v>
          </cell>
          <cell r="O561" t="str">
            <v>Not Run</v>
          </cell>
        </row>
        <row r="562">
          <cell r="C562" t="str">
            <v>Local Transfer</v>
          </cell>
          <cell r="F562" t="str">
            <v>Security</v>
          </cell>
          <cell r="G562" t="str">
            <v>High</v>
          </cell>
          <cell r="O562" t="str">
            <v>Not Run</v>
          </cell>
        </row>
        <row r="563">
          <cell r="C563" t="str">
            <v>Local Transfer</v>
          </cell>
          <cell r="F563" t="str">
            <v>Functional</v>
          </cell>
          <cell r="G563" t="str">
            <v>High</v>
          </cell>
          <cell r="O563" t="str">
            <v>Not Run</v>
          </cell>
        </row>
        <row r="564">
          <cell r="C564" t="str">
            <v>Local Transfer</v>
          </cell>
          <cell r="F564" t="str">
            <v>Functional</v>
          </cell>
          <cell r="G564" t="str">
            <v>Medium</v>
          </cell>
          <cell r="O564" t="str">
            <v>Not Run</v>
          </cell>
        </row>
        <row r="565">
          <cell r="C565" t="str">
            <v>Local Transfer</v>
          </cell>
          <cell r="F565" t="str">
            <v>Functional</v>
          </cell>
          <cell r="G565" t="str">
            <v>High</v>
          </cell>
          <cell r="O565" t="str">
            <v>Not Run</v>
          </cell>
        </row>
        <row r="566">
          <cell r="C566" t="str">
            <v>Local Transfer</v>
          </cell>
          <cell r="F566" t="str">
            <v>Positive</v>
          </cell>
          <cell r="G566" t="str">
            <v>High</v>
          </cell>
          <cell r="O566" t="str">
            <v>Not Run</v>
          </cell>
        </row>
        <row r="567">
          <cell r="C567" t="str">
            <v>Local Transfer</v>
          </cell>
          <cell r="F567" t="str">
            <v>Negative</v>
          </cell>
          <cell r="G567" t="str">
            <v>High</v>
          </cell>
          <cell r="O567" t="str">
            <v>Not Run</v>
          </cell>
        </row>
        <row r="568">
          <cell r="C568" t="str">
            <v>Local Transfer</v>
          </cell>
          <cell r="F568" t="str">
            <v>Positive</v>
          </cell>
          <cell r="G568" t="str">
            <v>High</v>
          </cell>
          <cell r="O568" t="str">
            <v>Not Run</v>
          </cell>
        </row>
        <row r="569">
          <cell r="C569" t="str">
            <v>Local Transfer</v>
          </cell>
          <cell r="F569" t="str">
            <v>Negative</v>
          </cell>
          <cell r="G569" t="str">
            <v>High</v>
          </cell>
          <cell r="O569" t="str">
            <v>Not Run</v>
          </cell>
        </row>
        <row r="570">
          <cell r="C570" t="str">
            <v>Local Transfer</v>
          </cell>
          <cell r="F570" t="str">
            <v>Security</v>
          </cell>
          <cell r="G570" t="str">
            <v>High</v>
          </cell>
          <cell r="O570" t="str">
            <v>Not Run</v>
          </cell>
        </row>
        <row r="571">
          <cell r="C571" t="str">
            <v>Local Transfer</v>
          </cell>
          <cell r="F571" t="str">
            <v>Negative / Security</v>
          </cell>
          <cell r="G571" t="str">
            <v>High</v>
          </cell>
          <cell r="O571" t="str">
            <v>Not Run</v>
          </cell>
        </row>
        <row r="572">
          <cell r="C572" t="str">
            <v>Local Transfer</v>
          </cell>
          <cell r="F572" t="str">
            <v>Functional</v>
          </cell>
          <cell r="G572" t="str">
            <v>High</v>
          </cell>
          <cell r="O572" t="str">
            <v>Not Run</v>
          </cell>
        </row>
        <row r="573">
          <cell r="C573" t="str">
            <v>Local Transfer</v>
          </cell>
          <cell r="F573" t="str">
            <v>UI / Functional</v>
          </cell>
          <cell r="G573" t="str">
            <v>High</v>
          </cell>
          <cell r="O573" t="str">
            <v>Not Run</v>
          </cell>
        </row>
        <row r="574">
          <cell r="C574" t="str">
            <v>Local Transfer</v>
          </cell>
          <cell r="F574" t="str">
            <v>Functional</v>
          </cell>
          <cell r="G574" t="str">
            <v>High</v>
          </cell>
          <cell r="O574" t="str">
            <v>Not Run</v>
          </cell>
        </row>
        <row r="575">
          <cell r="C575" t="str">
            <v>Local Transfer</v>
          </cell>
          <cell r="F575" t="str">
            <v>Functional</v>
          </cell>
          <cell r="G575" t="str">
            <v>High</v>
          </cell>
          <cell r="O575" t="str">
            <v>Not Run</v>
          </cell>
        </row>
        <row r="576">
          <cell r="C576" t="str">
            <v>Local Transfer</v>
          </cell>
          <cell r="F576" t="str">
            <v>UI / Functional</v>
          </cell>
          <cell r="G576" t="str">
            <v>High</v>
          </cell>
          <cell r="O576" t="str">
            <v>Not Run</v>
          </cell>
        </row>
        <row r="577">
          <cell r="C577" t="str">
            <v>Local Transfer</v>
          </cell>
          <cell r="F577" t="str">
            <v>Security</v>
          </cell>
          <cell r="G577" t="str">
            <v>High</v>
          </cell>
          <cell r="O577" t="str">
            <v>Not Run</v>
          </cell>
        </row>
        <row r="578">
          <cell r="C578" t="str">
            <v>Local Transfer</v>
          </cell>
          <cell r="F578" t="str">
            <v>Functional</v>
          </cell>
          <cell r="G578" t="str">
            <v>High</v>
          </cell>
          <cell r="O578" t="str">
            <v>Not Run</v>
          </cell>
        </row>
        <row r="579">
          <cell r="C579" t="str">
            <v>Local Transfer</v>
          </cell>
          <cell r="F579" t="str">
            <v>Functional</v>
          </cell>
          <cell r="G579" t="str">
            <v>Medium</v>
          </cell>
          <cell r="O579" t="str">
            <v>Not Run</v>
          </cell>
        </row>
        <row r="580">
          <cell r="C580" t="str">
            <v>Local Transfer</v>
          </cell>
          <cell r="F580" t="str">
            <v>Functional</v>
          </cell>
          <cell r="G580" t="str">
            <v>High</v>
          </cell>
          <cell r="O580" t="str">
            <v>Not Run</v>
          </cell>
        </row>
        <row r="581">
          <cell r="C581" t="str">
            <v>Local Transfer</v>
          </cell>
          <cell r="F581" t="str">
            <v>Positive</v>
          </cell>
          <cell r="G581" t="str">
            <v>High</v>
          </cell>
          <cell r="O581" t="str">
            <v>Not Run</v>
          </cell>
        </row>
        <row r="582">
          <cell r="C582" t="str">
            <v>Local Transfer</v>
          </cell>
          <cell r="F582" t="str">
            <v>Negative</v>
          </cell>
          <cell r="G582" t="str">
            <v>High</v>
          </cell>
          <cell r="O582" t="str">
            <v>Not Run</v>
          </cell>
        </row>
        <row r="583">
          <cell r="C583" t="str">
            <v>Local Transfer</v>
          </cell>
          <cell r="F583" t="str">
            <v>Positive</v>
          </cell>
          <cell r="G583" t="str">
            <v>High</v>
          </cell>
          <cell r="O583" t="str">
            <v>Not Run</v>
          </cell>
        </row>
        <row r="584">
          <cell r="C584" t="str">
            <v>Local Transfer</v>
          </cell>
          <cell r="F584" t="str">
            <v>Negative</v>
          </cell>
          <cell r="G584" t="str">
            <v>High</v>
          </cell>
          <cell r="O584" t="str">
            <v>Not Run</v>
          </cell>
        </row>
        <row r="585">
          <cell r="C585" t="str">
            <v>Local Transfer</v>
          </cell>
          <cell r="F585" t="str">
            <v>Security</v>
          </cell>
          <cell r="G585" t="str">
            <v>High</v>
          </cell>
          <cell r="O585" t="str">
            <v>Not Run</v>
          </cell>
        </row>
        <row r="586">
          <cell r="C586" t="str">
            <v>Local Transfer</v>
          </cell>
          <cell r="F586" t="str">
            <v>Negative / Security</v>
          </cell>
          <cell r="G586" t="str">
            <v>High</v>
          </cell>
          <cell r="O586" t="str">
            <v>Not Run</v>
          </cell>
        </row>
        <row r="587">
          <cell r="C587" t="str">
            <v>Local Transfer</v>
          </cell>
          <cell r="F587" t="str">
            <v>Functional</v>
          </cell>
          <cell r="G587" t="str">
            <v>High</v>
          </cell>
          <cell r="O587" t="str">
            <v>Not Run</v>
          </cell>
        </row>
        <row r="588">
          <cell r="C588" t="str">
            <v>Local Transfer</v>
          </cell>
          <cell r="F588" t="str">
            <v>UI / Functional</v>
          </cell>
          <cell r="G588" t="str">
            <v>High</v>
          </cell>
          <cell r="O588" t="str">
            <v>Not Run</v>
          </cell>
        </row>
        <row r="589">
          <cell r="C589" t="str">
            <v>Local Transfer</v>
          </cell>
          <cell r="F589" t="str">
            <v>Functional</v>
          </cell>
          <cell r="G589" t="str">
            <v>High</v>
          </cell>
          <cell r="O589" t="str">
            <v>Not Run</v>
          </cell>
        </row>
        <row r="590">
          <cell r="C590" t="str">
            <v>Local Transfer</v>
          </cell>
          <cell r="F590" t="str">
            <v>Functional</v>
          </cell>
          <cell r="G590" t="str">
            <v>High</v>
          </cell>
          <cell r="O590" t="str">
            <v>Not Run</v>
          </cell>
        </row>
        <row r="591">
          <cell r="C591" t="str">
            <v>Local Transfer</v>
          </cell>
          <cell r="F591" t="str">
            <v>UI / Functional</v>
          </cell>
          <cell r="G591" t="str">
            <v>High</v>
          </cell>
          <cell r="O591" t="str">
            <v>Not Run</v>
          </cell>
        </row>
        <row r="592">
          <cell r="C592" t="str">
            <v>Local Transfer</v>
          </cell>
          <cell r="F592" t="str">
            <v>Security</v>
          </cell>
          <cell r="G592" t="str">
            <v>High</v>
          </cell>
          <cell r="O592" t="str">
            <v>Not Run</v>
          </cell>
        </row>
        <row r="593">
          <cell r="C593" t="str">
            <v>Local Transfer</v>
          </cell>
          <cell r="F593" t="str">
            <v>Functional</v>
          </cell>
          <cell r="G593" t="str">
            <v>High</v>
          </cell>
          <cell r="O593" t="str">
            <v>Not Run</v>
          </cell>
        </row>
        <row r="594">
          <cell r="C594" t="str">
            <v>Local Transfer</v>
          </cell>
          <cell r="F594" t="str">
            <v>Functional</v>
          </cell>
          <cell r="G594" t="str">
            <v>Medium</v>
          </cell>
          <cell r="O594" t="str">
            <v>Not Run</v>
          </cell>
        </row>
        <row r="595">
          <cell r="C595" t="str">
            <v>Local Transfer</v>
          </cell>
          <cell r="F595" t="str">
            <v>Functional</v>
          </cell>
          <cell r="G595" t="str">
            <v>High</v>
          </cell>
          <cell r="O595" t="str">
            <v>Not Run</v>
          </cell>
        </row>
        <row r="596">
          <cell r="C596" t="str">
            <v>Local Transfer</v>
          </cell>
          <cell r="F596" t="str">
            <v>Positive</v>
          </cell>
          <cell r="G596" t="str">
            <v>High</v>
          </cell>
          <cell r="O596" t="str">
            <v>Not Run</v>
          </cell>
        </row>
        <row r="597">
          <cell r="C597" t="str">
            <v>Local Transfer</v>
          </cell>
          <cell r="F597" t="str">
            <v>Negative</v>
          </cell>
          <cell r="G597" t="str">
            <v>High</v>
          </cell>
          <cell r="O597" t="str">
            <v>Not Run</v>
          </cell>
        </row>
        <row r="598">
          <cell r="C598" t="str">
            <v>Local Transfer</v>
          </cell>
          <cell r="F598" t="str">
            <v>Positive</v>
          </cell>
          <cell r="G598" t="str">
            <v>High</v>
          </cell>
          <cell r="O598" t="str">
            <v>Not Run</v>
          </cell>
        </row>
        <row r="599">
          <cell r="C599" t="str">
            <v>Local Transfer</v>
          </cell>
          <cell r="F599" t="str">
            <v>Negative</v>
          </cell>
          <cell r="G599" t="str">
            <v>High</v>
          </cell>
          <cell r="O599" t="str">
            <v>Not Run</v>
          </cell>
        </row>
        <row r="600">
          <cell r="C600" t="str">
            <v>Local Transfer</v>
          </cell>
          <cell r="F600" t="str">
            <v>Security</v>
          </cell>
          <cell r="G600" t="str">
            <v>High</v>
          </cell>
          <cell r="O600" t="str">
            <v>Not Run</v>
          </cell>
        </row>
        <row r="601">
          <cell r="C601" t="str">
            <v>Local Transfer</v>
          </cell>
          <cell r="F601" t="str">
            <v>Negative / Security</v>
          </cell>
          <cell r="G601" t="str">
            <v>High</v>
          </cell>
          <cell r="O601" t="str">
            <v>Not Run</v>
          </cell>
        </row>
        <row r="602">
          <cell r="C602" t="str">
            <v>Local Transfer</v>
          </cell>
          <cell r="F602" t="str">
            <v>Functional</v>
          </cell>
          <cell r="G602" t="str">
            <v>High</v>
          </cell>
          <cell r="O602" t="str">
            <v>Not Run</v>
          </cell>
        </row>
        <row r="603">
          <cell r="C603" t="str">
            <v>Local Transfer</v>
          </cell>
          <cell r="F603" t="str">
            <v>UI / Functional</v>
          </cell>
          <cell r="G603" t="str">
            <v>High</v>
          </cell>
          <cell r="O603" t="str">
            <v>Not Run</v>
          </cell>
        </row>
        <row r="604">
          <cell r="C604" t="str">
            <v>Local Transfer</v>
          </cell>
          <cell r="F604" t="str">
            <v>Functional</v>
          </cell>
          <cell r="G604" t="str">
            <v>High</v>
          </cell>
          <cell r="O604" t="str">
            <v>Not Run</v>
          </cell>
        </row>
        <row r="605">
          <cell r="C605" t="str">
            <v>Local Transfer</v>
          </cell>
          <cell r="F605" t="str">
            <v>Functional</v>
          </cell>
          <cell r="G605" t="str">
            <v>High</v>
          </cell>
          <cell r="O605" t="str">
            <v>Not Run</v>
          </cell>
        </row>
        <row r="606">
          <cell r="C606" t="str">
            <v>Local Transfer</v>
          </cell>
          <cell r="F606" t="str">
            <v>Functional</v>
          </cell>
          <cell r="G606" t="str">
            <v>Medium</v>
          </cell>
          <cell r="O606" t="str">
            <v>Not Run</v>
          </cell>
        </row>
        <row r="607">
          <cell r="C607" t="str">
            <v>Local Transfer</v>
          </cell>
          <cell r="F607" t="str">
            <v>UI / Functional</v>
          </cell>
          <cell r="G607" t="str">
            <v>High</v>
          </cell>
          <cell r="O607" t="str">
            <v>Not Run</v>
          </cell>
        </row>
        <row r="608">
          <cell r="C608" t="str">
            <v>Local Transfer</v>
          </cell>
          <cell r="F608" t="str">
            <v>UI / Functional</v>
          </cell>
          <cell r="G608" t="str">
            <v>High</v>
          </cell>
          <cell r="O608" t="str">
            <v>Not Run</v>
          </cell>
        </row>
        <row r="609">
          <cell r="C609" t="str">
            <v>Local Transfer</v>
          </cell>
          <cell r="F609" t="str">
            <v>Functional</v>
          </cell>
          <cell r="G609" t="str">
            <v>High</v>
          </cell>
          <cell r="O609" t="str">
            <v>Not Run</v>
          </cell>
        </row>
        <row r="610">
          <cell r="C610" t="str">
            <v>Local Transfer</v>
          </cell>
          <cell r="F610" t="str">
            <v>Security</v>
          </cell>
          <cell r="G610" t="str">
            <v>High</v>
          </cell>
          <cell r="O610" t="str">
            <v>Not Run</v>
          </cell>
        </row>
        <row r="611">
          <cell r="C611" t="str">
            <v>Local Transfer</v>
          </cell>
          <cell r="F611" t="str">
            <v>Functional</v>
          </cell>
          <cell r="G611" t="str">
            <v>High</v>
          </cell>
          <cell r="O611" t="str">
            <v>Not Run</v>
          </cell>
        </row>
        <row r="612">
          <cell r="C612" t="str">
            <v>Local Transfer</v>
          </cell>
          <cell r="F612" t="str">
            <v>Functional</v>
          </cell>
          <cell r="G612" t="str">
            <v>Medium</v>
          </cell>
          <cell r="O612" t="str">
            <v>Not Run</v>
          </cell>
        </row>
        <row r="613">
          <cell r="C613" t="str">
            <v>Local Transfer</v>
          </cell>
          <cell r="F613" t="str">
            <v>Functional</v>
          </cell>
          <cell r="G613" t="str">
            <v>High</v>
          </cell>
          <cell r="O613" t="str">
            <v>Not Run</v>
          </cell>
        </row>
        <row r="614">
          <cell r="C614" t="str">
            <v>Local Transfer</v>
          </cell>
          <cell r="F614" t="str">
            <v>Positive</v>
          </cell>
          <cell r="G614" t="str">
            <v>High</v>
          </cell>
          <cell r="O614" t="str">
            <v>Not Run</v>
          </cell>
        </row>
        <row r="615">
          <cell r="C615" t="str">
            <v>Local Transfer</v>
          </cell>
          <cell r="F615" t="str">
            <v>Negative</v>
          </cell>
          <cell r="G615" t="str">
            <v>High</v>
          </cell>
          <cell r="O615" t="str">
            <v>Not Run</v>
          </cell>
        </row>
        <row r="616">
          <cell r="C616" t="str">
            <v>Local Transfer</v>
          </cell>
          <cell r="F616" t="str">
            <v>Positive</v>
          </cell>
          <cell r="G616" t="str">
            <v>High</v>
          </cell>
          <cell r="O616" t="str">
            <v>Not Run</v>
          </cell>
        </row>
        <row r="617">
          <cell r="C617" t="str">
            <v>Local Transfer</v>
          </cell>
          <cell r="F617" t="str">
            <v>Negative</v>
          </cell>
          <cell r="G617" t="str">
            <v>High</v>
          </cell>
          <cell r="O617" t="str">
            <v>Not Run</v>
          </cell>
        </row>
        <row r="618">
          <cell r="C618" t="str">
            <v>Local Transfer</v>
          </cell>
          <cell r="F618" t="str">
            <v>Security</v>
          </cell>
          <cell r="G618" t="str">
            <v>High</v>
          </cell>
          <cell r="O618" t="str">
            <v>Not Run</v>
          </cell>
        </row>
        <row r="619">
          <cell r="C619" t="str">
            <v>Local Transfer</v>
          </cell>
          <cell r="F619" t="str">
            <v>Negative / Security</v>
          </cell>
          <cell r="G619" t="str">
            <v>High</v>
          </cell>
          <cell r="O619" t="str">
            <v>Not Run</v>
          </cell>
        </row>
        <row r="620">
          <cell r="C620" t="str">
            <v>Local Transfer</v>
          </cell>
          <cell r="F620" t="str">
            <v>Functional</v>
          </cell>
          <cell r="G620" t="str">
            <v>High</v>
          </cell>
          <cell r="O620" t="str">
            <v>Not Run</v>
          </cell>
        </row>
        <row r="621">
          <cell r="C621" t="str">
            <v>Local Transfer</v>
          </cell>
          <cell r="F621" t="str">
            <v>UI / Functional</v>
          </cell>
          <cell r="G621" t="str">
            <v>High</v>
          </cell>
          <cell r="O621" t="str">
            <v>Not Run</v>
          </cell>
        </row>
        <row r="622">
          <cell r="C622" t="str">
            <v>Local Transfer</v>
          </cell>
          <cell r="F622" t="str">
            <v>Functional</v>
          </cell>
          <cell r="G622" t="str">
            <v>High</v>
          </cell>
          <cell r="O622" t="str">
            <v>Not Run</v>
          </cell>
        </row>
        <row r="623">
          <cell r="C623" t="str">
            <v>Local Transfer</v>
          </cell>
          <cell r="F623" t="str">
            <v>Functional</v>
          </cell>
          <cell r="G623" t="str">
            <v>High</v>
          </cell>
          <cell r="O623" t="str">
            <v>Not Run</v>
          </cell>
        </row>
        <row r="624">
          <cell r="C624" t="str">
            <v>Local Transfer</v>
          </cell>
          <cell r="F624" t="str">
            <v>Functional</v>
          </cell>
          <cell r="G624" t="str">
            <v>Medium</v>
          </cell>
          <cell r="O624" t="str">
            <v>Not Run</v>
          </cell>
        </row>
        <row r="625">
          <cell r="C625" t="str">
            <v>Local Transfer</v>
          </cell>
          <cell r="F625" t="str">
            <v>UI / Functional</v>
          </cell>
          <cell r="G625" t="str">
            <v>High</v>
          </cell>
          <cell r="O625" t="str">
            <v>Not Run</v>
          </cell>
        </row>
        <row r="626">
          <cell r="C626" t="str">
            <v>Local Transfer</v>
          </cell>
          <cell r="F626" t="str">
            <v>UI / Functional</v>
          </cell>
          <cell r="G626" t="str">
            <v>High</v>
          </cell>
          <cell r="O626" t="str">
            <v>Not Run</v>
          </cell>
        </row>
        <row r="627">
          <cell r="C627" t="str">
            <v>Local Transfer</v>
          </cell>
          <cell r="F627" t="str">
            <v>Functional</v>
          </cell>
          <cell r="G627" t="str">
            <v>High</v>
          </cell>
          <cell r="O627" t="str">
            <v>Not Run</v>
          </cell>
        </row>
        <row r="628">
          <cell r="C628" t="str">
            <v>Local Transfer</v>
          </cell>
          <cell r="F628" t="str">
            <v>Security</v>
          </cell>
          <cell r="G628" t="str">
            <v>High</v>
          </cell>
          <cell r="O628" t="str">
            <v>Not Run</v>
          </cell>
        </row>
        <row r="629">
          <cell r="C629" t="str">
            <v>Local Transfer</v>
          </cell>
          <cell r="F629" t="str">
            <v>Functional</v>
          </cell>
          <cell r="G629" t="str">
            <v>High</v>
          </cell>
          <cell r="O629" t="str">
            <v>Not Run</v>
          </cell>
        </row>
        <row r="630">
          <cell r="C630" t="str">
            <v>Local Transfer</v>
          </cell>
          <cell r="F630" t="str">
            <v>Functional</v>
          </cell>
          <cell r="G630" t="str">
            <v>Medium</v>
          </cell>
          <cell r="O630" t="str">
            <v>Not Run</v>
          </cell>
        </row>
        <row r="631">
          <cell r="C631" t="str">
            <v>Local Transfer</v>
          </cell>
          <cell r="F631" t="str">
            <v>Functional</v>
          </cell>
          <cell r="G631" t="str">
            <v>High</v>
          </cell>
          <cell r="O631" t="str">
            <v>Not Run</v>
          </cell>
        </row>
        <row r="632">
          <cell r="C632" t="str">
            <v>Local Transfer</v>
          </cell>
          <cell r="F632" t="str">
            <v>Positive</v>
          </cell>
          <cell r="G632" t="str">
            <v>High</v>
          </cell>
          <cell r="O632" t="str">
            <v>Not Run</v>
          </cell>
        </row>
        <row r="633">
          <cell r="C633" t="str">
            <v>Local Transfer</v>
          </cell>
          <cell r="F633" t="str">
            <v>Negative</v>
          </cell>
          <cell r="G633" t="str">
            <v>High</v>
          </cell>
          <cell r="O633" t="str">
            <v>Not Run</v>
          </cell>
        </row>
        <row r="634">
          <cell r="C634" t="str">
            <v>Local Transfer</v>
          </cell>
          <cell r="F634" t="str">
            <v>Positive</v>
          </cell>
          <cell r="G634" t="str">
            <v>Medium</v>
          </cell>
          <cell r="O634" t="str">
            <v>Not Run</v>
          </cell>
        </row>
        <row r="635">
          <cell r="C635" t="str">
            <v>Local Transfer</v>
          </cell>
          <cell r="F635" t="str">
            <v>Negative</v>
          </cell>
          <cell r="G635" t="str">
            <v>High</v>
          </cell>
          <cell r="O635" t="str">
            <v>Not Run</v>
          </cell>
        </row>
        <row r="636">
          <cell r="C636" t="str">
            <v>Local Transfer</v>
          </cell>
          <cell r="F636" t="str">
            <v>Security</v>
          </cell>
          <cell r="G636" t="str">
            <v>High</v>
          </cell>
          <cell r="O636" t="str">
            <v>Not Run</v>
          </cell>
        </row>
        <row r="637">
          <cell r="C637" t="str">
            <v>Local Transfer</v>
          </cell>
          <cell r="F637" t="str">
            <v>Negative / Security</v>
          </cell>
          <cell r="G637" t="str">
            <v>High</v>
          </cell>
          <cell r="O637" t="str">
            <v>Not Run</v>
          </cell>
        </row>
        <row r="638">
          <cell r="C638" t="str">
            <v>Local Transfer</v>
          </cell>
          <cell r="F638" t="str">
            <v>UI / Functional</v>
          </cell>
          <cell r="G638" t="str">
            <v>High</v>
          </cell>
          <cell r="O638" t="str">
            <v>Not Run</v>
          </cell>
        </row>
        <row r="639">
          <cell r="C639" t="str">
            <v>Local Transfer</v>
          </cell>
          <cell r="F639" t="str">
            <v>UI / Functional</v>
          </cell>
          <cell r="G639" t="str">
            <v>Medium</v>
          </cell>
          <cell r="O639" t="str">
            <v>Not Run</v>
          </cell>
        </row>
        <row r="640">
          <cell r="C640" t="str">
            <v>Local Transfer</v>
          </cell>
          <cell r="F640" t="str">
            <v>Functional</v>
          </cell>
          <cell r="G640" t="str">
            <v>Medium</v>
          </cell>
          <cell r="O640" t="str">
            <v>Not Run</v>
          </cell>
        </row>
        <row r="641">
          <cell r="C641" t="str">
            <v>Local Transfer</v>
          </cell>
          <cell r="F641" t="str">
            <v>Functional</v>
          </cell>
          <cell r="G641" t="str">
            <v>Medium</v>
          </cell>
          <cell r="O641" t="str">
            <v>Not Run</v>
          </cell>
        </row>
        <row r="642">
          <cell r="C642" t="str">
            <v>Local Transfer</v>
          </cell>
          <cell r="F642" t="str">
            <v>Functional</v>
          </cell>
          <cell r="G642" t="str">
            <v>Medium</v>
          </cell>
          <cell r="O642" t="str">
            <v>Not Run</v>
          </cell>
        </row>
        <row r="643">
          <cell r="C643" t="str">
            <v>Local Transfer</v>
          </cell>
          <cell r="F643" t="str">
            <v>Functional</v>
          </cell>
          <cell r="G643" t="str">
            <v>Medium</v>
          </cell>
          <cell r="O643" t="str">
            <v>Not Run</v>
          </cell>
        </row>
        <row r="644">
          <cell r="C644" t="str">
            <v>Local Transfer</v>
          </cell>
          <cell r="F644" t="str">
            <v>Functional</v>
          </cell>
          <cell r="G644" t="str">
            <v>Medium</v>
          </cell>
          <cell r="O644" t="str">
            <v>Not Run</v>
          </cell>
        </row>
        <row r="645">
          <cell r="C645" t="str">
            <v>Local Transfer</v>
          </cell>
          <cell r="F645" t="str">
            <v>Positive</v>
          </cell>
          <cell r="G645" t="str">
            <v>High</v>
          </cell>
          <cell r="O645" t="str">
            <v>Not Run</v>
          </cell>
        </row>
        <row r="646">
          <cell r="C646" t="str">
            <v>Local Transfer</v>
          </cell>
          <cell r="F646" t="str">
            <v>Negative</v>
          </cell>
          <cell r="G646" t="str">
            <v>High</v>
          </cell>
          <cell r="O646" t="str">
            <v>Not Run</v>
          </cell>
        </row>
        <row r="647">
          <cell r="C647" t="str">
            <v>Local Transfer</v>
          </cell>
          <cell r="F647" t="str">
            <v>Positive</v>
          </cell>
          <cell r="G647" t="str">
            <v>Medium</v>
          </cell>
          <cell r="O647" t="str">
            <v>Not Run</v>
          </cell>
        </row>
        <row r="648">
          <cell r="C648" t="str">
            <v>Local Transfer</v>
          </cell>
          <cell r="F648" t="str">
            <v>Negative</v>
          </cell>
          <cell r="G648" t="str">
            <v>High</v>
          </cell>
          <cell r="O648" t="str">
            <v>Not Run</v>
          </cell>
        </row>
        <row r="649">
          <cell r="C649" t="str">
            <v>Local Transfer</v>
          </cell>
          <cell r="F649" t="str">
            <v>Security</v>
          </cell>
          <cell r="G649" t="str">
            <v>High</v>
          </cell>
          <cell r="O649" t="str">
            <v>Not Run</v>
          </cell>
        </row>
        <row r="650">
          <cell r="C650" t="str">
            <v>Local Transfer</v>
          </cell>
          <cell r="F650" t="str">
            <v>Negative / Security</v>
          </cell>
          <cell r="G650" t="str">
            <v>High</v>
          </cell>
          <cell r="O650" t="str">
            <v>Not Run</v>
          </cell>
        </row>
        <row r="651">
          <cell r="C651" t="str">
            <v>Local Transfer</v>
          </cell>
          <cell r="F651" t="str">
            <v>UI / Functional</v>
          </cell>
          <cell r="G651" t="str">
            <v>High</v>
          </cell>
          <cell r="O651" t="str">
            <v>Not Run</v>
          </cell>
        </row>
        <row r="652">
          <cell r="C652" t="str">
            <v>Local Transfer</v>
          </cell>
          <cell r="F652" t="str">
            <v>UI / Functional</v>
          </cell>
          <cell r="G652" t="str">
            <v>Medium</v>
          </cell>
          <cell r="O652" t="str">
            <v>Not Run</v>
          </cell>
        </row>
        <row r="653">
          <cell r="C653" t="str">
            <v>Local Transfer</v>
          </cell>
          <cell r="F653" t="str">
            <v>Functional</v>
          </cell>
          <cell r="G653" t="str">
            <v>Medium</v>
          </cell>
          <cell r="O653" t="str">
            <v>Not Run</v>
          </cell>
        </row>
        <row r="654">
          <cell r="C654" t="str">
            <v>Local Transfer</v>
          </cell>
          <cell r="F654" t="str">
            <v>Functional</v>
          </cell>
          <cell r="G654" t="str">
            <v>Medium</v>
          </cell>
          <cell r="O654" t="str">
            <v>Not Run</v>
          </cell>
        </row>
        <row r="655">
          <cell r="C655" t="str">
            <v>Local Transfer</v>
          </cell>
          <cell r="F655" t="str">
            <v>Functional</v>
          </cell>
          <cell r="G655" t="str">
            <v>High</v>
          </cell>
          <cell r="O655" t="str">
            <v>Not Run</v>
          </cell>
        </row>
        <row r="656">
          <cell r="C656" t="str">
            <v>Local Transfer</v>
          </cell>
          <cell r="F656" t="str">
            <v>Functional</v>
          </cell>
          <cell r="G656" t="str">
            <v>Medium</v>
          </cell>
          <cell r="O656" t="str">
            <v>Not Run</v>
          </cell>
        </row>
        <row r="657">
          <cell r="C657" t="str">
            <v>Local Transfer</v>
          </cell>
          <cell r="F657" t="str">
            <v>Functional</v>
          </cell>
          <cell r="G657" t="str">
            <v>Medium</v>
          </cell>
          <cell r="O657" t="str">
            <v>Not Run</v>
          </cell>
        </row>
        <row r="658">
          <cell r="C658" t="str">
            <v>Local Transfer</v>
          </cell>
          <cell r="F658" t="str">
            <v>Positive</v>
          </cell>
          <cell r="G658" t="str">
            <v>High</v>
          </cell>
          <cell r="O658" t="str">
            <v>Not Run</v>
          </cell>
        </row>
        <row r="659">
          <cell r="C659" t="str">
            <v>Local Transfer</v>
          </cell>
          <cell r="F659" t="str">
            <v>Negative</v>
          </cell>
          <cell r="G659" t="str">
            <v>High</v>
          </cell>
          <cell r="O659" t="str">
            <v>Not Run</v>
          </cell>
        </row>
        <row r="660">
          <cell r="C660" t="str">
            <v>Local Transfer</v>
          </cell>
          <cell r="F660" t="str">
            <v>Positive</v>
          </cell>
          <cell r="G660" t="str">
            <v>High</v>
          </cell>
          <cell r="O660" t="str">
            <v>Not Run</v>
          </cell>
        </row>
        <row r="661">
          <cell r="C661" t="str">
            <v>Local Transfer</v>
          </cell>
          <cell r="F661" t="str">
            <v>Negative</v>
          </cell>
          <cell r="G661" t="str">
            <v>High</v>
          </cell>
          <cell r="O661" t="str">
            <v>Not Run</v>
          </cell>
        </row>
        <row r="662">
          <cell r="C662" t="str">
            <v>Local Transfer</v>
          </cell>
          <cell r="F662" t="str">
            <v>Security</v>
          </cell>
          <cell r="G662" t="str">
            <v>High</v>
          </cell>
          <cell r="O662" t="str">
            <v>Not Run</v>
          </cell>
        </row>
        <row r="663">
          <cell r="C663" t="str">
            <v>Local Transfer</v>
          </cell>
          <cell r="F663" t="str">
            <v>Negative / Security</v>
          </cell>
          <cell r="G663" t="str">
            <v>High</v>
          </cell>
          <cell r="O663" t="str">
            <v>Not Run</v>
          </cell>
        </row>
        <row r="664">
          <cell r="C664" t="str">
            <v>Local Transfer</v>
          </cell>
          <cell r="F664" t="str">
            <v>UI / Functional</v>
          </cell>
          <cell r="G664" t="str">
            <v>High</v>
          </cell>
          <cell r="O664" t="str">
            <v>Not Run</v>
          </cell>
        </row>
        <row r="665">
          <cell r="C665" t="str">
            <v>Local Transfer</v>
          </cell>
          <cell r="F665" t="str">
            <v>UI / Functional</v>
          </cell>
          <cell r="G665" t="str">
            <v>High</v>
          </cell>
          <cell r="O665" t="str">
            <v>Not Run</v>
          </cell>
        </row>
        <row r="666">
          <cell r="C666" t="str">
            <v>Local Transfer</v>
          </cell>
          <cell r="F666" t="str">
            <v>Functional</v>
          </cell>
          <cell r="G666" t="str">
            <v>High</v>
          </cell>
          <cell r="O666" t="str">
            <v>Not Run</v>
          </cell>
        </row>
        <row r="667">
          <cell r="C667" t="str">
            <v>Local Transfer</v>
          </cell>
          <cell r="F667" t="str">
            <v>UI / Functional</v>
          </cell>
          <cell r="G667" t="str">
            <v>High</v>
          </cell>
          <cell r="O667" t="str">
            <v>Not Run</v>
          </cell>
        </row>
        <row r="668">
          <cell r="C668" t="str">
            <v>Local Transfer</v>
          </cell>
          <cell r="F668" t="str">
            <v>Positive</v>
          </cell>
          <cell r="G668" t="str">
            <v>High</v>
          </cell>
          <cell r="O668" t="str">
            <v>Not Run</v>
          </cell>
        </row>
        <row r="669">
          <cell r="C669" t="str">
            <v>Local Transfer</v>
          </cell>
          <cell r="F669" t="str">
            <v>Negative</v>
          </cell>
          <cell r="G669" t="str">
            <v>High</v>
          </cell>
          <cell r="O669" t="str">
            <v>Not Run</v>
          </cell>
        </row>
        <row r="670">
          <cell r="C670" t="str">
            <v>Local Transfer</v>
          </cell>
          <cell r="F670" t="str">
            <v>Positive</v>
          </cell>
          <cell r="G670" t="str">
            <v>High</v>
          </cell>
          <cell r="O670" t="str">
            <v>Not Run</v>
          </cell>
        </row>
        <row r="671">
          <cell r="C671" t="str">
            <v>Local Transfer</v>
          </cell>
          <cell r="F671" t="str">
            <v>Negative</v>
          </cell>
          <cell r="G671" t="str">
            <v>High</v>
          </cell>
          <cell r="O671" t="str">
            <v>Not Run</v>
          </cell>
        </row>
        <row r="672">
          <cell r="C672" t="str">
            <v>Local Transfer</v>
          </cell>
          <cell r="F672" t="str">
            <v>Security</v>
          </cell>
          <cell r="G672" t="str">
            <v>High</v>
          </cell>
          <cell r="O672" t="str">
            <v>Not Run</v>
          </cell>
        </row>
        <row r="673">
          <cell r="C673" t="str">
            <v>Local Transfer</v>
          </cell>
          <cell r="F673" t="str">
            <v>Negative / Security</v>
          </cell>
          <cell r="G673" t="str">
            <v>High</v>
          </cell>
          <cell r="O673" t="str">
            <v>Not Run</v>
          </cell>
        </row>
        <row r="674">
          <cell r="C674" t="str">
            <v>Local Transfer</v>
          </cell>
          <cell r="F674" t="str">
            <v>UI / Functional</v>
          </cell>
          <cell r="G674" t="str">
            <v>High</v>
          </cell>
          <cell r="O674" t="str">
            <v>Not Run</v>
          </cell>
        </row>
        <row r="675">
          <cell r="C675" t="str">
            <v>Local Transfer</v>
          </cell>
          <cell r="F675" t="str">
            <v>UI / Functional</v>
          </cell>
          <cell r="G675" t="str">
            <v>High</v>
          </cell>
          <cell r="O675" t="str">
            <v>Not Run</v>
          </cell>
        </row>
        <row r="676">
          <cell r="C676" t="str">
            <v>Local Transfer</v>
          </cell>
          <cell r="F676" t="str">
            <v>Functional</v>
          </cell>
          <cell r="G676" t="str">
            <v>High</v>
          </cell>
          <cell r="O676" t="str">
            <v>Not Run</v>
          </cell>
        </row>
        <row r="677">
          <cell r="C677" t="str">
            <v>Local Transfer</v>
          </cell>
          <cell r="F677" t="str">
            <v>UI / Functional</v>
          </cell>
          <cell r="G677" t="str">
            <v>High</v>
          </cell>
          <cell r="O677" t="str">
            <v>Not Run</v>
          </cell>
        </row>
        <row r="678">
          <cell r="C678" t="str">
            <v>Local Transfer</v>
          </cell>
          <cell r="F678" t="str">
            <v>Positive</v>
          </cell>
          <cell r="G678" t="str">
            <v>High</v>
          </cell>
          <cell r="O678" t="str">
            <v>Not Run</v>
          </cell>
        </row>
        <row r="679">
          <cell r="C679" t="str">
            <v>Local Transfer</v>
          </cell>
          <cell r="F679" t="str">
            <v>Negative</v>
          </cell>
          <cell r="G679" t="str">
            <v>High</v>
          </cell>
          <cell r="O679" t="str">
            <v>Not Run</v>
          </cell>
        </row>
        <row r="680">
          <cell r="C680" t="str">
            <v>Scan &amp; pay</v>
          </cell>
          <cell r="F680" t="str">
            <v>Positive</v>
          </cell>
          <cell r="G680" t="str">
            <v>High</v>
          </cell>
          <cell r="O680" t="str">
            <v>Not Run</v>
          </cell>
        </row>
        <row r="681">
          <cell r="C681" t="str">
            <v>Scan &amp; pay</v>
          </cell>
          <cell r="F681" t="str">
            <v>Negative</v>
          </cell>
          <cell r="G681" t="str">
            <v>High</v>
          </cell>
          <cell r="O681" t="str">
            <v>Not Run</v>
          </cell>
        </row>
        <row r="682">
          <cell r="C682" t="str">
            <v>Scan &amp; pay</v>
          </cell>
          <cell r="F682" t="str">
            <v>Security</v>
          </cell>
          <cell r="G682" t="str">
            <v>High</v>
          </cell>
          <cell r="O682" t="str">
            <v>Not Run</v>
          </cell>
        </row>
        <row r="683">
          <cell r="C683" t="str">
            <v>Scan &amp; pay</v>
          </cell>
          <cell r="F683" t="str">
            <v>Negative / Security</v>
          </cell>
          <cell r="G683" t="str">
            <v>High</v>
          </cell>
          <cell r="O683" t="str">
            <v>Not Run</v>
          </cell>
        </row>
        <row r="684">
          <cell r="C684" t="str">
            <v>Scan &amp; pay</v>
          </cell>
          <cell r="F684" t="str">
            <v>Functional</v>
          </cell>
          <cell r="G684" t="str">
            <v>Medium</v>
          </cell>
          <cell r="O684" t="str">
            <v>Not Run</v>
          </cell>
        </row>
        <row r="685">
          <cell r="C685" t="str">
            <v>Scan &amp; pay</v>
          </cell>
          <cell r="F685" t="str">
            <v>UI / Functional</v>
          </cell>
          <cell r="G685" t="str">
            <v>Medium</v>
          </cell>
          <cell r="O685" t="str">
            <v>Not Run</v>
          </cell>
        </row>
        <row r="686">
          <cell r="C686" t="str">
            <v>Scan &amp; pay</v>
          </cell>
          <cell r="F686" t="str">
            <v>Functional</v>
          </cell>
          <cell r="G686" t="str">
            <v>Medium</v>
          </cell>
          <cell r="O686" t="str">
            <v>Not Run</v>
          </cell>
        </row>
        <row r="687">
          <cell r="C687" t="str">
            <v>Scan &amp; pay</v>
          </cell>
          <cell r="F687" t="str">
            <v>Functional</v>
          </cell>
          <cell r="G687" t="str">
            <v>High</v>
          </cell>
          <cell r="O687" t="str">
            <v>Not Run</v>
          </cell>
        </row>
        <row r="688">
          <cell r="C688" t="str">
            <v>Scan &amp; pay</v>
          </cell>
          <cell r="F688" t="str">
            <v>Functional</v>
          </cell>
          <cell r="G688" t="str">
            <v>Medium</v>
          </cell>
          <cell r="O688" t="str">
            <v>Not Run</v>
          </cell>
        </row>
        <row r="689">
          <cell r="C689" t="str">
            <v>Scan &amp; pay</v>
          </cell>
          <cell r="F689" t="str">
            <v>Functional</v>
          </cell>
          <cell r="G689" t="str">
            <v>High</v>
          </cell>
          <cell r="O689" t="str">
            <v>Not Run</v>
          </cell>
        </row>
        <row r="690">
          <cell r="C690" t="str">
            <v>Scan &amp; pay</v>
          </cell>
          <cell r="F690" t="str">
            <v>Functional</v>
          </cell>
          <cell r="G690" t="str">
            <v>High</v>
          </cell>
          <cell r="O690" t="str">
            <v>Not Run</v>
          </cell>
        </row>
        <row r="691">
          <cell r="C691" t="str">
            <v>Scan &amp; pay</v>
          </cell>
          <cell r="F691" t="str">
            <v>Positive</v>
          </cell>
          <cell r="G691" t="str">
            <v>High</v>
          </cell>
          <cell r="O691" t="str">
            <v>Not Run</v>
          </cell>
        </row>
        <row r="692">
          <cell r="C692" t="str">
            <v>Scan &amp; pay</v>
          </cell>
          <cell r="F692" t="str">
            <v>Negative</v>
          </cell>
          <cell r="G692" t="str">
            <v>High</v>
          </cell>
          <cell r="O692" t="str">
            <v>Not Run</v>
          </cell>
        </row>
        <row r="693">
          <cell r="C693" t="str">
            <v>Scan &amp; pay</v>
          </cell>
          <cell r="F693" t="str">
            <v>Positive</v>
          </cell>
          <cell r="G693" t="str">
            <v>High</v>
          </cell>
          <cell r="O693" t="str">
            <v>Not Run</v>
          </cell>
        </row>
        <row r="694">
          <cell r="C694" t="str">
            <v>Scan &amp; pay</v>
          </cell>
          <cell r="F694" t="str">
            <v>Negative</v>
          </cell>
          <cell r="G694" t="str">
            <v>High</v>
          </cell>
          <cell r="O694" t="str">
            <v>Not Run</v>
          </cell>
        </row>
        <row r="695">
          <cell r="C695" t="str">
            <v>Scan &amp; pay</v>
          </cell>
          <cell r="F695" t="str">
            <v>Security</v>
          </cell>
          <cell r="G695" t="str">
            <v>High</v>
          </cell>
          <cell r="O695" t="str">
            <v>Not Run</v>
          </cell>
        </row>
        <row r="696">
          <cell r="C696" t="str">
            <v>Scan &amp; pay</v>
          </cell>
          <cell r="F696" t="str">
            <v>Negative / Security</v>
          </cell>
          <cell r="G696" t="str">
            <v>High</v>
          </cell>
          <cell r="O696" t="str">
            <v>Not Run</v>
          </cell>
        </row>
        <row r="697">
          <cell r="C697" t="str">
            <v>Scan &amp; pay</v>
          </cell>
          <cell r="F697" t="str">
            <v>Functional</v>
          </cell>
          <cell r="G697" t="str">
            <v>Medium</v>
          </cell>
          <cell r="O697" t="str">
            <v>Not Run</v>
          </cell>
        </row>
        <row r="698">
          <cell r="C698" t="str">
            <v>Scan &amp; pay</v>
          </cell>
          <cell r="F698" t="str">
            <v>UI / Functional</v>
          </cell>
          <cell r="G698" t="str">
            <v>Medium</v>
          </cell>
          <cell r="O698" t="str">
            <v>Not Run</v>
          </cell>
        </row>
        <row r="699">
          <cell r="C699" t="str">
            <v>Scan &amp; pay</v>
          </cell>
          <cell r="F699" t="str">
            <v>Functional</v>
          </cell>
          <cell r="G699" t="str">
            <v>Medium</v>
          </cell>
          <cell r="O699" t="str">
            <v>Not Run</v>
          </cell>
        </row>
        <row r="700">
          <cell r="C700" t="str">
            <v>Scan &amp; pay</v>
          </cell>
          <cell r="F700" t="str">
            <v>Functional</v>
          </cell>
          <cell r="G700" t="str">
            <v>High</v>
          </cell>
          <cell r="O700" t="str">
            <v>Not Run</v>
          </cell>
        </row>
        <row r="701">
          <cell r="C701" t="str">
            <v>Scan &amp; pay</v>
          </cell>
          <cell r="F701" t="str">
            <v>Functional</v>
          </cell>
          <cell r="G701" t="str">
            <v>Medium</v>
          </cell>
          <cell r="O701" t="str">
            <v>Not Run</v>
          </cell>
        </row>
        <row r="702">
          <cell r="C702" t="str">
            <v>Scan &amp; pay</v>
          </cell>
          <cell r="F702" t="str">
            <v>Functional</v>
          </cell>
          <cell r="G702" t="str">
            <v>High</v>
          </cell>
          <cell r="O702" t="str">
            <v>Not Run</v>
          </cell>
        </row>
        <row r="703">
          <cell r="C703" t="str">
            <v>Scan &amp; pay</v>
          </cell>
          <cell r="F703" t="str">
            <v>Functional</v>
          </cell>
          <cell r="G703" t="str">
            <v>High</v>
          </cell>
          <cell r="O703" t="str">
            <v>Not Run</v>
          </cell>
        </row>
        <row r="704">
          <cell r="C704" t="str">
            <v>Scan &amp; pay</v>
          </cell>
          <cell r="F704" t="str">
            <v>Positive</v>
          </cell>
          <cell r="G704" t="str">
            <v>High</v>
          </cell>
          <cell r="O704" t="str">
            <v>Not Run</v>
          </cell>
        </row>
        <row r="705">
          <cell r="C705" t="str">
            <v>Scan &amp; pay</v>
          </cell>
          <cell r="F705" t="str">
            <v>Negative</v>
          </cell>
          <cell r="G705" t="str">
            <v>High</v>
          </cell>
          <cell r="O705" t="str">
            <v>Not Run</v>
          </cell>
        </row>
        <row r="706">
          <cell r="C706" t="str">
            <v>Scan &amp; pay</v>
          </cell>
          <cell r="F706" t="str">
            <v>Positive</v>
          </cell>
          <cell r="G706" t="str">
            <v>High</v>
          </cell>
          <cell r="O706" t="str">
            <v>Not Run</v>
          </cell>
        </row>
        <row r="707">
          <cell r="C707" t="str">
            <v>Scan &amp; pay</v>
          </cell>
          <cell r="F707" t="str">
            <v>Negative</v>
          </cell>
          <cell r="G707" t="str">
            <v>High</v>
          </cell>
          <cell r="O707" t="str">
            <v>Not Run</v>
          </cell>
        </row>
        <row r="708">
          <cell r="C708" t="str">
            <v>Scan &amp; pay</v>
          </cell>
          <cell r="F708" t="str">
            <v>Security</v>
          </cell>
          <cell r="G708" t="str">
            <v>High</v>
          </cell>
          <cell r="O708" t="str">
            <v>Not Run</v>
          </cell>
        </row>
        <row r="709">
          <cell r="C709" t="str">
            <v>Scan &amp; pay</v>
          </cell>
          <cell r="F709" t="str">
            <v>Negative / Security</v>
          </cell>
          <cell r="G709" t="str">
            <v>High</v>
          </cell>
          <cell r="O709" t="str">
            <v>Not Run</v>
          </cell>
        </row>
        <row r="710">
          <cell r="C710" t="str">
            <v>Scan &amp; pay</v>
          </cell>
          <cell r="F710" t="str">
            <v>Functional</v>
          </cell>
          <cell r="G710" t="str">
            <v>Medium</v>
          </cell>
          <cell r="O710" t="str">
            <v>Not Run</v>
          </cell>
        </row>
        <row r="711">
          <cell r="C711" t="str">
            <v>Scan &amp; pay</v>
          </cell>
          <cell r="F711" t="str">
            <v>UI / Functional</v>
          </cell>
          <cell r="G711" t="str">
            <v>Medium</v>
          </cell>
          <cell r="O711" t="str">
            <v>Not Run</v>
          </cell>
        </row>
        <row r="712">
          <cell r="C712" t="str">
            <v>Scan &amp; pay</v>
          </cell>
          <cell r="F712" t="str">
            <v>Functional</v>
          </cell>
          <cell r="G712" t="str">
            <v>Medium</v>
          </cell>
          <cell r="O712" t="str">
            <v>Not Run</v>
          </cell>
        </row>
        <row r="713">
          <cell r="C713" t="str">
            <v>Scan &amp; pay</v>
          </cell>
          <cell r="F713" t="str">
            <v>Functional</v>
          </cell>
          <cell r="G713" t="str">
            <v>High</v>
          </cell>
          <cell r="O713" t="str">
            <v>Not Run</v>
          </cell>
        </row>
        <row r="714">
          <cell r="C714" t="str">
            <v>Scan &amp; pay</v>
          </cell>
          <cell r="F714" t="str">
            <v>Functional</v>
          </cell>
          <cell r="G714" t="str">
            <v>Medium</v>
          </cell>
          <cell r="O714" t="str">
            <v>Not Run</v>
          </cell>
        </row>
        <row r="715">
          <cell r="C715" t="str">
            <v>Scan &amp; pay</v>
          </cell>
          <cell r="F715" t="str">
            <v>Functional</v>
          </cell>
          <cell r="G715" t="str">
            <v>High</v>
          </cell>
          <cell r="O715" t="str">
            <v>Not Run</v>
          </cell>
        </row>
        <row r="716">
          <cell r="C716" t="str">
            <v>Scan &amp; pay</v>
          </cell>
          <cell r="F716" t="str">
            <v>Functional</v>
          </cell>
          <cell r="G716" t="str">
            <v>High</v>
          </cell>
          <cell r="O716" t="str">
            <v>Not Run</v>
          </cell>
        </row>
        <row r="717">
          <cell r="C717" t="str">
            <v>Scan &amp; pay</v>
          </cell>
          <cell r="F717" t="str">
            <v>Positive</v>
          </cell>
          <cell r="G717" t="str">
            <v>High</v>
          </cell>
          <cell r="O717" t="str">
            <v>Not Run</v>
          </cell>
        </row>
        <row r="718">
          <cell r="C718" t="str">
            <v>Scan &amp; pay</v>
          </cell>
          <cell r="F718" t="str">
            <v>Negative</v>
          </cell>
          <cell r="G718" t="str">
            <v>High</v>
          </cell>
          <cell r="O718" t="str">
            <v>Not Run</v>
          </cell>
        </row>
        <row r="719">
          <cell r="C719" t="str">
            <v>Scan &amp; pay</v>
          </cell>
          <cell r="F719" t="str">
            <v>Positive</v>
          </cell>
          <cell r="G719" t="str">
            <v>Medium</v>
          </cell>
          <cell r="O719" t="str">
            <v>Not Run</v>
          </cell>
        </row>
        <row r="720">
          <cell r="C720" t="str">
            <v>Scan &amp; pay</v>
          </cell>
          <cell r="F720" t="str">
            <v>Negative</v>
          </cell>
          <cell r="G720" t="str">
            <v>High</v>
          </cell>
          <cell r="O720" t="str">
            <v>Not Run</v>
          </cell>
        </row>
        <row r="721">
          <cell r="C721" t="str">
            <v>Scan &amp; pay</v>
          </cell>
          <cell r="F721" t="str">
            <v>Security</v>
          </cell>
          <cell r="G721" t="str">
            <v>High</v>
          </cell>
          <cell r="O721" t="str">
            <v>Not Run</v>
          </cell>
        </row>
        <row r="722">
          <cell r="C722" t="str">
            <v>Scan &amp; pay</v>
          </cell>
          <cell r="F722" t="str">
            <v>Negative / Security</v>
          </cell>
          <cell r="G722" t="str">
            <v>High</v>
          </cell>
          <cell r="O722" t="str">
            <v>Not Run</v>
          </cell>
        </row>
        <row r="723">
          <cell r="C723" t="str">
            <v>Scan &amp; pay</v>
          </cell>
          <cell r="F723" t="str">
            <v>Functional</v>
          </cell>
          <cell r="G723" t="str">
            <v>Medium</v>
          </cell>
          <cell r="O723" t="str">
            <v>Not Run</v>
          </cell>
        </row>
        <row r="724">
          <cell r="C724" t="str">
            <v>Scan &amp; pay</v>
          </cell>
          <cell r="F724" t="str">
            <v>Functional</v>
          </cell>
          <cell r="G724" t="str">
            <v>Medium</v>
          </cell>
          <cell r="O724" t="str">
            <v>Not Run</v>
          </cell>
        </row>
        <row r="725">
          <cell r="C725" t="str">
            <v>Scan &amp; pay</v>
          </cell>
          <cell r="F725" t="str">
            <v>Functional</v>
          </cell>
          <cell r="G725" t="str">
            <v>Medium</v>
          </cell>
          <cell r="O725" t="str">
            <v>Not Run</v>
          </cell>
        </row>
        <row r="726">
          <cell r="C726" t="str">
            <v>Scan &amp; pay</v>
          </cell>
          <cell r="F726" t="str">
            <v>Functional</v>
          </cell>
          <cell r="G726" t="str">
            <v>Medium</v>
          </cell>
          <cell r="O726" t="str">
            <v>Not Run</v>
          </cell>
        </row>
        <row r="727">
          <cell r="C727" t="str">
            <v>Scan &amp; pay</v>
          </cell>
          <cell r="F727" t="str">
            <v>Functional</v>
          </cell>
          <cell r="G727" t="str">
            <v>Medium</v>
          </cell>
          <cell r="O727" t="str">
            <v>Not Run</v>
          </cell>
        </row>
        <row r="728">
          <cell r="C728" t="str">
            <v>Scan &amp; pay</v>
          </cell>
          <cell r="F728" t="str">
            <v>Functional</v>
          </cell>
          <cell r="G728" t="str">
            <v>Medium</v>
          </cell>
          <cell r="O728" t="str">
            <v>Not Run</v>
          </cell>
        </row>
        <row r="729">
          <cell r="C729" t="str">
            <v>Scan &amp; pay</v>
          </cell>
          <cell r="F729" t="str">
            <v>Functional</v>
          </cell>
          <cell r="G729" t="str">
            <v>Medium</v>
          </cell>
          <cell r="O729" t="str">
            <v>Not Run</v>
          </cell>
        </row>
        <row r="730">
          <cell r="C730" t="str">
            <v>Scan &amp; pay</v>
          </cell>
          <cell r="F730" t="str">
            <v>Functional</v>
          </cell>
          <cell r="G730" t="str">
            <v>High</v>
          </cell>
          <cell r="O730" t="str">
            <v>Not Run</v>
          </cell>
        </row>
        <row r="731">
          <cell r="C731" t="str">
            <v>Scan &amp; pay</v>
          </cell>
          <cell r="F731" t="str">
            <v>Functional</v>
          </cell>
          <cell r="G731" t="str">
            <v>High</v>
          </cell>
          <cell r="O731" t="str">
            <v>Not Run</v>
          </cell>
        </row>
        <row r="732">
          <cell r="C732" t="str">
            <v>Scan &amp; pay</v>
          </cell>
          <cell r="F732" t="str">
            <v>Functional</v>
          </cell>
          <cell r="G732" t="str">
            <v>Medium</v>
          </cell>
          <cell r="O732" t="str">
            <v>Not Run</v>
          </cell>
        </row>
        <row r="733">
          <cell r="C733" t="str">
            <v>Scan &amp; pay</v>
          </cell>
          <cell r="F733" t="str">
            <v>Positive</v>
          </cell>
          <cell r="G733" t="str">
            <v>High</v>
          </cell>
          <cell r="O733" t="str">
            <v>Not Run</v>
          </cell>
        </row>
        <row r="734">
          <cell r="C734" t="str">
            <v>Scan &amp; pay</v>
          </cell>
          <cell r="F734" t="str">
            <v>Negative</v>
          </cell>
          <cell r="G734" t="str">
            <v>High</v>
          </cell>
          <cell r="O734" t="str">
            <v>Not Run</v>
          </cell>
        </row>
        <row r="735">
          <cell r="C735" t="str">
            <v>Scan &amp; pay</v>
          </cell>
          <cell r="F735" t="str">
            <v>Positive</v>
          </cell>
          <cell r="G735" t="str">
            <v>Medium</v>
          </cell>
          <cell r="O735" t="str">
            <v>Not Run</v>
          </cell>
        </row>
        <row r="736">
          <cell r="C736" t="str">
            <v>Scan &amp; pay</v>
          </cell>
          <cell r="F736" t="str">
            <v>Negative</v>
          </cell>
          <cell r="G736" t="str">
            <v>High</v>
          </cell>
          <cell r="O736" t="str">
            <v>Not Run</v>
          </cell>
        </row>
        <row r="737">
          <cell r="C737" t="str">
            <v>Scan &amp; pay</v>
          </cell>
          <cell r="F737" t="str">
            <v>Security</v>
          </cell>
          <cell r="G737" t="str">
            <v>High</v>
          </cell>
          <cell r="O737" t="str">
            <v>Not Run</v>
          </cell>
        </row>
        <row r="738">
          <cell r="C738" t="str">
            <v>Scan &amp; pay</v>
          </cell>
          <cell r="F738" t="str">
            <v>Negative / Security</v>
          </cell>
          <cell r="G738" t="str">
            <v>High</v>
          </cell>
          <cell r="O738" t="str">
            <v>Not Run</v>
          </cell>
        </row>
        <row r="739">
          <cell r="C739" t="str">
            <v>Scan &amp; pay</v>
          </cell>
          <cell r="F739" t="str">
            <v>Functional</v>
          </cell>
          <cell r="G739" t="str">
            <v>Medium</v>
          </cell>
          <cell r="O739" t="str">
            <v>Not Run</v>
          </cell>
        </row>
        <row r="740">
          <cell r="C740" t="str">
            <v>Scan &amp; pay</v>
          </cell>
          <cell r="F740" t="str">
            <v>Functional</v>
          </cell>
          <cell r="G740" t="str">
            <v>Medium</v>
          </cell>
          <cell r="O740" t="str">
            <v>Not Run</v>
          </cell>
        </row>
        <row r="741">
          <cell r="C741" t="str">
            <v>Scan &amp; pay</v>
          </cell>
          <cell r="F741" t="str">
            <v>Functional</v>
          </cell>
          <cell r="G741" t="str">
            <v>Medium</v>
          </cell>
          <cell r="O741" t="str">
            <v>Not Run</v>
          </cell>
        </row>
        <row r="742">
          <cell r="C742" t="str">
            <v>Scan &amp; pay</v>
          </cell>
          <cell r="F742" t="str">
            <v>Functional</v>
          </cell>
          <cell r="G742" t="str">
            <v>Medium</v>
          </cell>
          <cell r="O742" t="str">
            <v>Not Run</v>
          </cell>
        </row>
        <row r="743">
          <cell r="C743" t="str">
            <v>Scan &amp; pay</v>
          </cell>
          <cell r="F743" t="str">
            <v>Functional</v>
          </cell>
          <cell r="G743" t="str">
            <v>Medium</v>
          </cell>
          <cell r="O743" t="str">
            <v>Not Run</v>
          </cell>
        </row>
        <row r="744">
          <cell r="C744" t="str">
            <v>Scan &amp; pay</v>
          </cell>
          <cell r="F744" t="str">
            <v>Functional</v>
          </cell>
          <cell r="G744" t="str">
            <v>Medium</v>
          </cell>
          <cell r="O744" t="str">
            <v>Not Run</v>
          </cell>
        </row>
        <row r="745">
          <cell r="C745" t="str">
            <v>Scan &amp; pay</v>
          </cell>
          <cell r="F745" t="str">
            <v>Functional</v>
          </cell>
          <cell r="G745" t="str">
            <v>Medium</v>
          </cell>
          <cell r="O745" t="str">
            <v>Not Run</v>
          </cell>
        </row>
        <row r="746">
          <cell r="C746" t="str">
            <v>Scan &amp; pay</v>
          </cell>
          <cell r="F746" t="str">
            <v>Functional</v>
          </cell>
          <cell r="G746" t="str">
            <v>High</v>
          </cell>
          <cell r="O746" t="str">
            <v>Not Run</v>
          </cell>
        </row>
        <row r="747">
          <cell r="C747" t="str">
            <v>Scan &amp; pay</v>
          </cell>
          <cell r="F747" t="str">
            <v>Functional</v>
          </cell>
          <cell r="G747" t="str">
            <v>High</v>
          </cell>
          <cell r="O747" t="str">
            <v>Not Run</v>
          </cell>
        </row>
        <row r="748">
          <cell r="C748" t="str">
            <v>Scan &amp; pay</v>
          </cell>
          <cell r="F748" t="str">
            <v>Functional</v>
          </cell>
          <cell r="G748" t="str">
            <v>Medium</v>
          </cell>
          <cell r="O748" t="str">
            <v>Not Run</v>
          </cell>
        </row>
        <row r="749">
          <cell r="C749" t="str">
            <v>Scan &amp; pay</v>
          </cell>
          <cell r="F749" t="str">
            <v>Positive</v>
          </cell>
          <cell r="G749" t="str">
            <v>High</v>
          </cell>
          <cell r="O749" t="str">
            <v>Not Run</v>
          </cell>
        </row>
        <row r="750">
          <cell r="C750" t="str">
            <v>Scan &amp; pay</v>
          </cell>
          <cell r="F750" t="str">
            <v>Negative</v>
          </cell>
          <cell r="G750" t="str">
            <v>High</v>
          </cell>
          <cell r="O750" t="str">
            <v>Not Run</v>
          </cell>
        </row>
        <row r="751">
          <cell r="C751" t="str">
            <v>Scan &amp; pay</v>
          </cell>
          <cell r="F751" t="str">
            <v>Positive</v>
          </cell>
          <cell r="G751" t="str">
            <v>High</v>
          </cell>
          <cell r="O751" t="str">
            <v>Not Run</v>
          </cell>
        </row>
        <row r="752">
          <cell r="C752" t="str">
            <v>Scan &amp; pay</v>
          </cell>
          <cell r="F752" t="str">
            <v>Negative</v>
          </cell>
          <cell r="G752" t="str">
            <v>High</v>
          </cell>
          <cell r="O752" t="str">
            <v>Not Run</v>
          </cell>
        </row>
        <row r="753">
          <cell r="C753" t="str">
            <v>Scan &amp; pay</v>
          </cell>
          <cell r="F753" t="str">
            <v>Security</v>
          </cell>
          <cell r="G753" t="str">
            <v>High</v>
          </cell>
          <cell r="O753" t="str">
            <v>Not Run</v>
          </cell>
        </row>
        <row r="754">
          <cell r="C754" t="str">
            <v>Scan &amp; pay</v>
          </cell>
          <cell r="F754" t="str">
            <v>Negative / Security</v>
          </cell>
          <cell r="G754" t="str">
            <v>High</v>
          </cell>
          <cell r="O754" t="str">
            <v>Not Run</v>
          </cell>
        </row>
        <row r="755">
          <cell r="C755" t="str">
            <v>Scan &amp; pay</v>
          </cell>
          <cell r="F755" t="str">
            <v>Functional</v>
          </cell>
          <cell r="G755" t="str">
            <v>Medium</v>
          </cell>
          <cell r="O755" t="str">
            <v>Not Run</v>
          </cell>
        </row>
        <row r="756">
          <cell r="C756" t="str">
            <v>Scan &amp; pay</v>
          </cell>
          <cell r="F756" t="str">
            <v>Functional</v>
          </cell>
          <cell r="G756" t="str">
            <v>Medium</v>
          </cell>
          <cell r="O756" t="str">
            <v>Not Run</v>
          </cell>
        </row>
        <row r="757">
          <cell r="C757" t="str">
            <v>Scan &amp; pay</v>
          </cell>
          <cell r="F757" t="str">
            <v>Functional</v>
          </cell>
          <cell r="G757" t="str">
            <v>Medium</v>
          </cell>
          <cell r="O757" t="str">
            <v>Not Run</v>
          </cell>
        </row>
        <row r="758">
          <cell r="C758" t="str">
            <v>Scan &amp; pay</v>
          </cell>
          <cell r="F758" t="str">
            <v>Functional</v>
          </cell>
          <cell r="G758" t="str">
            <v>Medium</v>
          </cell>
          <cell r="O758" t="str">
            <v>Not Run</v>
          </cell>
        </row>
        <row r="759">
          <cell r="C759" t="str">
            <v>Scan &amp; pay</v>
          </cell>
          <cell r="F759" t="str">
            <v>Functional</v>
          </cell>
          <cell r="G759" t="str">
            <v>Medium</v>
          </cell>
          <cell r="O759" t="str">
            <v>Not Run</v>
          </cell>
        </row>
        <row r="760">
          <cell r="C760" t="str">
            <v>Scan &amp; pay</v>
          </cell>
          <cell r="F760" t="str">
            <v>Functional</v>
          </cell>
          <cell r="G760" t="str">
            <v>Medium</v>
          </cell>
          <cell r="O760" t="str">
            <v>Not Run</v>
          </cell>
        </row>
        <row r="761">
          <cell r="C761" t="str">
            <v>Scan &amp; pay</v>
          </cell>
          <cell r="F761" t="str">
            <v>Functional</v>
          </cell>
          <cell r="G761" t="str">
            <v>Medium</v>
          </cell>
          <cell r="O761" t="str">
            <v>Not Run</v>
          </cell>
        </row>
        <row r="762">
          <cell r="C762" t="str">
            <v>Scan &amp; pay</v>
          </cell>
          <cell r="F762" t="str">
            <v>Functional</v>
          </cell>
          <cell r="G762" t="str">
            <v>High</v>
          </cell>
          <cell r="O762" t="str">
            <v>Not Run</v>
          </cell>
        </row>
        <row r="763">
          <cell r="C763" t="str">
            <v>Scan &amp; pay</v>
          </cell>
          <cell r="F763" t="str">
            <v>Functional</v>
          </cell>
          <cell r="G763" t="str">
            <v>High</v>
          </cell>
          <cell r="O763" t="str">
            <v>Not Run</v>
          </cell>
        </row>
        <row r="764">
          <cell r="C764" t="str">
            <v>Scan &amp; pay</v>
          </cell>
          <cell r="F764" t="str">
            <v>Positive</v>
          </cell>
          <cell r="G764" t="str">
            <v>High</v>
          </cell>
          <cell r="O764" t="str">
            <v>Not Run</v>
          </cell>
        </row>
        <row r="765">
          <cell r="C765" t="str">
            <v>Scan &amp; pay</v>
          </cell>
          <cell r="F765" t="str">
            <v>Negative</v>
          </cell>
          <cell r="G765" t="str">
            <v>High</v>
          </cell>
          <cell r="O765" t="str">
            <v>Not Run</v>
          </cell>
        </row>
        <row r="766">
          <cell r="C766" t="str">
            <v>Scan &amp; pay</v>
          </cell>
          <cell r="F766" t="str">
            <v>Positive</v>
          </cell>
          <cell r="G766" t="str">
            <v>Medium</v>
          </cell>
          <cell r="O766" t="str">
            <v>Not Run</v>
          </cell>
        </row>
        <row r="767">
          <cell r="C767" t="str">
            <v>Scan &amp; pay</v>
          </cell>
          <cell r="F767" t="str">
            <v>Negative</v>
          </cell>
          <cell r="G767" t="str">
            <v>High</v>
          </cell>
          <cell r="O767" t="str">
            <v>Not Run</v>
          </cell>
        </row>
        <row r="768">
          <cell r="C768" t="str">
            <v>Scan &amp; pay</v>
          </cell>
          <cell r="F768" t="str">
            <v>Security</v>
          </cell>
          <cell r="G768" t="str">
            <v>High</v>
          </cell>
          <cell r="O768" t="str">
            <v>Not Run</v>
          </cell>
        </row>
        <row r="769">
          <cell r="C769" t="str">
            <v>Scan &amp; pay</v>
          </cell>
          <cell r="F769" t="str">
            <v>Negative / Security</v>
          </cell>
          <cell r="G769" t="str">
            <v>High</v>
          </cell>
          <cell r="O769" t="str">
            <v>Not Run</v>
          </cell>
        </row>
        <row r="770">
          <cell r="C770" t="str">
            <v>Scan &amp; pay</v>
          </cell>
          <cell r="F770" t="str">
            <v>Functional</v>
          </cell>
          <cell r="G770" t="str">
            <v>Medium</v>
          </cell>
          <cell r="O770" t="str">
            <v>Not Run</v>
          </cell>
        </row>
        <row r="771">
          <cell r="C771" t="str">
            <v>Scan &amp; pay</v>
          </cell>
          <cell r="F771" t="str">
            <v>Functional</v>
          </cell>
          <cell r="G771" t="str">
            <v>High</v>
          </cell>
          <cell r="O771" t="str">
            <v>Not Run</v>
          </cell>
        </row>
        <row r="772">
          <cell r="C772" t="str">
            <v>Scan &amp; pay</v>
          </cell>
          <cell r="F772" t="str">
            <v>Functional</v>
          </cell>
          <cell r="G772" t="str">
            <v>High</v>
          </cell>
          <cell r="O772" t="str">
            <v>Not Run</v>
          </cell>
        </row>
        <row r="773">
          <cell r="C773" t="str">
            <v>Scan &amp; pay</v>
          </cell>
          <cell r="F773" t="str">
            <v>Positive</v>
          </cell>
          <cell r="G773" t="str">
            <v>High</v>
          </cell>
          <cell r="O773" t="str">
            <v>Not Run</v>
          </cell>
        </row>
        <row r="774">
          <cell r="C774" t="str">
            <v>Scan &amp; pay</v>
          </cell>
          <cell r="F774" t="str">
            <v>Negative</v>
          </cell>
          <cell r="G774" t="str">
            <v>High</v>
          </cell>
          <cell r="O774" t="str">
            <v>Not Run</v>
          </cell>
        </row>
        <row r="775">
          <cell r="C775" t="str">
            <v>Scan &amp; pay</v>
          </cell>
          <cell r="F775" t="str">
            <v>Positive</v>
          </cell>
          <cell r="G775" t="str">
            <v>Medium</v>
          </cell>
          <cell r="O775" t="str">
            <v>Not Run</v>
          </cell>
        </row>
        <row r="776">
          <cell r="C776" t="str">
            <v>Scan &amp; pay</v>
          </cell>
          <cell r="F776" t="str">
            <v>Negative</v>
          </cell>
          <cell r="G776" t="str">
            <v>High</v>
          </cell>
          <cell r="O776" t="str">
            <v>Not Run</v>
          </cell>
        </row>
        <row r="777">
          <cell r="C777" t="str">
            <v>Scan &amp; pay</v>
          </cell>
          <cell r="F777" t="str">
            <v>Security</v>
          </cell>
          <cell r="G777" t="str">
            <v>High</v>
          </cell>
          <cell r="O777" t="str">
            <v>Not Run</v>
          </cell>
        </row>
        <row r="778">
          <cell r="C778" t="str">
            <v>Scan &amp; pay</v>
          </cell>
          <cell r="F778" t="str">
            <v>Negative / Security</v>
          </cell>
          <cell r="G778" t="str">
            <v>High</v>
          </cell>
          <cell r="O778" t="str">
            <v>Not Run</v>
          </cell>
        </row>
        <row r="779">
          <cell r="C779" t="str">
            <v>Scan &amp; pay</v>
          </cell>
          <cell r="F779" t="str">
            <v>Functional</v>
          </cell>
          <cell r="G779" t="str">
            <v>Medium</v>
          </cell>
          <cell r="O779" t="str">
            <v>Not Run</v>
          </cell>
        </row>
        <row r="780">
          <cell r="C780" t="str">
            <v>Scan &amp; pay</v>
          </cell>
          <cell r="F780" t="str">
            <v>Functional</v>
          </cell>
          <cell r="G780" t="str">
            <v>Medium</v>
          </cell>
          <cell r="O780" t="str">
            <v>Not Run</v>
          </cell>
        </row>
        <row r="781">
          <cell r="C781" t="str">
            <v>Scan &amp; pay</v>
          </cell>
          <cell r="F781" t="str">
            <v>Functional</v>
          </cell>
          <cell r="G781" t="str">
            <v>Medium</v>
          </cell>
          <cell r="O781" t="str">
            <v>Not Run</v>
          </cell>
        </row>
        <row r="782">
          <cell r="C782" t="str">
            <v>Scan &amp; pay</v>
          </cell>
          <cell r="F782" t="str">
            <v>Positive</v>
          </cell>
          <cell r="G782" t="str">
            <v>High</v>
          </cell>
          <cell r="O782" t="str">
            <v>Not Run</v>
          </cell>
        </row>
        <row r="783">
          <cell r="C783" t="str">
            <v>Scan &amp; pay</v>
          </cell>
          <cell r="F783" t="str">
            <v>Negative</v>
          </cell>
          <cell r="G783" t="str">
            <v>High</v>
          </cell>
          <cell r="O783" t="str">
            <v>Not Run</v>
          </cell>
        </row>
        <row r="784">
          <cell r="C784" t="str">
            <v>Scan &amp; pay</v>
          </cell>
          <cell r="F784" t="str">
            <v>Positive</v>
          </cell>
          <cell r="G784" t="str">
            <v>Medium</v>
          </cell>
          <cell r="O784" t="str">
            <v>Not Run</v>
          </cell>
        </row>
        <row r="785">
          <cell r="C785" t="str">
            <v>Scan &amp; pay</v>
          </cell>
          <cell r="F785" t="str">
            <v>Negative</v>
          </cell>
          <cell r="G785" t="str">
            <v>High</v>
          </cell>
          <cell r="O785" t="str">
            <v>Not Run</v>
          </cell>
        </row>
        <row r="786">
          <cell r="C786" t="str">
            <v>Scan &amp; pay</v>
          </cell>
          <cell r="F786" t="str">
            <v>Security</v>
          </cell>
          <cell r="G786" t="str">
            <v>High</v>
          </cell>
          <cell r="O786" t="str">
            <v>Not Run</v>
          </cell>
        </row>
        <row r="787">
          <cell r="C787" t="str">
            <v>Scan &amp; pay</v>
          </cell>
          <cell r="F787" t="str">
            <v>Negative / Security</v>
          </cell>
          <cell r="G787" t="str">
            <v>High</v>
          </cell>
          <cell r="O787" t="str">
            <v>Not Run</v>
          </cell>
        </row>
        <row r="788">
          <cell r="C788" t="str">
            <v>Scan &amp; pay</v>
          </cell>
          <cell r="F788" t="str">
            <v>Functional</v>
          </cell>
          <cell r="G788" t="str">
            <v>Medium</v>
          </cell>
          <cell r="O788" t="str">
            <v>Not Run</v>
          </cell>
        </row>
        <row r="789">
          <cell r="C789" t="str">
            <v>Scan &amp; pay</v>
          </cell>
          <cell r="F789" t="str">
            <v>Functional</v>
          </cell>
          <cell r="G789" t="str">
            <v>Medium</v>
          </cell>
          <cell r="O789" t="str">
            <v>Not Run</v>
          </cell>
        </row>
        <row r="790">
          <cell r="C790" t="str">
            <v>Scan &amp; pay</v>
          </cell>
          <cell r="F790" t="str">
            <v>Functional</v>
          </cell>
          <cell r="G790" t="str">
            <v>Medium</v>
          </cell>
          <cell r="O790" t="str">
            <v>Not Run</v>
          </cell>
        </row>
        <row r="791">
          <cell r="C791" t="str">
            <v>Scan &amp; pay</v>
          </cell>
          <cell r="F791" t="str">
            <v>Positive</v>
          </cell>
          <cell r="G791" t="str">
            <v>High</v>
          </cell>
          <cell r="O791" t="str">
            <v>Not Run</v>
          </cell>
        </row>
        <row r="792">
          <cell r="C792" t="str">
            <v>Scan &amp; pay</v>
          </cell>
          <cell r="F792" t="str">
            <v>Negative</v>
          </cell>
          <cell r="G792" t="str">
            <v>High</v>
          </cell>
          <cell r="O792" t="str">
            <v>Not Run</v>
          </cell>
        </row>
        <row r="793">
          <cell r="C793" t="str">
            <v>Scan &amp; pay</v>
          </cell>
          <cell r="F793" t="str">
            <v>Positive</v>
          </cell>
          <cell r="G793" t="str">
            <v>Medium</v>
          </cell>
          <cell r="O793" t="str">
            <v>Not Run</v>
          </cell>
        </row>
        <row r="794">
          <cell r="C794" t="str">
            <v>Scan &amp; pay</v>
          </cell>
          <cell r="F794" t="str">
            <v>Negative</v>
          </cell>
          <cell r="G794" t="str">
            <v>High</v>
          </cell>
          <cell r="O794" t="str">
            <v>Not Run</v>
          </cell>
        </row>
        <row r="795">
          <cell r="C795" t="str">
            <v>Scan &amp; pay</v>
          </cell>
          <cell r="F795" t="str">
            <v>Security</v>
          </cell>
          <cell r="G795" t="str">
            <v>High</v>
          </cell>
          <cell r="O795" t="str">
            <v>Not Run</v>
          </cell>
        </row>
        <row r="796">
          <cell r="C796" t="str">
            <v>Scan &amp; pay</v>
          </cell>
          <cell r="F796" t="str">
            <v>Negative / Security</v>
          </cell>
          <cell r="G796" t="str">
            <v>High</v>
          </cell>
          <cell r="O796" t="str">
            <v>Not Run</v>
          </cell>
        </row>
        <row r="797">
          <cell r="C797" t="str">
            <v>Scan &amp; pay</v>
          </cell>
          <cell r="F797" t="str">
            <v>Functional</v>
          </cell>
          <cell r="G797" t="str">
            <v>Medium</v>
          </cell>
          <cell r="O797" t="str">
            <v>Not Run</v>
          </cell>
        </row>
        <row r="798">
          <cell r="C798" t="str">
            <v>Scan &amp; pay</v>
          </cell>
          <cell r="F798" t="str">
            <v>Functional</v>
          </cell>
          <cell r="G798" t="str">
            <v>Medium</v>
          </cell>
          <cell r="O798" t="str">
            <v>Not Run</v>
          </cell>
        </row>
        <row r="799">
          <cell r="C799" t="str">
            <v>Scan &amp; pay</v>
          </cell>
          <cell r="F799" t="str">
            <v>Functional</v>
          </cell>
          <cell r="G799" t="str">
            <v>Medium</v>
          </cell>
          <cell r="O799" t="str">
            <v>Not Run</v>
          </cell>
        </row>
        <row r="800">
          <cell r="C800" t="str">
            <v>Scan &amp; pay</v>
          </cell>
          <cell r="F800" t="str">
            <v>Positive</v>
          </cell>
          <cell r="G800" t="str">
            <v>High</v>
          </cell>
          <cell r="O800" t="str">
            <v>Not Run</v>
          </cell>
        </row>
        <row r="801">
          <cell r="C801" t="str">
            <v>Scan &amp; pay</v>
          </cell>
          <cell r="F801" t="str">
            <v>Negative</v>
          </cell>
          <cell r="G801" t="str">
            <v>High</v>
          </cell>
          <cell r="O801" t="str">
            <v>Not Run</v>
          </cell>
        </row>
      </sheetData>
      <sheetData sheetId="4">
        <row r="1">
          <cell r="B1" t="str">
            <v>Module</v>
          </cell>
        </row>
        <row r="2">
          <cell r="B2" t="str">
            <v>Acct Dashboard Financing</v>
          </cell>
        </row>
        <row r="3">
          <cell r="B3" t="str">
            <v>Acct Dashboard Financing</v>
          </cell>
        </row>
        <row r="4">
          <cell r="B4" t="str">
            <v>Acct Dashboard Financing</v>
          </cell>
        </row>
        <row r="5">
          <cell r="B5" t="str">
            <v>Acct Dashboard Financing</v>
          </cell>
        </row>
        <row r="6">
          <cell r="B6" t="str">
            <v>Acct Dashboard Financing</v>
          </cell>
        </row>
        <row r="7">
          <cell r="B7" t="str">
            <v>Acct Dashboard Financing</v>
          </cell>
        </row>
        <row r="8">
          <cell r="B8" t="str">
            <v>Acct Dashboard Financing</v>
          </cell>
        </row>
        <row r="9">
          <cell r="B9" t="str">
            <v>Acct Dashboard Financing</v>
          </cell>
        </row>
        <row r="10">
          <cell r="B10" t="str">
            <v>Acct Dashboard Non-Financing</v>
          </cell>
        </row>
        <row r="11">
          <cell r="B11" t="str">
            <v>Acct Dashboard Non-Financing</v>
          </cell>
        </row>
        <row r="12">
          <cell r="B12" t="str">
            <v>Acct Dashboard Non-Financing</v>
          </cell>
        </row>
        <row r="13">
          <cell r="B13" t="str">
            <v>Acct Dashboard Non-Financing</v>
          </cell>
        </row>
        <row r="14">
          <cell r="B14" t="str">
            <v>Acct Dashboard Non-Financing</v>
          </cell>
        </row>
        <row r="15">
          <cell r="B15" t="str">
            <v>Acct Dashboard Non-Financing</v>
          </cell>
        </row>
        <row r="16">
          <cell r="B16" t="str">
            <v>Acct Dashboard Non-Financing</v>
          </cell>
        </row>
        <row r="17">
          <cell r="B17" t="str">
            <v>Acct Dashboard Non-Financing</v>
          </cell>
        </row>
        <row r="18">
          <cell r="B18" t="str">
            <v>Acct Dashboard Non-Financing</v>
          </cell>
        </row>
        <row r="19">
          <cell r="B19" t="str">
            <v>Acct Dashboard Non-Financing</v>
          </cell>
        </row>
        <row r="20">
          <cell r="B20" t="str">
            <v>Acct Dashboard Non-Financing</v>
          </cell>
        </row>
        <row r="21">
          <cell r="B21" t="str">
            <v>Acct Dashboard Non-Financing</v>
          </cell>
        </row>
        <row r="22">
          <cell r="B22" t="str">
            <v>App Dashboard</v>
          </cell>
        </row>
        <row r="23">
          <cell r="B23" t="str">
            <v>A&amp;A</v>
          </cell>
        </row>
        <row r="24">
          <cell r="B24" t="str">
            <v>A&amp;A</v>
          </cell>
        </row>
        <row r="25">
          <cell r="B25" t="str">
            <v>A&amp;A</v>
          </cell>
        </row>
        <row r="26">
          <cell r="B26" t="str">
            <v>A&amp;A</v>
          </cell>
        </row>
        <row r="27">
          <cell r="B27" t="str">
            <v>A&amp;A</v>
          </cell>
        </row>
        <row r="28">
          <cell r="B28" t="str">
            <v>Local Transfer</v>
          </cell>
        </row>
        <row r="29">
          <cell r="B29" t="str">
            <v>Scan &amp; pay</v>
          </cell>
        </row>
        <row r="30">
          <cell r="B30" t="str">
            <v>Scan &amp; pay</v>
          </cell>
        </row>
      </sheetData>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hyperlink" Target="#'ECLIPSE API Catalog'!A27" TargetMode="External" Id="rId1" /><Relationship Type="http://schemas.openxmlformats.org/officeDocument/2006/relationships/hyperlink" Target="#'ECLIPSE API Catalog'!A27" TargetMode="External" Id="rId2" /><Relationship Type="http://schemas.openxmlformats.org/officeDocument/2006/relationships/hyperlink" Target="#'ECLIPSE API Catalog'!A27" TargetMode="External" Id="rId3" /><Relationship Type="http://schemas.openxmlformats.org/officeDocument/2006/relationships/hyperlink" Target="#'ECLIPSE API Catalog'!A27" TargetMode="External" Id="rId4" /><Relationship Type="http://schemas.openxmlformats.org/officeDocument/2006/relationships/hyperlink" Target="#'ECLIPSE API Catalog'!A27" TargetMode="External" Id="rId5" /><Relationship Type="http://schemas.openxmlformats.org/officeDocument/2006/relationships/hyperlink" Target="#'ECLIPSE API Catalog'!A27" TargetMode="External" Id="rId6" /><Relationship Type="http://schemas.openxmlformats.org/officeDocument/2006/relationships/hyperlink" Target="#'ECLIPSE API Catalog'!A27" TargetMode="External" Id="rId7" /><Relationship Type="http://schemas.openxmlformats.org/officeDocument/2006/relationships/hyperlink" Target="#'ECLIPSE API Catalog'!A29" TargetMode="External" Id="rId8" /><Relationship Type="http://schemas.openxmlformats.org/officeDocument/2006/relationships/hyperlink" Target="#'ECLIPSE API Catalog'!A27" TargetMode="External" Id="rId9" /><Relationship Type="http://schemas.openxmlformats.org/officeDocument/2006/relationships/hyperlink" Target="#'ECLIPSE API Catalog'!A27" TargetMode="External" Id="rId10" /><Relationship Type="http://schemas.openxmlformats.org/officeDocument/2006/relationships/hyperlink" Target="#'ECLIPSE API Catalog'!A28" TargetMode="External" Id="rId11" /><Relationship Type="http://schemas.openxmlformats.org/officeDocument/2006/relationships/hyperlink" Target="#'ECLIPSE API Catalog'!A27" TargetMode="External" Id="rId12" /><Relationship Type="http://schemas.openxmlformats.org/officeDocument/2006/relationships/hyperlink" Target="#'ECLIPSE API Catalog'!A27" TargetMode="External" Id="rId13" /><Relationship Type="http://schemas.openxmlformats.org/officeDocument/2006/relationships/hyperlink" Target="#'ECLIPSE API Catalog'!A27" TargetMode="External" Id="rId14" /><Relationship Type="http://schemas.openxmlformats.org/officeDocument/2006/relationships/hyperlink" Target="#'ECLIPSE API Catalog'!A27" TargetMode="External" Id="rId15" /><Relationship Type="http://schemas.openxmlformats.org/officeDocument/2006/relationships/hyperlink" Target="#'ECLIPSE API Catalog'!A27" TargetMode="External" Id="rId16" /><Relationship Type="http://schemas.openxmlformats.org/officeDocument/2006/relationships/hyperlink" Target="#'ECLIPSE API Catalog'!A27" TargetMode="External" Id="rId17" /><Relationship Type="http://schemas.openxmlformats.org/officeDocument/2006/relationships/hyperlink" Target="#'ECLIPSE API Catalog'!A27" TargetMode="External" Id="rId18" /><Relationship Type="http://schemas.openxmlformats.org/officeDocument/2006/relationships/hyperlink" Target="#'ECLIPSE API Catalog'!A28" TargetMode="External" Id="rId19" /><Relationship Type="http://schemas.openxmlformats.org/officeDocument/2006/relationships/hyperlink" Target="#'ECLIPSE API Catalog'!A27" TargetMode="External" Id="rId20" /><Relationship Type="http://schemas.openxmlformats.org/officeDocument/2006/relationships/hyperlink" Target="#'ECLIPSE API Catalog'!A30" TargetMode="External" Id="rId21" /><Relationship Type="http://schemas.openxmlformats.org/officeDocument/2006/relationships/hyperlink" Target="#'ECLIPSE API Catalog'!A27" TargetMode="External" Id="rId22" /><Relationship Type="http://schemas.openxmlformats.org/officeDocument/2006/relationships/hyperlink" Target="#'ECLIPSE API Catalog'!A28" TargetMode="External" Id="rId23" /><Relationship Type="http://schemas.openxmlformats.org/officeDocument/2006/relationships/hyperlink" Target="#'ECLIPSE API Catalog'!A27" TargetMode="External" Id="rId24" /><Relationship Type="http://schemas.openxmlformats.org/officeDocument/2006/relationships/hyperlink" Target="#'ECLIPSE API Catalog'!A27" TargetMode="External" Id="rId25" /><Relationship Type="http://schemas.openxmlformats.org/officeDocument/2006/relationships/hyperlink" Target="#'ECLIPSE API Catalog'!A27" TargetMode="External" Id="rId26" /><Relationship Type="http://schemas.openxmlformats.org/officeDocument/2006/relationships/hyperlink" Target="#'ECLIPSE API Catalog'!A27" TargetMode="External" Id="rId27" /><Relationship Type="http://schemas.openxmlformats.org/officeDocument/2006/relationships/hyperlink" Target="#'ECLIPSE API Catalog'!A27" TargetMode="External" Id="rId28" /><Relationship Type="http://schemas.openxmlformats.org/officeDocument/2006/relationships/hyperlink" Target="#'ECLIPSE API Catalog'!A27" TargetMode="External" Id="rId29" /><Relationship Type="http://schemas.openxmlformats.org/officeDocument/2006/relationships/hyperlink" Target="#'ECLIPSE API Catalog'!A27" TargetMode="External" Id="rId30" /><Relationship Type="http://schemas.openxmlformats.org/officeDocument/2006/relationships/hyperlink" Target="#'ECLIPSE API Catalog'!A29" TargetMode="External" Id="rId31" /><Relationship Type="http://schemas.openxmlformats.org/officeDocument/2006/relationships/hyperlink" Target="#'ECLIPSE API Catalog'!A27" TargetMode="External" Id="rId32" /><Relationship Type="http://schemas.openxmlformats.org/officeDocument/2006/relationships/hyperlink" Target="#'ECLIPSE API Catalog'!A28" TargetMode="External" Id="rId33" /><Relationship Type="http://schemas.openxmlformats.org/officeDocument/2006/relationships/hyperlink" Target="#'ECLIPSE API Catalog'!A27" TargetMode="External" Id="rId34" /><Relationship Type="http://schemas.openxmlformats.org/officeDocument/2006/relationships/hyperlink" Target="#'ECLIPSE API Catalog'!A27" TargetMode="External" Id="rId35" /><Relationship Type="http://schemas.openxmlformats.org/officeDocument/2006/relationships/hyperlink" Target="#'ECLIPSE API Catalog'!A27" TargetMode="External" Id="rId36" /><Relationship Type="http://schemas.openxmlformats.org/officeDocument/2006/relationships/hyperlink" Target="#'ECLIPSE API Catalog'!A27" TargetMode="External" Id="rId37" /><Relationship Type="http://schemas.openxmlformats.org/officeDocument/2006/relationships/hyperlink" Target="#'ECLIPSE API Catalog'!A27" TargetMode="External" Id="rId38" /><Relationship Type="http://schemas.openxmlformats.org/officeDocument/2006/relationships/hyperlink" Target="#'ECLIPSE API Catalog'!A27" TargetMode="External" Id="rId39" /><Relationship Type="http://schemas.openxmlformats.org/officeDocument/2006/relationships/hyperlink" Target="#'ECLIPSE API Catalog'!A27" TargetMode="External" Id="rId40" /><Relationship Type="http://schemas.openxmlformats.org/officeDocument/2006/relationships/hyperlink" Target="#'ECLIPSE API Catalog'!A28" TargetMode="External" Id="rId41" /><Relationship Type="http://schemas.openxmlformats.org/officeDocument/2006/relationships/hyperlink" Target="#'ECLIPSE API Catalog'!A27" TargetMode="External" Id="rId42" /><Relationship Type="http://schemas.openxmlformats.org/officeDocument/2006/relationships/hyperlink" Target="#'ECLIPSE API Catalog'!A28" TargetMode="External" Id="rId43" /><Relationship Type="http://schemas.openxmlformats.org/officeDocument/2006/relationships/hyperlink" Target="#'ECLIPSE API Catalog'!A27" TargetMode="External" Id="rId44" /><Relationship Type="http://schemas.openxmlformats.org/officeDocument/2006/relationships/hyperlink" Target="#'ECLIPSE API Catalog'!A27" TargetMode="External" Id="rId45" /><Relationship Type="http://schemas.openxmlformats.org/officeDocument/2006/relationships/hyperlink" Target="#'ECLIPSE API Catalog'!A27" TargetMode="External" Id="rId46" /><Relationship Type="http://schemas.openxmlformats.org/officeDocument/2006/relationships/hyperlink" Target="#'ECLIPSE API Catalog'!A27" TargetMode="External" Id="rId47" /><Relationship Type="http://schemas.openxmlformats.org/officeDocument/2006/relationships/hyperlink" Target="#'ECLIPSE API Catalog'!A27" TargetMode="External" Id="rId48" /><Relationship Type="http://schemas.openxmlformats.org/officeDocument/2006/relationships/hyperlink" Target="#'ECLIPSE API Catalog'!A27" TargetMode="External" Id="rId49" /><Relationship Type="http://schemas.openxmlformats.org/officeDocument/2006/relationships/hyperlink" Target="#'ECLIPSE API Catalog'!A27" TargetMode="External" Id="rId50" /><Relationship Type="http://schemas.openxmlformats.org/officeDocument/2006/relationships/hyperlink" Target="#'ECLIPSE API Catalog'!A29" TargetMode="External" Id="rId51" /><Relationship Type="http://schemas.openxmlformats.org/officeDocument/2006/relationships/hyperlink" Target="#'ECLIPSE API Catalog'!A27" TargetMode="External" Id="rId52" /><Relationship Type="http://schemas.openxmlformats.org/officeDocument/2006/relationships/hyperlink" Target="#'ECLIPSE API Catalog'!A28" TargetMode="External" Id="rId53" /><Relationship Type="http://schemas.openxmlformats.org/officeDocument/2006/relationships/hyperlink" Target="#'ECLIPSE API Catalog'!A27" TargetMode="External" Id="rId54" /><Relationship Type="http://schemas.openxmlformats.org/officeDocument/2006/relationships/hyperlink" Target="#'ECLIPSE API Catalog'!A27" TargetMode="External" Id="rId55" /><Relationship Type="http://schemas.openxmlformats.org/officeDocument/2006/relationships/hyperlink" Target="#'ECLIPSE API Catalog'!A27" TargetMode="External" Id="rId56" /><Relationship Type="http://schemas.openxmlformats.org/officeDocument/2006/relationships/hyperlink" Target="#'ECLIPSE API Catalog'!A27" TargetMode="External" Id="rId57" /><Relationship Type="http://schemas.openxmlformats.org/officeDocument/2006/relationships/hyperlink" Target="#'ECLIPSE API Catalog'!A27" TargetMode="External" Id="rId58" /><Relationship Type="http://schemas.openxmlformats.org/officeDocument/2006/relationships/hyperlink" Target="#'ECLIPSE API Catalog'!A27" TargetMode="External" Id="rId59" /><Relationship Type="http://schemas.openxmlformats.org/officeDocument/2006/relationships/hyperlink" Target="#'ECLIPSE API Catalog'!A27" TargetMode="External" Id="rId60" /><Relationship Type="http://schemas.openxmlformats.org/officeDocument/2006/relationships/hyperlink" Target="#'ECLIPSE API Catalog'!A28" TargetMode="External" Id="rId61" /><Relationship Type="http://schemas.openxmlformats.org/officeDocument/2006/relationships/hyperlink" Target="#'ECLIPSE API Catalog'!A27" TargetMode="External" Id="rId62" /><Relationship Type="http://schemas.openxmlformats.org/officeDocument/2006/relationships/hyperlink" Target="#'ECLIPSE API Catalog'!A28" TargetMode="External" Id="rId63" /><Relationship Type="http://schemas.openxmlformats.org/officeDocument/2006/relationships/hyperlink" Target="#'ECLIPSE API Catalog'!A27" TargetMode="External" Id="rId64" /><Relationship Type="http://schemas.openxmlformats.org/officeDocument/2006/relationships/hyperlink" Target="#'ECLIPSE API Catalog'!A2" TargetMode="External" Id="rId65" /><Relationship Type="http://schemas.openxmlformats.org/officeDocument/2006/relationships/hyperlink" Target="#'ECLIPSE API Catalog'!A2" TargetMode="External" Id="rId66" /><Relationship Type="http://schemas.openxmlformats.org/officeDocument/2006/relationships/hyperlink" Target="#'ECLIPSE API Catalog'!A2" TargetMode="External" Id="rId67" /><Relationship Type="http://schemas.openxmlformats.org/officeDocument/2006/relationships/hyperlink" Target="#'ECLIPSE API Catalog'!A2" TargetMode="External" Id="rId68" /><Relationship Type="http://schemas.openxmlformats.org/officeDocument/2006/relationships/hyperlink" Target="#'ECLIPSE API Catalog'!A5" TargetMode="External" Id="rId69" /><Relationship Type="http://schemas.openxmlformats.org/officeDocument/2006/relationships/hyperlink" Target="#'ECLIPSE API Catalog'!A2" TargetMode="External" Id="rId70" /><Relationship Type="http://schemas.openxmlformats.org/officeDocument/2006/relationships/hyperlink" Target="#'ECLIPSE API Catalog'!A2" TargetMode="External" Id="rId71" /><Relationship Type="http://schemas.openxmlformats.org/officeDocument/2006/relationships/hyperlink" Target="#'ECLIPSE API Catalog'!A4" TargetMode="External" Id="rId72" /><Relationship Type="http://schemas.openxmlformats.org/officeDocument/2006/relationships/hyperlink" Target="#'ECLIPSE API Catalog'!A5" TargetMode="External" Id="rId73" /><Relationship Type="http://schemas.openxmlformats.org/officeDocument/2006/relationships/hyperlink" Target="#'ECLIPSE API Catalog'!A6" TargetMode="External" Id="rId74" /><Relationship Type="http://schemas.openxmlformats.org/officeDocument/2006/relationships/hyperlink" Target="#'ECLIPSE API Catalog'!A2" TargetMode="External" Id="rId75" /><Relationship Type="http://schemas.openxmlformats.org/officeDocument/2006/relationships/hyperlink" Target="#'ECLIPSE API Catalog'!A6" TargetMode="External" Id="rId76" /><Relationship Type="http://schemas.openxmlformats.org/officeDocument/2006/relationships/hyperlink" Target="#'ECLIPSE API Catalog'!A2" TargetMode="External" Id="rId77" /><Relationship Type="http://schemas.openxmlformats.org/officeDocument/2006/relationships/hyperlink" Target="#'ECLIPSE API Catalog'!A3" TargetMode="External" Id="rId78" /><Relationship Type="http://schemas.openxmlformats.org/officeDocument/2006/relationships/hyperlink" Target="#'ECLIPSE API Catalog'!A2" TargetMode="External" Id="rId79" /><Relationship Type="http://schemas.openxmlformats.org/officeDocument/2006/relationships/hyperlink" Target="#'ECLIPSE API Catalog'!A2" TargetMode="External" Id="rId80" /><Relationship Type="http://schemas.openxmlformats.org/officeDocument/2006/relationships/hyperlink" Target="#'ECLIPSE API Catalog'!A2" TargetMode="External" Id="rId81" /><Relationship Type="http://schemas.openxmlformats.org/officeDocument/2006/relationships/hyperlink" Target="#'ECLIPSE API Catalog'!A2" TargetMode="External" Id="rId82" /><Relationship Type="http://schemas.openxmlformats.org/officeDocument/2006/relationships/hyperlink" Target="#'ECLIPSE API Catalog'!A2" TargetMode="External" Id="rId83" /><Relationship Type="http://schemas.openxmlformats.org/officeDocument/2006/relationships/hyperlink" Target="#'ECLIPSE API Catalog'!A10" TargetMode="External" Id="rId84" /><Relationship Type="http://schemas.openxmlformats.org/officeDocument/2006/relationships/hyperlink" Target="#'ECLIPSE API Catalog'!A2" TargetMode="External" Id="rId85" /><Relationship Type="http://schemas.openxmlformats.org/officeDocument/2006/relationships/hyperlink" Target="#'ECLIPSE API Catalog'!A2" TargetMode="External" Id="rId86" /><Relationship Type="http://schemas.openxmlformats.org/officeDocument/2006/relationships/hyperlink" Target="#'ECLIPSE API Catalog'!A5" TargetMode="External" Id="rId87" /><Relationship Type="http://schemas.openxmlformats.org/officeDocument/2006/relationships/hyperlink" Target="#'ECLIPSE API Catalog'!A10" TargetMode="External" Id="rId88" /><Relationship Type="http://schemas.openxmlformats.org/officeDocument/2006/relationships/hyperlink" Target="#'ECLIPSE API Catalog'!A10" TargetMode="External" Id="rId89" /><Relationship Type="http://schemas.openxmlformats.org/officeDocument/2006/relationships/hyperlink" Target="#'ECLIPSE API Catalog'!A10" TargetMode="External" Id="rId90" /><Relationship Type="http://schemas.openxmlformats.org/officeDocument/2006/relationships/hyperlink" Target="#'ECLIPSE API Catalog'!A10" TargetMode="External" Id="rId91" /><Relationship Type="http://schemas.openxmlformats.org/officeDocument/2006/relationships/hyperlink" Target="#'ECLIPSE API Catalog'!A5" TargetMode="External" Id="rId92" /><Relationship Type="http://schemas.openxmlformats.org/officeDocument/2006/relationships/hyperlink" Target="#'ECLIPSE API Catalog'!A2" TargetMode="External" Id="rId93" /><Relationship Type="http://schemas.openxmlformats.org/officeDocument/2006/relationships/hyperlink" Target="#'ECLIPSE API Catalog'!A2" TargetMode="External" Id="rId94" /><Relationship Type="http://schemas.openxmlformats.org/officeDocument/2006/relationships/hyperlink" Target="#'ECLIPSE API Catalog'!A2" TargetMode="External" Id="rId95" /><Relationship Type="http://schemas.openxmlformats.org/officeDocument/2006/relationships/hyperlink" Target="#'ECLIPSE API Catalog'!A2" TargetMode="External" Id="rId96" /><Relationship Type="http://schemas.openxmlformats.org/officeDocument/2006/relationships/hyperlink" Target="#'ECLIPSE API Catalog'!A2" TargetMode="External" Id="rId97" /><Relationship Type="http://schemas.openxmlformats.org/officeDocument/2006/relationships/hyperlink" Target="#'ECLIPSE API Catalog'!A2" TargetMode="External" Id="rId98" /><Relationship Type="http://schemas.openxmlformats.org/officeDocument/2006/relationships/hyperlink" Target="#'ECLIPSE API Catalog'!A12" TargetMode="External" Id="rId99" /><Relationship Type="http://schemas.openxmlformats.org/officeDocument/2006/relationships/hyperlink" Target="#'ECLIPSE API Catalog'!A12" TargetMode="External" Id="rId100" /><Relationship Type="http://schemas.openxmlformats.org/officeDocument/2006/relationships/hyperlink" Target="#'ECLIPSE API Catalog'!A12" TargetMode="External" Id="rId101" /><Relationship Type="http://schemas.openxmlformats.org/officeDocument/2006/relationships/hyperlink" Target="#'ECLIPSE API Catalog'!A13" TargetMode="External" Id="rId102" /><Relationship Type="http://schemas.openxmlformats.org/officeDocument/2006/relationships/hyperlink" Target="#'ECLIPSE API Catalog'!A13" TargetMode="External" Id="rId103" /><Relationship Type="http://schemas.openxmlformats.org/officeDocument/2006/relationships/hyperlink" Target="#'ECLIPSE API Catalog'!A13" TargetMode="External" Id="rId104" /><Relationship Type="http://schemas.openxmlformats.org/officeDocument/2006/relationships/hyperlink" Target="#'ECLIPSE API Catalog'!A14" TargetMode="External" Id="rId105" /><Relationship Type="http://schemas.openxmlformats.org/officeDocument/2006/relationships/hyperlink" Target="#'ECLIPSE API Catalog'!A2" TargetMode="External" Id="rId106" /><Relationship Type="http://schemas.openxmlformats.org/officeDocument/2006/relationships/hyperlink" Target="#'ECLIPSE API Catalog'!A2" TargetMode="External" Id="rId107" /><Relationship Type="http://schemas.openxmlformats.org/officeDocument/2006/relationships/hyperlink" Target="#'ECLIPSE API Catalog'!A15" TargetMode="External" Id="rId108" /><Relationship Type="http://schemas.openxmlformats.org/officeDocument/2006/relationships/hyperlink" Target="#'ECLIPSE API Catalog'!A12" TargetMode="External" Id="rId109" /><Relationship Type="http://schemas.openxmlformats.org/officeDocument/2006/relationships/hyperlink" Target="#'ECLIPSE API Catalog'!A5" TargetMode="External" Id="rId110" /><Relationship Type="http://schemas.openxmlformats.org/officeDocument/2006/relationships/hyperlink" Target="#'ECLIPSE API Catalog'!A2" TargetMode="External" Id="rId111" /><Relationship Type="http://schemas.openxmlformats.org/officeDocument/2006/relationships/hyperlink" Target="#'ECLIPSE API Catalog'!A2" TargetMode="External" Id="rId112" /><Relationship Type="http://schemas.openxmlformats.org/officeDocument/2006/relationships/hyperlink" Target="#'ECLIPSE API Catalog'!A2" TargetMode="External" Id="rId113" /><Relationship Type="http://schemas.openxmlformats.org/officeDocument/2006/relationships/hyperlink" Target="#'ECLIPSE API Catalog'!A2" TargetMode="External" Id="rId114" /><Relationship Type="http://schemas.openxmlformats.org/officeDocument/2006/relationships/hyperlink" Target="#'ECLIPSE API Catalog'!A2" TargetMode="External" Id="rId115" /><Relationship Type="http://schemas.openxmlformats.org/officeDocument/2006/relationships/hyperlink" Target="#'ECLIPSE API Catalog'!A5" TargetMode="External" Id="rId116" /><Relationship Type="http://schemas.openxmlformats.org/officeDocument/2006/relationships/hyperlink" Target="#'ECLIPSE API Catalog'!A2" TargetMode="External" Id="rId117" /><Relationship Type="http://schemas.openxmlformats.org/officeDocument/2006/relationships/hyperlink" Target="#'ECLIPSE API Catalog'!A2" TargetMode="External" Id="rId118" /><Relationship Type="http://schemas.openxmlformats.org/officeDocument/2006/relationships/hyperlink" Target="#'ECLIPSE API Catalog'!A4" TargetMode="External" Id="rId119" /><Relationship Type="http://schemas.openxmlformats.org/officeDocument/2006/relationships/hyperlink" Target="#'ECLIPSE API Catalog'!A5" TargetMode="External" Id="rId120" /><Relationship Type="http://schemas.openxmlformats.org/officeDocument/2006/relationships/hyperlink" Target="#'ECLIPSE API Catalog'!A6" TargetMode="External" Id="rId121" /><Relationship Type="http://schemas.openxmlformats.org/officeDocument/2006/relationships/hyperlink" Target="#'ECLIPSE API Catalog'!A2" TargetMode="External" Id="rId122" /><Relationship Type="http://schemas.openxmlformats.org/officeDocument/2006/relationships/hyperlink" Target="#'ECLIPSE API Catalog'!A6" TargetMode="External" Id="rId123" /><Relationship Type="http://schemas.openxmlformats.org/officeDocument/2006/relationships/hyperlink" Target="#'ECLIPSE API Catalog'!A2" TargetMode="External" Id="rId124" /><Relationship Type="http://schemas.openxmlformats.org/officeDocument/2006/relationships/hyperlink" Target="#'ECLIPSE API Catalog'!A3" TargetMode="External" Id="rId125" /><Relationship Type="http://schemas.openxmlformats.org/officeDocument/2006/relationships/hyperlink" Target="#'ECLIPSE API Catalog'!A2" TargetMode="External" Id="rId126" /><Relationship Type="http://schemas.openxmlformats.org/officeDocument/2006/relationships/hyperlink" Target="#'ECLIPSE API Catalog'!A2" TargetMode="External" Id="rId127" /><Relationship Type="http://schemas.openxmlformats.org/officeDocument/2006/relationships/hyperlink" Target="#'ECLIPSE API Catalog'!A2" TargetMode="External" Id="rId128" /><Relationship Type="http://schemas.openxmlformats.org/officeDocument/2006/relationships/hyperlink" Target="#'ECLIPSE API Catalog'!A2" TargetMode="External" Id="rId129" /><Relationship Type="http://schemas.openxmlformats.org/officeDocument/2006/relationships/hyperlink" Target="#'ECLIPSE API Catalog'!A2" TargetMode="External" Id="rId130" /><Relationship Type="http://schemas.openxmlformats.org/officeDocument/2006/relationships/hyperlink" Target="#'ECLIPSE API Catalog'!A10" TargetMode="External" Id="rId131" /><Relationship Type="http://schemas.openxmlformats.org/officeDocument/2006/relationships/hyperlink" Target="#'ECLIPSE API Catalog'!A2" TargetMode="External" Id="rId132" /><Relationship Type="http://schemas.openxmlformats.org/officeDocument/2006/relationships/hyperlink" Target="#'ECLIPSE API Catalog'!A2" TargetMode="External" Id="rId133" /><Relationship Type="http://schemas.openxmlformats.org/officeDocument/2006/relationships/hyperlink" Target="#'ECLIPSE API Catalog'!A5" TargetMode="External" Id="rId134" /><Relationship Type="http://schemas.openxmlformats.org/officeDocument/2006/relationships/hyperlink" Target="#'ECLIPSE API Catalog'!A10" TargetMode="External" Id="rId135" /><Relationship Type="http://schemas.openxmlformats.org/officeDocument/2006/relationships/hyperlink" Target="#'ECLIPSE API Catalog'!A10" TargetMode="External" Id="rId136" /><Relationship Type="http://schemas.openxmlformats.org/officeDocument/2006/relationships/hyperlink" Target="#'ECLIPSE API Catalog'!A10" TargetMode="External" Id="rId137" /><Relationship Type="http://schemas.openxmlformats.org/officeDocument/2006/relationships/hyperlink" Target="#'ECLIPSE API Catalog'!A10" TargetMode="External" Id="rId138" /><Relationship Type="http://schemas.openxmlformats.org/officeDocument/2006/relationships/hyperlink" Target="#'ECLIPSE API Catalog'!A5" TargetMode="External" Id="rId139" /><Relationship Type="http://schemas.openxmlformats.org/officeDocument/2006/relationships/hyperlink" Target="#'ECLIPSE API Catalog'!A2" TargetMode="External" Id="rId140" /><Relationship Type="http://schemas.openxmlformats.org/officeDocument/2006/relationships/hyperlink" Target="#'ECLIPSE API Catalog'!A2" TargetMode="External" Id="rId141" /><Relationship Type="http://schemas.openxmlformats.org/officeDocument/2006/relationships/hyperlink" Target="#'ECLIPSE API Catalog'!A2" TargetMode="External" Id="rId142" /><Relationship Type="http://schemas.openxmlformats.org/officeDocument/2006/relationships/hyperlink" Target="#'ECLIPSE API Catalog'!A2" TargetMode="External" Id="rId143" /><Relationship Type="http://schemas.openxmlformats.org/officeDocument/2006/relationships/hyperlink" Target="#'ECLIPSE API Catalog'!A2" TargetMode="External" Id="rId144" /><Relationship Type="http://schemas.openxmlformats.org/officeDocument/2006/relationships/hyperlink" Target="#'ECLIPSE API Catalog'!A2" TargetMode="External" Id="rId145" /><Relationship Type="http://schemas.openxmlformats.org/officeDocument/2006/relationships/hyperlink" Target="#'ECLIPSE API Catalog'!A12" TargetMode="External" Id="rId146" /><Relationship Type="http://schemas.openxmlformats.org/officeDocument/2006/relationships/hyperlink" Target="#'ECLIPSE API Catalog'!A12" TargetMode="External" Id="rId147" /><Relationship Type="http://schemas.openxmlformats.org/officeDocument/2006/relationships/hyperlink" Target="#'ECLIPSE API Catalog'!A12" TargetMode="External" Id="rId148" /><Relationship Type="http://schemas.openxmlformats.org/officeDocument/2006/relationships/hyperlink" Target="#'ECLIPSE API Catalog'!A13" TargetMode="External" Id="rId149" /><Relationship Type="http://schemas.openxmlformats.org/officeDocument/2006/relationships/hyperlink" Target="#'ECLIPSE API Catalog'!A13" TargetMode="External" Id="rId150" /><Relationship Type="http://schemas.openxmlformats.org/officeDocument/2006/relationships/hyperlink" Target="#'ECLIPSE API Catalog'!A13" TargetMode="External" Id="rId151" /><Relationship Type="http://schemas.openxmlformats.org/officeDocument/2006/relationships/hyperlink" Target="#'ECLIPSE API Catalog'!A14" TargetMode="External" Id="rId152" /><Relationship Type="http://schemas.openxmlformats.org/officeDocument/2006/relationships/hyperlink" Target="#'ECLIPSE API Catalog'!A2" TargetMode="External" Id="rId153" /><Relationship Type="http://schemas.openxmlformats.org/officeDocument/2006/relationships/hyperlink" Target="#'ECLIPSE API Catalog'!A2" TargetMode="External" Id="rId154" /><Relationship Type="http://schemas.openxmlformats.org/officeDocument/2006/relationships/hyperlink" Target="#'ECLIPSE API Catalog'!A15" TargetMode="External" Id="rId155" /><Relationship Type="http://schemas.openxmlformats.org/officeDocument/2006/relationships/hyperlink" Target="#'ECLIPSE API Catalog'!A12" TargetMode="External" Id="rId156" /><Relationship Type="http://schemas.openxmlformats.org/officeDocument/2006/relationships/hyperlink" Target="#'ECLIPSE API Catalog'!A5" TargetMode="External" Id="rId157" /><Relationship Type="http://schemas.openxmlformats.org/officeDocument/2006/relationships/hyperlink" Target="#'ECLIPSE API Catalog'!A2" TargetMode="External" Id="rId158" /><Relationship Type="http://schemas.openxmlformats.org/officeDocument/2006/relationships/hyperlink" Target="#'ECLIPSE API Catalog'!A18" TargetMode="External" Id="rId159" /><Relationship Type="http://schemas.openxmlformats.org/officeDocument/2006/relationships/hyperlink" Target="#'ECLIPSE API Catalog'!A18" TargetMode="External" Id="rId160" /><Relationship Type="http://schemas.openxmlformats.org/officeDocument/2006/relationships/hyperlink" Target="#'ECLIPSE API Catalog'!A18" TargetMode="External" Id="rId161" /><Relationship Type="http://schemas.openxmlformats.org/officeDocument/2006/relationships/hyperlink" Target="#'ECLIPSE API Catalog'!A18" TargetMode="External" Id="rId162" /><Relationship Type="http://schemas.openxmlformats.org/officeDocument/2006/relationships/hyperlink" Target="#'ECLIPSE API Catalog'!A18" TargetMode="External" Id="rId163" /><Relationship Type="http://schemas.openxmlformats.org/officeDocument/2006/relationships/hyperlink" Target="#'ECLIPSE API Catalog'!A18" TargetMode="External" Id="rId164" /><Relationship Type="http://schemas.openxmlformats.org/officeDocument/2006/relationships/hyperlink" Target="#'ECLIPSE API Catalog'!A18" TargetMode="External" Id="rId165" /><Relationship Type="http://schemas.openxmlformats.org/officeDocument/2006/relationships/hyperlink" Target="#'ECLIPSE API Catalog'!A18" TargetMode="External" Id="rId166" /><Relationship Type="http://schemas.openxmlformats.org/officeDocument/2006/relationships/hyperlink" Target="#'ECLIPSE API Catalog'!A18" TargetMode="External" Id="rId167" /><Relationship Type="http://schemas.openxmlformats.org/officeDocument/2006/relationships/hyperlink" Target="#'ECLIPSE API Catalog'!A18" TargetMode="External" Id="rId168" /><Relationship Type="http://schemas.openxmlformats.org/officeDocument/2006/relationships/hyperlink" Target="#'ECLIPSE API Catalog'!A18" TargetMode="External" Id="rId169" /><Relationship Type="http://schemas.openxmlformats.org/officeDocument/2006/relationships/hyperlink" Target="#'ECLIPSE API Catalog'!A18" TargetMode="External" Id="rId170" /><Relationship Type="http://schemas.openxmlformats.org/officeDocument/2006/relationships/hyperlink" Target="#'ECLIPSE API Catalog'!A18" TargetMode="External" Id="rId171" /><Relationship Type="http://schemas.openxmlformats.org/officeDocument/2006/relationships/hyperlink" Target="#'ECLIPSE API Catalog'!A18" TargetMode="External" Id="rId172" /><Relationship Type="http://schemas.openxmlformats.org/officeDocument/2006/relationships/hyperlink" Target="#'ECLIPSE API Catalog'!A18" TargetMode="External" Id="rId173" /><Relationship Type="http://schemas.openxmlformats.org/officeDocument/2006/relationships/hyperlink" Target="#'ECLIPSE API Catalog'!A18" TargetMode="External" Id="rId174" /><Relationship Type="http://schemas.openxmlformats.org/officeDocument/2006/relationships/hyperlink" Target="#'ECLIPSE API Catalog'!A18" TargetMode="External" Id="rId175" /><Relationship Type="http://schemas.openxmlformats.org/officeDocument/2006/relationships/hyperlink" Target="#'ECLIPSE API Catalog'!A18" TargetMode="External" Id="rId176" /><Relationship Type="http://schemas.openxmlformats.org/officeDocument/2006/relationships/hyperlink" Target="#'ECLIPSE API Catalog'!A18" TargetMode="External" Id="rId177" /><Relationship Type="http://schemas.openxmlformats.org/officeDocument/2006/relationships/hyperlink" Target="#'ECLIPSE API Catalog'!A29" TargetMode="External" Id="rId178" /><Relationship Type="http://schemas.openxmlformats.org/officeDocument/2006/relationships/hyperlink" Target="#'ECLIPSE API Catalog'!A28" TargetMode="External" Id="rId179" /><Relationship Type="http://schemas.openxmlformats.org/officeDocument/2006/relationships/hyperlink" Target="#'ECLIPSE API Catalog'!A29" TargetMode="External" Id="rId180" /><Relationship Type="http://schemas.openxmlformats.org/officeDocument/2006/relationships/hyperlink" Target="#'ECLIPSE API Catalog'!A29" TargetMode="External" Id="rId181" /><Relationship Type="http://schemas.openxmlformats.org/officeDocument/2006/relationships/hyperlink" Target="#'ECLIPSE API Catalog'!A29" TargetMode="External" Id="rId182" /><Relationship Type="http://schemas.openxmlformats.org/officeDocument/2006/relationships/hyperlink" Target="#'ECLIPSE API Catalog'!A29" TargetMode="External" Id="rId183" /><Relationship Type="http://schemas.openxmlformats.org/officeDocument/2006/relationships/hyperlink" Target="#'ECLIPSE API Catalog'!A29" TargetMode="External" Id="rId184" /><Relationship Type="http://schemas.openxmlformats.org/officeDocument/2006/relationships/hyperlink" Target="#'ECLIPSE API Catalog'!A29" TargetMode="External" Id="rId185" /><Relationship Type="http://schemas.openxmlformats.org/officeDocument/2006/relationships/hyperlink" Target="#'ECLIPSE API Catalog'!A29" TargetMode="External" Id="rId186" /><Relationship Type="http://schemas.openxmlformats.org/officeDocument/2006/relationships/hyperlink" Target="#'ECLIPSE API Catalog'!A29" TargetMode="External" Id="rId187" /><Relationship Type="http://schemas.openxmlformats.org/officeDocument/2006/relationships/hyperlink" Target="#'ECLIPSE API Catalog'!A29" TargetMode="External" Id="rId188" /><Relationship Type="http://schemas.openxmlformats.org/officeDocument/2006/relationships/hyperlink" Target="#'ECLIPSE API Catalog'!A29" TargetMode="External" Id="rId189" /><Relationship Type="http://schemas.openxmlformats.org/officeDocument/2006/relationships/hyperlink" Target="#'ECLIPSE API Catalog'!A29" TargetMode="External" Id="rId190" /><Relationship Type="http://schemas.openxmlformats.org/officeDocument/2006/relationships/hyperlink" Target="#'ECLIPSE API Catalog'!A29" TargetMode="External" Id="rId191" /><Relationship Type="http://schemas.openxmlformats.org/officeDocument/2006/relationships/hyperlink" Target="#'ECLIPSE API Catalog'!A29" TargetMode="External" Id="rId192" /><Relationship Type="http://schemas.openxmlformats.org/officeDocument/2006/relationships/hyperlink" Target="#'ECLIPSE API Catalog'!A28" TargetMode="External" Id="rId193" /><Relationship Type="http://schemas.openxmlformats.org/officeDocument/2006/relationships/hyperlink" Target="#'ECLIPSE API Catalog'!A28" TargetMode="External" Id="rId194" /><Relationship Type="http://schemas.openxmlformats.org/officeDocument/2006/relationships/hyperlink" Target="#'ECLIPSE API Catalog'!A28" TargetMode="External" Id="rId195" /><Relationship Type="http://schemas.openxmlformats.org/officeDocument/2006/relationships/hyperlink" Target="#'ECLIPSE API Catalog'!A29" TargetMode="External" Id="rId196" /><Relationship Type="http://schemas.openxmlformats.org/officeDocument/2006/relationships/hyperlink" Target="#'ECLIPSE API Catalog'!A29" TargetMode="External" Id="rId197" /><Relationship Type="http://schemas.openxmlformats.org/officeDocument/2006/relationships/hyperlink" Target="#'ECLIPSE API Catalog'!A29" TargetMode="External" Id="rId198" /><Relationship Type="http://schemas.openxmlformats.org/officeDocument/2006/relationships/hyperlink" Target="#'ECLIPSE API Catalog'!A29" TargetMode="External" Id="rId199" /><Relationship Type="http://schemas.openxmlformats.org/officeDocument/2006/relationships/hyperlink" Target="#'ECLIPSE API Catalog'!A29" TargetMode="External" Id="rId200" /><Relationship Type="http://schemas.openxmlformats.org/officeDocument/2006/relationships/hyperlink" Target="#'ECLIPSE API Catalog'!A29" TargetMode="External" Id="rId201" /><Relationship Type="http://schemas.openxmlformats.org/officeDocument/2006/relationships/hyperlink" Target="#'ECLIPSE API Catalog'!A29" TargetMode="External" Id="rId202" /><Relationship Type="http://schemas.openxmlformats.org/officeDocument/2006/relationships/hyperlink" Target="#'ECLIPSE API Catalog'!A29" TargetMode="External" Id="rId203" /><Relationship Type="http://schemas.openxmlformats.org/officeDocument/2006/relationships/hyperlink" Target="#'ECLIPSE API Catalog'!A28" TargetMode="External" Id="rId204" /><Relationship Type="http://schemas.openxmlformats.org/officeDocument/2006/relationships/hyperlink" Target="#'ECLIPSE API Catalog'!A28" TargetMode="External" Id="rId205" /><Relationship Type="http://schemas.openxmlformats.org/officeDocument/2006/relationships/hyperlink" Target="#'ECLIPSE API Catalog'!A28" TargetMode="External" Id="rId206" /><Relationship Type="http://schemas.openxmlformats.org/officeDocument/2006/relationships/hyperlink" Target="#'ECLIPSE API Catalog'!A28" TargetMode="External" Id="rId207" /><Relationship Type="http://schemas.openxmlformats.org/officeDocument/2006/relationships/hyperlink" Target="#'ECLIPSE API Catalog'!A28" TargetMode="External" Id="rId208" /><Relationship Type="http://schemas.openxmlformats.org/officeDocument/2006/relationships/hyperlink" Target="#'ECLIPSE API Catalog'!A28" TargetMode="External" Id="rId209" /><Relationship Type="http://schemas.openxmlformats.org/officeDocument/2006/relationships/hyperlink" Target="#'ECLIPSE API Catalog'!A28" TargetMode="External" Id="rId210" /><Relationship Type="http://schemas.openxmlformats.org/officeDocument/2006/relationships/hyperlink" Target="#'ECLIPSE API Catalog'!A28" TargetMode="External" Id="rId211" /><Relationship Type="http://schemas.openxmlformats.org/officeDocument/2006/relationships/hyperlink" Target="#'ECLIPSE API Catalog'!A28" TargetMode="External" Id="rId212" /><Relationship Type="http://schemas.openxmlformats.org/officeDocument/2006/relationships/hyperlink" Target="#'ECLIPSE API Catalog'!A28" TargetMode="External" Id="rId213" /><Relationship Type="http://schemas.openxmlformats.org/officeDocument/2006/relationships/hyperlink" Target="#'ECLIPSE API Catalog'!A28" TargetMode="External" Id="rId214" /><Relationship Type="http://schemas.openxmlformats.org/officeDocument/2006/relationships/hyperlink" Target="#'ECLIPSE API Catalog'!A28" TargetMode="External" Id="rId215" /><Relationship Type="http://schemas.openxmlformats.org/officeDocument/2006/relationships/hyperlink" Target="#'ECLIPSE API Catalog'!A28" TargetMode="External" Id="rId216" /><Relationship Type="http://schemas.openxmlformats.org/officeDocument/2006/relationships/hyperlink" Target="#'ECLIPSE API Catalog'!A28" TargetMode="External" Id="rId217" /><Relationship Type="http://schemas.openxmlformats.org/officeDocument/2006/relationships/hyperlink" Target="#'ECLIPSE API Catalog'!A28" TargetMode="External" Id="rId218" /><Relationship Type="http://schemas.openxmlformats.org/officeDocument/2006/relationships/hyperlink" Target="#'ECLIPSE API Catalog'!A28" TargetMode="External" Id="rId219" /><Relationship Type="http://schemas.openxmlformats.org/officeDocument/2006/relationships/hyperlink" Target="#'ECLIPSE API Catalog'!A28" TargetMode="External" Id="rId220" /><Relationship Type="http://schemas.openxmlformats.org/officeDocument/2006/relationships/hyperlink" Target="#'ECLIPSE API Catalog'!A28" TargetMode="External" Id="rId221" /><Relationship Type="http://schemas.openxmlformats.org/officeDocument/2006/relationships/hyperlink" Target="#'ECLIPSE API Catalog'!A28" TargetMode="External" Id="rId222" /><Relationship Type="http://schemas.openxmlformats.org/officeDocument/2006/relationships/hyperlink" Target="#'ECLIPSE API Catalog'!A28" TargetMode="External" Id="rId223" /><Relationship Type="http://schemas.openxmlformats.org/officeDocument/2006/relationships/hyperlink" Target="#'ECLIPSE API Catalog'!A28" TargetMode="External" Id="rId224" /><Relationship Type="http://schemas.openxmlformats.org/officeDocument/2006/relationships/hyperlink" Target="#'ECLIPSE API Catalog'!A28" TargetMode="External" Id="rId225" /><Relationship Type="http://schemas.openxmlformats.org/officeDocument/2006/relationships/hyperlink" Target="#'ECLIPSE API Catalog'!A28" TargetMode="External" Id="rId226" /><Relationship Type="http://schemas.openxmlformats.org/officeDocument/2006/relationships/hyperlink" Target="#'ECLIPSE API Catalog'!A28" TargetMode="External" Id="rId227" /><Relationship Type="http://schemas.openxmlformats.org/officeDocument/2006/relationships/hyperlink" Target="#'ECLIPSE API Catalog'!A28" TargetMode="External" Id="rId228" /><Relationship Type="http://schemas.openxmlformats.org/officeDocument/2006/relationships/hyperlink" Target="#'ECLIPSE API Catalog'!A28" TargetMode="External" Id="rId229" /><Relationship Type="http://schemas.openxmlformats.org/officeDocument/2006/relationships/hyperlink" Target="#'ECLIPSE API Catalog'!A28" TargetMode="External" Id="rId230" /><Relationship Type="http://schemas.openxmlformats.org/officeDocument/2006/relationships/hyperlink" Target="#'ECLIPSE API Catalog'!A28" TargetMode="External" Id="rId231" /><Relationship Type="http://schemas.openxmlformats.org/officeDocument/2006/relationships/hyperlink" Target="#'ECLIPSE API Catalog'!A28" TargetMode="External" Id="rId232" /><Relationship Type="http://schemas.openxmlformats.org/officeDocument/2006/relationships/hyperlink" Target="#'ECLIPSE API Catalog'!A28" TargetMode="External" Id="rId233" /><Relationship Type="http://schemas.openxmlformats.org/officeDocument/2006/relationships/hyperlink" Target="#'ECLIPSE API Catalog'!A28" TargetMode="External" Id="rId234" /><Relationship Type="http://schemas.openxmlformats.org/officeDocument/2006/relationships/hyperlink" Target="#'ECLIPSE API Catalog'!A27" TargetMode="External" Id="rId235" /><Relationship Type="http://schemas.openxmlformats.org/officeDocument/2006/relationships/hyperlink" Target="#'ECLIPSE API Catalog'!A27" TargetMode="External" Id="rId236" /><Relationship Type="http://schemas.openxmlformats.org/officeDocument/2006/relationships/hyperlink" Target="#'ECLIPSE API Catalog'!A27" TargetMode="External" Id="rId237" /><Relationship Type="http://schemas.openxmlformats.org/officeDocument/2006/relationships/hyperlink" Target="#'ECLIPSE API Catalog'!A27" TargetMode="External" Id="rId238" /><Relationship Type="http://schemas.openxmlformats.org/officeDocument/2006/relationships/hyperlink" Target="#'ECLIPSE API Catalog'!A27" TargetMode="External" Id="rId239" /><Relationship Type="http://schemas.openxmlformats.org/officeDocument/2006/relationships/hyperlink" Target="#'ECLIPSE API Catalog'!A27" TargetMode="External" Id="rId240" /><Relationship Type="http://schemas.openxmlformats.org/officeDocument/2006/relationships/hyperlink" Target="#'ECLIPSE API Catalog'!A28" TargetMode="External" Id="rId241" /><Relationship Type="http://schemas.openxmlformats.org/officeDocument/2006/relationships/hyperlink" Target="#'ECLIPSE API Catalog'!A21" TargetMode="External" Id="rId242" /><Relationship Type="http://schemas.openxmlformats.org/officeDocument/2006/relationships/hyperlink" Target="#'ECLIPSE API Catalog'!A27" TargetMode="External" Id="rId243" /><Relationship Type="http://schemas.openxmlformats.org/officeDocument/2006/relationships/hyperlink" Target="#'ECLIPSE API Catalog'!A28" TargetMode="External" Id="rId244" /><Relationship Type="http://schemas.openxmlformats.org/officeDocument/2006/relationships/hyperlink" Target="#'ECLIPSE API Catalog'!A27" TargetMode="External" Id="rId245" /><Relationship Type="http://schemas.openxmlformats.org/officeDocument/2006/relationships/hyperlink" Target="#'ECLIPSE API Catalog'!A29" TargetMode="External" Id="rId246" /><Relationship Type="http://schemas.openxmlformats.org/officeDocument/2006/relationships/hyperlink" Target="#'ECLIPSE API Catalog'!A27" TargetMode="External" Id="rId247" /><Relationship Type="http://schemas.openxmlformats.org/officeDocument/2006/relationships/hyperlink" Target="#'ECLIPSE API Catalog'!A28" TargetMode="External" Id="rId248" /><Relationship Type="http://schemas.openxmlformats.org/officeDocument/2006/relationships/hyperlink" Target="#'ECLIPSE API Catalog'!A27" TargetMode="External" Id="rId249" /><Relationship Type="http://schemas.openxmlformats.org/officeDocument/2006/relationships/hyperlink" Target="#'ECLIPSE API Catalog'!A27" TargetMode="External" Id="rId250" /><Relationship Type="http://schemas.openxmlformats.org/officeDocument/2006/relationships/hyperlink" Target="#'ECLIPSE API Catalog'!A31" TargetMode="External" Id="rId251" /><Relationship Type="http://schemas.openxmlformats.org/officeDocument/2006/relationships/hyperlink" Target="#'ECLIPSE API Catalog'!A28" TargetMode="External" Id="rId252" /><Relationship Type="http://schemas.openxmlformats.org/officeDocument/2006/relationships/hyperlink" Target="#'ECLIPSE API Catalog'!A27" TargetMode="External" Id="rId253" /><Relationship Type="http://schemas.openxmlformats.org/officeDocument/2006/relationships/hyperlink" Target="#'ECLIPSE API Catalog'!A27" TargetMode="External" Id="rId254" /><Relationship Type="http://schemas.openxmlformats.org/officeDocument/2006/relationships/hyperlink" Target="#'ECLIPSE API Catalog'!A27" TargetMode="External" Id="rId255" /><Relationship Type="http://schemas.openxmlformats.org/officeDocument/2006/relationships/hyperlink" Target="#'ECLIPSE API Catalog'!A27" TargetMode="External" Id="rId256" /><Relationship Type="http://schemas.openxmlformats.org/officeDocument/2006/relationships/hyperlink" Target="#'ECLIPSE API Catalog'!A27" TargetMode="External" Id="rId257" /><Relationship Type="http://schemas.openxmlformats.org/officeDocument/2006/relationships/hyperlink" Target="#'ECLIPSE API Catalog'!A27" TargetMode="External" Id="rId258" /><Relationship Type="http://schemas.openxmlformats.org/officeDocument/2006/relationships/hyperlink" Target="#'ECLIPSE API Catalog'!A27" TargetMode="External" Id="rId259" /><Relationship Type="http://schemas.openxmlformats.org/officeDocument/2006/relationships/hyperlink" Target="#'ECLIPSE API Catalog'!A29" TargetMode="External" Id="rId260" /><Relationship Type="http://schemas.openxmlformats.org/officeDocument/2006/relationships/hyperlink" Target="#'ECLIPSE API Catalog'!A27" TargetMode="External" Id="rId261" /><Relationship Type="http://schemas.openxmlformats.org/officeDocument/2006/relationships/hyperlink" Target="#'ECLIPSE API Catalog'!A27" TargetMode="External" Id="rId262" /><Relationship Type="http://schemas.openxmlformats.org/officeDocument/2006/relationships/hyperlink" Target="#'ECLIPSE API Catalog'!A29" TargetMode="External" Id="rId263" /><Relationship Type="http://schemas.openxmlformats.org/officeDocument/2006/relationships/hyperlink" Target="#'ECLIPSE API Catalog'!A28" TargetMode="External" Id="rId264" /><Relationship Type="http://schemas.openxmlformats.org/officeDocument/2006/relationships/hyperlink" Target="#'ECLIPSE API Catalog'!A29" TargetMode="External" Id="rId265" /><Relationship Type="http://schemas.openxmlformats.org/officeDocument/2006/relationships/hyperlink" Target="#'ECLIPSE API Catalog'!A27" TargetMode="External" Id="rId266" /><Relationship Type="http://schemas.openxmlformats.org/officeDocument/2006/relationships/hyperlink" Target="#'ECLIPSE API Catalog'!A27" TargetMode="External" Id="rId267" /><Relationship Type="http://schemas.openxmlformats.org/officeDocument/2006/relationships/hyperlink" Target="#'ECLIPSE API Catalog'!A29" TargetMode="External" Id="rId268" /><Relationship Type="http://schemas.openxmlformats.org/officeDocument/2006/relationships/hyperlink" Target="#'ECLIPSE API Catalog'!A28" TargetMode="External" Id="rId269" /><Relationship Type="http://schemas.openxmlformats.org/officeDocument/2006/relationships/hyperlink" Target="#'ECLIPSE API Catalog'!A27" TargetMode="External" Id="rId270" /><Relationship Type="http://schemas.openxmlformats.org/officeDocument/2006/relationships/hyperlink" Target="#'ECLIPSE API Catalog'!A21" TargetMode="External" Id="rId271" /><Relationship Type="http://schemas.openxmlformats.org/officeDocument/2006/relationships/hyperlink" Target="#'ECLIPSE API Catalog'!A21" TargetMode="External" Id="rId272" /><Relationship Type="http://schemas.openxmlformats.org/officeDocument/2006/relationships/hyperlink" Target="#'ECLIPSE API Catalog'!A21" TargetMode="External" Id="rId273" /><Relationship Type="http://schemas.openxmlformats.org/officeDocument/2006/relationships/hyperlink" Target="#'ECLIPSE API Catalog'!A21" TargetMode="External" Id="rId274" /><Relationship Type="http://schemas.openxmlformats.org/officeDocument/2006/relationships/hyperlink" Target="#'ECLIPSE API Catalog'!A21" TargetMode="External" Id="rId275" /><Relationship Type="http://schemas.openxmlformats.org/officeDocument/2006/relationships/hyperlink" Target="#'ECLIPSE API Catalog'!A21" TargetMode="External" Id="rId276" /><Relationship Type="http://schemas.openxmlformats.org/officeDocument/2006/relationships/hyperlink" Target="#'ECLIPSE API Catalog'!A21" TargetMode="External" Id="rId277" /><Relationship Type="http://schemas.openxmlformats.org/officeDocument/2006/relationships/hyperlink" Target="#'ECLIPSE API Catalog'!A21" TargetMode="External" Id="rId278" /><Relationship Type="http://schemas.openxmlformats.org/officeDocument/2006/relationships/hyperlink" Target="#'ECLIPSE API Catalog'!A21" TargetMode="External" Id="rId279" /><Relationship Type="http://schemas.openxmlformats.org/officeDocument/2006/relationships/hyperlink" Target="#'ECLIPSE API Catalog'!A21" TargetMode="External" Id="rId280" /><Relationship Type="http://schemas.openxmlformats.org/officeDocument/2006/relationships/hyperlink" Target="#'ECLIPSE API Catalog'!A21" TargetMode="External" Id="rId281" /><Relationship Type="http://schemas.openxmlformats.org/officeDocument/2006/relationships/hyperlink" Target="#'ECLIPSE API Catalog'!A21" TargetMode="External" Id="rId282" /><Relationship Type="http://schemas.openxmlformats.org/officeDocument/2006/relationships/hyperlink" Target="#'ECLIPSE API Catalog'!A21" TargetMode="External" Id="rId283" /><Relationship Type="http://schemas.openxmlformats.org/officeDocument/2006/relationships/hyperlink" Target="#'ECLIPSE API Catalog'!A21" TargetMode="External" Id="rId284" /><Relationship Type="http://schemas.openxmlformats.org/officeDocument/2006/relationships/hyperlink" Target="#'ECLIPSE API Catalog'!A21" TargetMode="External" Id="rId285" /><Relationship Type="http://schemas.openxmlformats.org/officeDocument/2006/relationships/hyperlink" Target="#'ECLIPSE API Catalog'!A21" TargetMode="External" Id="rId286" /><Relationship Type="http://schemas.openxmlformats.org/officeDocument/2006/relationships/hyperlink" Target="#'ECLIPSE API Catalog'!A21" TargetMode="External" Id="rId287" /><Relationship Type="http://schemas.openxmlformats.org/officeDocument/2006/relationships/hyperlink" Target="#'ECLIPSE API Catalog'!A21" TargetMode="External" Id="rId288" /><Relationship Type="http://schemas.openxmlformats.org/officeDocument/2006/relationships/hyperlink" Target="#'ECLIPSE API Catalog'!A21" TargetMode="External" Id="rId289" /><Relationship Type="http://schemas.openxmlformats.org/officeDocument/2006/relationships/hyperlink" Target="#'ECLIPSE API Catalog'!A21" TargetMode="External" Id="rId290" /><Relationship Type="http://schemas.openxmlformats.org/officeDocument/2006/relationships/hyperlink" Target="#'ECLIPSE API Catalog'!A23" TargetMode="External" Id="rId291" /><Relationship Type="http://schemas.openxmlformats.org/officeDocument/2006/relationships/hyperlink" Target="#'ECLIPSE API Catalog'!A23" TargetMode="External" Id="rId292" /><Relationship Type="http://schemas.openxmlformats.org/officeDocument/2006/relationships/hyperlink" Target="#'ECLIPSE API Catalog'!A23" TargetMode="External" Id="rId293" /><Relationship Type="http://schemas.openxmlformats.org/officeDocument/2006/relationships/hyperlink" Target="#'ECLIPSE API Catalog'!A23" TargetMode="External" Id="rId294" /><Relationship Type="http://schemas.openxmlformats.org/officeDocument/2006/relationships/hyperlink" Target="#'ECLIPSE API Catalog'!A23" TargetMode="External" Id="rId295" /><Relationship Type="http://schemas.openxmlformats.org/officeDocument/2006/relationships/hyperlink" Target="#'ECLIPSE API Catalog'!A23" TargetMode="External" Id="rId296" /><Relationship Type="http://schemas.openxmlformats.org/officeDocument/2006/relationships/hyperlink" Target="#'ECLIPSE API Catalog'!A23" TargetMode="External" Id="rId297" /><Relationship Type="http://schemas.openxmlformats.org/officeDocument/2006/relationships/hyperlink" Target="#'ECLIPSE API Catalog'!A23" TargetMode="External" Id="rId298" /><Relationship Type="http://schemas.openxmlformats.org/officeDocument/2006/relationships/hyperlink" Target="#'ECLIPSE API Catalog'!A23" TargetMode="External" Id="rId299" /><Relationship Type="http://schemas.openxmlformats.org/officeDocument/2006/relationships/hyperlink" Target="#'ECLIPSE API Catalog'!A23" TargetMode="External" Id="rId300" /><Relationship Type="http://schemas.openxmlformats.org/officeDocument/2006/relationships/hyperlink" Target="#'ECLIPSE API Catalog'!A23" TargetMode="External" Id="rId301" /><Relationship Type="http://schemas.openxmlformats.org/officeDocument/2006/relationships/hyperlink" Target="#'ECLIPSE API Catalog'!A23" TargetMode="External" Id="rId302" /><Relationship Type="http://schemas.openxmlformats.org/officeDocument/2006/relationships/hyperlink" Target="#'ECLIPSE API Catalog'!A23" TargetMode="External" Id="rId303" /><Relationship Type="http://schemas.openxmlformats.org/officeDocument/2006/relationships/hyperlink" Target="#'ECLIPSE API Catalog'!A23" TargetMode="External" Id="rId304" /><Relationship Type="http://schemas.openxmlformats.org/officeDocument/2006/relationships/hyperlink" Target="#'ECLIPSE API Catalog'!A23" TargetMode="External" Id="rId305" /><Relationship Type="http://schemas.openxmlformats.org/officeDocument/2006/relationships/hyperlink" Target="#'ECLIPSE API Catalog'!A23" TargetMode="External" Id="rId306" /></Relationships>
</file>

<file path=xl/worksheets/_rels/sheet7.xml.rels><Relationships xmlns="http://schemas.openxmlformats.org/package/2006/relationships"><Relationship Type="http://schemas.openxmlformats.org/officeDocument/2006/relationships/hyperlink" Target="#'Test Cases'!A1" TargetMode="External" Id="rId1" /><Relationship Type="http://schemas.openxmlformats.org/officeDocument/2006/relationships/hyperlink" Target="#'Test Cases'!A1" TargetMode="External" Id="rId2" /><Relationship Type="http://schemas.openxmlformats.org/officeDocument/2006/relationships/hyperlink" Target="#'Test Cases'!A1" TargetMode="External" Id="rId3" /><Relationship Type="http://schemas.openxmlformats.org/officeDocument/2006/relationships/hyperlink" Target="#'Test Cases'!A1" TargetMode="External" Id="rId4" /><Relationship Type="http://schemas.openxmlformats.org/officeDocument/2006/relationships/hyperlink" Target="#'Test Cases'!A1" TargetMode="External" Id="rId5" /><Relationship Type="http://schemas.openxmlformats.org/officeDocument/2006/relationships/hyperlink" Target="#'Test Cases'!A1" TargetMode="External" Id="rId6" /><Relationship Type="http://schemas.openxmlformats.org/officeDocument/2006/relationships/hyperlink" Target="#'Test Cases'!A1" TargetMode="External" Id="rId7" /><Relationship Type="http://schemas.openxmlformats.org/officeDocument/2006/relationships/hyperlink" Target="#'Test Cases'!A1" TargetMode="External" Id="rId8" /><Relationship Type="http://schemas.openxmlformats.org/officeDocument/2006/relationships/hyperlink" Target="#'Test Cases'!A1" TargetMode="External" Id="rId9" /><Relationship Type="http://schemas.openxmlformats.org/officeDocument/2006/relationships/hyperlink" Target="#'Test Cases'!A1" TargetMode="External" Id="rId10" /><Relationship Type="http://schemas.openxmlformats.org/officeDocument/2006/relationships/hyperlink" Target="#'Test Cases'!A1" TargetMode="External" Id="rId11" /><Relationship Type="http://schemas.openxmlformats.org/officeDocument/2006/relationships/hyperlink" Target="#'Test Cases'!A1" TargetMode="External" Id="rId12" /><Relationship Type="http://schemas.openxmlformats.org/officeDocument/2006/relationships/hyperlink" Target="#'Test Cases'!A1" TargetMode="External" Id="rId13" /><Relationship Type="http://schemas.openxmlformats.org/officeDocument/2006/relationships/hyperlink" Target="#'Test Cases'!A1" TargetMode="External" Id="rId14" /><Relationship Type="http://schemas.openxmlformats.org/officeDocument/2006/relationships/hyperlink" Target="#'Test Cases'!A1" TargetMode="External" Id="rId15" /><Relationship Type="http://schemas.openxmlformats.org/officeDocument/2006/relationships/hyperlink" Target="#'Test Cases'!A1" TargetMode="External" Id="rId16" /><Relationship Type="http://schemas.openxmlformats.org/officeDocument/2006/relationships/hyperlink" Target="#'Test Cases'!A1" TargetMode="External" Id="rId17" /><Relationship Type="http://schemas.openxmlformats.org/officeDocument/2006/relationships/hyperlink" Target="#'Test Cases'!A1" TargetMode="External" Id="rId18" /><Relationship Type="http://schemas.openxmlformats.org/officeDocument/2006/relationships/hyperlink" Target="#'Test Cases'!A1" TargetMode="External" Id="rId19" /><Relationship Type="http://schemas.openxmlformats.org/officeDocument/2006/relationships/hyperlink" Target="#'Test Cases'!A1" TargetMode="External" Id="rId20" /><Relationship Type="http://schemas.openxmlformats.org/officeDocument/2006/relationships/hyperlink" Target="#'Test Cases'!A1" TargetMode="External" Id="rId21" /><Relationship Type="http://schemas.openxmlformats.org/officeDocument/2006/relationships/hyperlink" Target="#'Test Cases'!A1" TargetMode="External" Id="rId22" /><Relationship Type="http://schemas.openxmlformats.org/officeDocument/2006/relationships/hyperlink" Target="#'Test Cases'!A1" TargetMode="External" Id="rId23" /><Relationship Type="http://schemas.openxmlformats.org/officeDocument/2006/relationships/hyperlink" Target="#'Test Cases'!A1" TargetMode="External" Id="rId24" /><Relationship Type="http://schemas.openxmlformats.org/officeDocument/2006/relationships/hyperlink" Target="#'Test Cases'!A1" TargetMode="External" Id="rId25" /><Relationship Type="http://schemas.openxmlformats.org/officeDocument/2006/relationships/hyperlink" Target="#'Test Cases'!A1" TargetMode="External" Id="rId26" /><Relationship Type="http://schemas.openxmlformats.org/officeDocument/2006/relationships/hyperlink" Target="#'Test Cases'!A1" TargetMode="External" Id="rId27" /><Relationship Type="http://schemas.openxmlformats.org/officeDocument/2006/relationships/hyperlink" Target="#'Test Cases'!A1" TargetMode="External" Id="rId28" /><Relationship Type="http://schemas.openxmlformats.org/officeDocument/2006/relationships/hyperlink" Target="#'Test Cases'!A1" TargetMode="External" Id="rId29" /><Relationship Type="http://schemas.openxmlformats.org/officeDocument/2006/relationships/hyperlink" Target="#'Test Cases'!A1" TargetMode="External" Id="rId30" /><Relationship Type="http://schemas.openxmlformats.org/officeDocument/2006/relationships/hyperlink" Target="#'Test Cases'!A1" TargetMode="External" Id="rId31" /><Relationship Type="http://schemas.openxmlformats.org/officeDocument/2006/relationships/hyperlink" Target="#'Test Cases'!A1" TargetMode="External" Id="rId32" /><Relationship Type="http://schemas.openxmlformats.org/officeDocument/2006/relationships/hyperlink" Target="#'Test Cases'!A1" TargetMode="External" Id="rId33" /><Relationship Type="http://schemas.openxmlformats.org/officeDocument/2006/relationships/hyperlink" Target="#'Test Cases'!A1" TargetMode="External" Id="rId34" /><Relationship Type="http://schemas.openxmlformats.org/officeDocument/2006/relationships/hyperlink" Target="#'Test Cases'!A1" TargetMode="External" Id="rId35" /><Relationship Type="http://schemas.openxmlformats.org/officeDocument/2006/relationships/hyperlink" Target="#'Test Cases'!A1" TargetMode="External" Id="rId36" /><Relationship Type="http://schemas.openxmlformats.org/officeDocument/2006/relationships/hyperlink" Target="#'Test Cases'!A1" TargetMode="External" Id="rId37" /><Relationship Type="http://schemas.openxmlformats.org/officeDocument/2006/relationships/hyperlink" Target="#'Test Cases'!A1" TargetMode="External" Id="rId38" /><Relationship Type="http://schemas.openxmlformats.org/officeDocument/2006/relationships/hyperlink" Target="#'Test Cases'!A1" TargetMode="External" Id="rId39" /><Relationship Type="http://schemas.openxmlformats.org/officeDocument/2006/relationships/hyperlink" Target="#'Test Cases'!A1" TargetMode="External" Id="rId40" /><Relationship Type="http://schemas.openxmlformats.org/officeDocument/2006/relationships/hyperlink" Target="#'Test Cases'!A1" TargetMode="External" Id="rId41" /><Relationship Type="http://schemas.openxmlformats.org/officeDocument/2006/relationships/hyperlink" Target="#'Test Cases'!A1" TargetMode="External" Id="rId42" /><Relationship Type="http://schemas.openxmlformats.org/officeDocument/2006/relationships/hyperlink" Target="#'Test Cases'!A1" TargetMode="External" Id="rId43" /><Relationship Type="http://schemas.openxmlformats.org/officeDocument/2006/relationships/hyperlink" Target="#'Test Cases'!A1" TargetMode="External" Id="rId44" /><Relationship Type="http://schemas.openxmlformats.org/officeDocument/2006/relationships/hyperlink" Target="#'Test Cases'!A1" TargetMode="External" Id="rId45" /><Relationship Type="http://schemas.openxmlformats.org/officeDocument/2006/relationships/hyperlink" Target="#'Test Cases'!A1" TargetMode="External" Id="rId46" /><Relationship Type="http://schemas.openxmlformats.org/officeDocument/2006/relationships/hyperlink" Target="#'Test Cases'!A1" TargetMode="External" Id="rId47" /><Relationship Type="http://schemas.openxmlformats.org/officeDocument/2006/relationships/hyperlink" Target="#'Test Cases'!A1" TargetMode="External" Id="rId48" /><Relationship Type="http://schemas.openxmlformats.org/officeDocument/2006/relationships/hyperlink" Target="#'Test Cases'!A1" TargetMode="External" Id="rId49" /><Relationship Type="http://schemas.openxmlformats.org/officeDocument/2006/relationships/hyperlink" Target="#'Test Cases'!A1" TargetMode="External" Id="rId50" /><Relationship Type="http://schemas.openxmlformats.org/officeDocument/2006/relationships/hyperlink" Target="#'Test Cases'!A1" TargetMode="External" Id="rId51" /><Relationship Type="http://schemas.openxmlformats.org/officeDocument/2006/relationships/hyperlink" Target="#'Test Cases'!A1" TargetMode="External" Id="rId52" /><Relationship Type="http://schemas.openxmlformats.org/officeDocument/2006/relationships/hyperlink" Target="#'Test Cases'!A1" TargetMode="External" Id="rId53" /><Relationship Type="http://schemas.openxmlformats.org/officeDocument/2006/relationships/hyperlink" Target="#'Test Cases'!A1" TargetMode="External" Id="rId54" /><Relationship Type="http://schemas.openxmlformats.org/officeDocument/2006/relationships/hyperlink" Target="#'Test Cases'!A1" TargetMode="External" Id="rId55" /><Relationship Type="http://schemas.openxmlformats.org/officeDocument/2006/relationships/hyperlink" Target="#'Test Cases'!A1" TargetMode="External" Id="rId56" /></Relationships>
</file>

<file path=xl/worksheets/sheet1.xml><?xml version="1.0" encoding="utf-8"?>
<worksheet xmlns="http://schemas.openxmlformats.org/spreadsheetml/2006/main">
  <sheetPr>
    <outlinePr summaryBelow="1" summaryRight="1"/>
    <pageSetUpPr/>
  </sheetPr>
  <dimension ref="A1:F16"/>
  <sheetViews>
    <sheetView workbookViewId="0">
      <selection activeCell="D19" sqref="D19"/>
    </sheetView>
  </sheetViews>
  <sheetFormatPr baseColWidth="8" defaultRowHeight="13.8"/>
  <cols>
    <col width="120" customWidth="1" style="2" min="1" max="1"/>
  </cols>
  <sheetData>
    <row r="1" ht="25.8" customHeight="1" s="2">
      <c r="A1" s="1" t="inlineStr">
        <is>
          <t>NGA Batch 1 QA Test Pack</t>
        </is>
      </c>
    </row>
    <row r="3" ht="14.4" customHeight="1" s="2">
      <c r="A3" s="3" t="inlineStr">
        <is>
          <t>Purpose</t>
        </is>
      </c>
      <c r="B3" s="19" t="inlineStr">
        <is>
          <t>Generated test scenarios and detailed test cases based on all six Batch 1 source matrices.</t>
        </is>
      </c>
    </row>
    <row r="4" ht="14.4" customHeight="1" s="2">
      <c r="A4" s="3" t="inlineStr">
        <is>
          <t>Scope</t>
        </is>
      </c>
      <c r="B4" s="19" t="inlineStr">
        <is>
          <t>Acct Dashboard Financing, Acct Dashboard Non-Financing, App Dashboard, A&amp;A, Local Transfer, Scan &amp; pay</t>
        </is>
      </c>
    </row>
    <row r="5" ht="14.4" customHeight="1" s="2">
      <c r="A5" s="3" t="inlineStr">
        <is>
          <t>How to use</t>
        </is>
      </c>
      <c r="B5" s="19" t="inlineStr">
        <is>
          <t>Filter Test Cases by Module, Journey, Type, Priority, or Execution Status. Update Actual Result, Defect ID, and Notes during execution.</t>
        </is>
      </c>
    </row>
    <row r="6" ht="14.4" customHeight="1" s="2">
      <c r="A6" s="3" t="inlineStr">
        <is>
          <t>Coverage approach</t>
        </is>
      </c>
      <c r="B6" s="19" t="inlineStr">
        <is>
          <t>Each journey includes entry/eligibility, authentication, mapped process steps, successful completion, and failure/retry coverage.</t>
        </is>
      </c>
    </row>
    <row r="7" ht="14.4" customHeight="1" s="2">
      <c r="A7" s="3" t="inlineStr">
        <is>
          <t>Important</t>
        </is>
      </c>
      <c r="B7" s="19" t="inlineStr">
        <is>
          <t>Rows marked in Open Questions require PO/BA confirmation before final execution or sign-off.</t>
        </is>
      </c>
    </row>
    <row r="8" ht="14.4" customHeight="1" s="2">
      <c r="A8" s="3" t="inlineStr">
        <is>
          <t>Execution status values</t>
        </is>
      </c>
      <c r="B8" s="19" t="inlineStr">
        <is>
          <t>Not Run, Pass, Fail, Blocked, Not Applicable</t>
        </is>
      </c>
    </row>
    <row r="9" ht="14.4" customHeight="1" s="2">
      <c r="A9" s="3" t="inlineStr">
        <is>
          <t>Assumptions</t>
        </is>
      </c>
      <c r="B9" s="19" t="inlineStr">
        <is>
          <t>Test cases are derived from the supplied matrix. Detailed UI copy, API payloads, field-level validation, device/OS permutations, and exact backend codes require the relevant FSDs and design specifications.</t>
        </is>
      </c>
    </row>
    <row r="11">
      <c r="A11" s="20" t="inlineStr">
        <is>
          <t>API Traceability</t>
        </is>
      </c>
    </row>
    <row r="12">
      <c r="A12" s="19" t="inlineStr">
        <is>
          <t>Primary sources: the applicable Account Dashboard or Maintenance DDD API Design workbook is searched first.</t>
        </is>
      </c>
    </row>
    <row r="13">
      <c r="A13" s="19" t="inlineStr">
        <is>
          <t>Fallback source: the Common API Design workbook is used only when no defensible primary mapping is available.</t>
        </is>
      </c>
    </row>
    <row r="14">
      <c r="A14" s="19" t="inlineStr">
        <is>
          <t>Unmapped cases have no defensible API mapping in the supplied sources; confidence should be reviewed before execution or sign-off.</t>
        </is>
      </c>
    </row>
    <row r="15">
      <c r="A15" s="19" t="inlineStr">
        <is>
          <t>Counts: 306 primary, 0 fallback, 0 mixed, 0 unmapped; traceability 100.0%.</t>
        </is>
      </c>
    </row>
    <row r="16">
      <c r="A16" s="19" t="inlineStr">
        <is>
          <t>Source gaps: ECLIPSE_Maintenance_DDD_API_Design_v1.xlsx: source could not be parsed (File is not a zip file).</t>
        </is>
      </c>
    </row>
  </sheetData>
  <mergeCells count="8">
    <mergeCell ref="B4:F4"/>
    <mergeCell ref="B7:F7"/>
    <mergeCell ref="B6:F6"/>
    <mergeCell ref="A1:F1"/>
    <mergeCell ref="B3:F3"/>
    <mergeCell ref="B5:F5"/>
    <mergeCell ref="B8:F8"/>
    <mergeCell ref="B9:F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M10" sqref="M10"/>
    </sheetView>
  </sheetViews>
  <sheetFormatPr baseColWidth="8" defaultRowHeight="13.8"/>
  <sheetData>
    <row r="1" ht="23.4" customHeight="1" s="2">
      <c r="A1" s="5" t="inlineStr">
        <is>
          <t>Batch 1 Coverage Summary</t>
        </is>
      </c>
    </row>
    <row r="3" ht="14.4" customHeight="1" s="2">
      <c r="A3" s="6" t="inlineStr">
        <is>
          <t>Module</t>
        </is>
      </c>
      <c r="B3" s="6" t="inlineStr">
        <is>
          <t>Scenarios</t>
        </is>
      </c>
      <c r="C3" s="6" t="inlineStr">
        <is>
          <t>Test Cases</t>
        </is>
      </c>
      <c r="D3" s="6" t="inlineStr">
        <is>
          <t>High Priority</t>
        </is>
      </c>
      <c r="E3" s="6" t="inlineStr">
        <is>
          <t>Security Cases</t>
        </is>
      </c>
      <c r="F3" s="6" t="inlineStr">
        <is>
          <t>Open Questions</t>
        </is>
      </c>
      <c r="G3" s="6" t="inlineStr">
        <is>
          <t>Passed</t>
        </is>
      </c>
      <c r="H3" s="6" t="inlineStr">
        <is>
          <t>Failed</t>
        </is>
      </c>
    </row>
    <row r="4">
      <c r="A4" s="7" t="inlineStr">
        <is>
          <t>Acct Dashboard Financing</t>
        </is>
      </c>
      <c r="B4" s="7">
        <f>COUNTIF('[1]Test Scenarios'!$B:$B,A4)</f>
        <v/>
      </c>
      <c r="C4" s="7">
        <f>COUNTIF('[1]Test Cases'!$C:$C,A4)</f>
        <v/>
      </c>
      <c r="D4" s="7">
        <f>COUNTIFS('[1]Test Cases'!$C:$C,A4,'[1]Test Cases'!$G:$G,"High")</f>
        <v/>
      </c>
      <c r="E4" s="7">
        <f>COUNTIFS('[1]Test Cases'!$C:$C,A4,'[1]Test Cases'!$F:$F,"*Security*")</f>
        <v/>
      </c>
      <c r="F4" s="7">
        <f>COUNTIF('[1]Open Questions'!$B:$B,A4)</f>
        <v/>
      </c>
      <c r="G4" s="7">
        <f>COUNTIFS('[1]Test Cases'!$C:$C,A4,'[1]Test Cases'!$O:$O,"Pass")</f>
        <v/>
      </c>
      <c r="H4" s="7">
        <f>COUNTIFS('[1]Test Cases'!$C:$C,A4,'[1]Test Cases'!$O:$O,"Fail")</f>
        <v/>
      </c>
    </row>
    <row r="5">
      <c r="A5" s="7" t="inlineStr">
        <is>
          <t>Acct Dashboard Non-Financing</t>
        </is>
      </c>
      <c r="B5" s="7">
        <f>COUNTIF('[1]Test Scenarios'!$B:$B,A5)</f>
        <v/>
      </c>
      <c r="C5" s="7">
        <f>COUNTIF('[1]Test Cases'!$C:$C,A5)</f>
        <v/>
      </c>
      <c r="D5" s="7">
        <f>COUNTIFS('[1]Test Cases'!$C:$C,A5,'[1]Test Cases'!$G:$G,"High")</f>
        <v/>
      </c>
      <c r="E5" s="7">
        <f>COUNTIFS('[1]Test Cases'!$C:$C,A5,'[1]Test Cases'!$F:$F,"*Security*")</f>
        <v/>
      </c>
      <c r="F5" s="7">
        <f>COUNTIF('[1]Open Questions'!$B:$B,A5)</f>
        <v/>
      </c>
      <c r="G5" s="7">
        <f>COUNTIFS('[1]Test Cases'!$C:$C,A5,'[1]Test Cases'!$O:$O,"Pass")</f>
        <v/>
      </c>
      <c r="H5" s="7">
        <f>COUNTIFS('[1]Test Cases'!$C:$C,A5,'[1]Test Cases'!$O:$O,"Fail")</f>
        <v/>
      </c>
    </row>
    <row r="6">
      <c r="A6" s="7" t="inlineStr">
        <is>
          <t>App Dashboard</t>
        </is>
      </c>
      <c r="B6" s="7">
        <f>COUNTIF('[1]Test Scenarios'!$B:$B,A6)</f>
        <v/>
      </c>
      <c r="C6" s="7">
        <f>COUNTIF('[1]Test Cases'!$C:$C,A6)</f>
        <v/>
      </c>
      <c r="D6" s="7">
        <f>COUNTIFS('[1]Test Cases'!$C:$C,A6,'[1]Test Cases'!$G:$G,"High")</f>
        <v/>
      </c>
      <c r="E6" s="7">
        <f>COUNTIFS('[1]Test Cases'!$C:$C,A6,'[1]Test Cases'!$F:$F,"*Security*")</f>
        <v/>
      </c>
      <c r="F6" s="7">
        <f>COUNTIF('[1]Open Questions'!$B:$B,A6)</f>
        <v/>
      </c>
      <c r="G6" s="7">
        <f>COUNTIFS('[1]Test Cases'!$C:$C,A6,'[1]Test Cases'!$O:$O,"Pass")</f>
        <v/>
      </c>
      <c r="H6" s="7">
        <f>COUNTIFS('[1]Test Cases'!$C:$C,A6,'[1]Test Cases'!$O:$O,"Fail")</f>
        <v/>
      </c>
    </row>
    <row r="7">
      <c r="A7" s="7" t="inlineStr">
        <is>
          <t>A&amp;A</t>
        </is>
      </c>
      <c r="B7" s="7">
        <f>COUNTIF('[1]Test Scenarios'!$B:$B,A7)</f>
        <v/>
      </c>
      <c r="C7" s="7">
        <f>COUNTIF('[1]Test Cases'!$C:$C,A7)</f>
        <v/>
      </c>
      <c r="D7" s="7">
        <f>COUNTIFS('[1]Test Cases'!$C:$C,A7,'[1]Test Cases'!$G:$G,"High")</f>
        <v/>
      </c>
      <c r="E7" s="7">
        <f>COUNTIFS('[1]Test Cases'!$C:$C,A7,'[1]Test Cases'!$F:$F,"*Security*")</f>
        <v/>
      </c>
      <c r="F7" s="7">
        <f>COUNTIF('[1]Open Questions'!$B:$B,A7)</f>
        <v/>
      </c>
      <c r="G7" s="7">
        <f>COUNTIFS('[1]Test Cases'!$C:$C,A7,'[1]Test Cases'!$O:$O,"Pass")</f>
        <v/>
      </c>
      <c r="H7" s="7">
        <f>COUNTIFS('[1]Test Cases'!$C:$C,A7,'[1]Test Cases'!$O:$O,"Fail")</f>
        <v/>
      </c>
    </row>
    <row r="8">
      <c r="A8" s="7" t="inlineStr">
        <is>
          <t>Local Transfer</t>
        </is>
      </c>
      <c r="B8" s="7">
        <f>COUNTIF('[1]Test Scenarios'!$B:$B,A8)</f>
        <v/>
      </c>
      <c r="C8" s="7">
        <f>COUNTIF('[1]Test Cases'!$C:$C,A8)</f>
        <v/>
      </c>
      <c r="D8" s="7">
        <f>COUNTIFS('[1]Test Cases'!$C:$C,A8,'[1]Test Cases'!$G:$G,"High")</f>
        <v/>
      </c>
      <c r="E8" s="7">
        <f>COUNTIFS('[1]Test Cases'!$C:$C,A8,'[1]Test Cases'!$F:$F,"*Security*")</f>
        <v/>
      </c>
      <c r="F8" s="7">
        <f>COUNTIF('[1]Open Questions'!$B:$B,A8)</f>
        <v/>
      </c>
      <c r="G8" s="7">
        <f>COUNTIFS('[1]Test Cases'!$C:$C,A8,'[1]Test Cases'!$O:$O,"Pass")</f>
        <v/>
      </c>
      <c r="H8" s="7">
        <f>COUNTIFS('[1]Test Cases'!$C:$C,A8,'[1]Test Cases'!$O:$O,"Fail")</f>
        <v/>
      </c>
    </row>
    <row r="9">
      <c r="A9" s="7" t="inlineStr">
        <is>
          <t>Scan &amp; pay</t>
        </is>
      </c>
      <c r="B9" s="7">
        <f>COUNTIF('[1]Test Scenarios'!$B:$B,A9)</f>
        <v/>
      </c>
      <c r="C9" s="7">
        <f>COUNTIF('[1]Test Cases'!$C:$C,A9)</f>
        <v/>
      </c>
      <c r="D9" s="7">
        <f>COUNTIFS('[1]Test Cases'!$C:$C,A9,'[1]Test Cases'!$G:$G,"High")</f>
        <v/>
      </c>
      <c r="E9" s="7">
        <f>COUNTIFS('[1]Test Cases'!$C:$C,A9,'[1]Test Cases'!$F:$F,"*Security*")</f>
        <v/>
      </c>
      <c r="F9" s="7">
        <f>COUNTIF('[1]Open Questions'!$B:$B,A9)</f>
        <v/>
      </c>
      <c r="G9" s="7">
        <f>COUNTIFS('[1]Test Cases'!$C:$C,A9,'[1]Test Cases'!$O:$O,"Pass")</f>
        <v/>
      </c>
      <c r="H9" s="7">
        <f>COUNTIFS('[1]Test Cases'!$C:$C,A9,'[1]Test Cases'!$O:$O,"Fail")</f>
        <v/>
      </c>
    </row>
    <row r="10" ht="14.4" customHeight="1" s="2">
      <c r="A10" s="8" t="inlineStr">
        <is>
          <t>TOTAL</t>
        </is>
      </c>
      <c r="B10" s="8">
        <f>SUM(B4:B9)</f>
        <v/>
      </c>
      <c r="C10" s="8">
        <f>SUM(C4:C9)</f>
        <v/>
      </c>
      <c r="D10" s="8">
        <f>SUM(D4:D9)</f>
        <v/>
      </c>
      <c r="E10" s="8">
        <f>SUM(E4:E9)</f>
        <v/>
      </c>
      <c r="F10" s="8">
        <f>SUM(F4:F9)</f>
        <v/>
      </c>
      <c r="G10" s="8">
        <f>SUM(G4:G9)</f>
        <v/>
      </c>
      <c r="H10" s="8">
        <f>SUM(H4:H9)</f>
        <v/>
      </c>
    </row>
  </sheetData>
  <mergeCells count="1">
    <mergeCell ref="A1:H1"/>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256"/>
  <sheetViews>
    <sheetView workbookViewId="0">
      <selection activeCell="O2" sqref="O2"/>
    </sheetView>
  </sheetViews>
  <sheetFormatPr baseColWidth="8" defaultRowHeight="13.8"/>
  <sheetData>
    <row r="1" ht="43.2" customHeight="1" s="2">
      <c r="A1" s="9" t="inlineStr">
        <is>
          <t>Scenario ID</t>
        </is>
      </c>
      <c r="B1" s="10" t="inlineStr">
        <is>
          <t>Module</t>
        </is>
      </c>
      <c r="C1" s="10" t="inlineStr">
        <is>
          <t>Journey</t>
        </is>
      </c>
      <c r="D1" s="10" t="inlineStr">
        <is>
          <t>Product / Service</t>
        </is>
      </c>
      <c r="E1" s="10" t="inlineStr">
        <is>
          <t>Test Scenario</t>
        </is>
      </c>
      <c r="F1" s="10" t="inlineStr">
        <is>
          <t>Objective</t>
        </is>
      </c>
      <c r="G1" s="10" t="inlineStr">
        <is>
          <t>Test Type</t>
        </is>
      </c>
      <c r="H1" s="10" t="inlineStr">
        <is>
          <t>Priority</t>
        </is>
      </c>
      <c r="I1" s="10" t="inlineStr">
        <is>
          <t>Source Reference</t>
        </is>
      </c>
      <c r="J1" s="11" t="inlineStr">
        <is>
          <t>Status</t>
        </is>
      </c>
    </row>
    <row r="2" ht="151.8" customHeight="1" s="2">
      <c r="A2" s="12" t="inlineStr">
        <is>
          <t>TS-B1-001</t>
        </is>
      </c>
      <c r="B2" s="13" t="inlineStr">
        <is>
          <t>Acct Dashboard Financing</t>
        </is>
      </c>
      <c r="C2" s="13" t="inlineStr">
        <is>
          <t>Dashboard - Loan</t>
        </is>
      </c>
      <c r="D2" s="13" t="inlineStr">
        <is>
          <t>Personal Loan (Conventional)</t>
        </is>
      </c>
      <c r="E2" s="13" t="inlineStr">
        <is>
          <t>Access and open Personal Loan (Conventional)</t>
        </is>
      </c>
      <c r="F2" s="13" t="inlineStr">
        <is>
          <t>Validate the configured entry point, customer eligibility, and initial page for Dashboard - Loan.</t>
        </is>
      </c>
      <c r="G2" s="13" t="inlineStr">
        <is>
          <t>Functional</t>
        </is>
      </c>
      <c r="H2" s="13" t="inlineStr">
        <is>
          <t>Medium</t>
        </is>
      </c>
      <c r="I2" s="13" t="inlineStr">
        <is>
          <t>Acct Dashboard Financing!B1:B62</t>
        </is>
      </c>
      <c r="J2" s="14" t="inlineStr">
        <is>
          <t>Draft</t>
        </is>
      </c>
    </row>
    <row r="3" ht="124.2" customHeight="1" s="2">
      <c r="A3" s="15" t="inlineStr">
        <is>
          <t>TS-B1-002</t>
        </is>
      </c>
      <c r="B3" s="16" t="inlineStr">
        <is>
          <t>Acct Dashboard Financing</t>
        </is>
      </c>
      <c r="C3" s="16" t="inlineStr">
        <is>
          <t>Dashboard - Loan</t>
        </is>
      </c>
      <c r="D3" s="16" t="inlineStr">
        <is>
          <t>Personal Loan (Conventional)</t>
        </is>
      </c>
      <c r="E3" s="16" t="inlineStr">
        <is>
          <t>Authentication and authorisation for Personal Loan (Conventional)</t>
        </is>
      </c>
      <c r="F3" s="16" t="inlineStr">
        <is>
          <t>Validate all authentication requirements stated for Dashboard - Loan.</t>
        </is>
      </c>
      <c r="G3" s="16" t="inlineStr">
        <is>
          <t>Security</t>
        </is>
      </c>
      <c r="H3" s="16" t="inlineStr">
        <is>
          <t>High</t>
        </is>
      </c>
      <c r="I3" s="16" t="inlineStr">
        <is>
          <t>Acct Dashboard Financing!B1:B62</t>
        </is>
      </c>
      <c r="J3" s="17" t="inlineStr">
        <is>
          <t>Draft</t>
        </is>
      </c>
    </row>
    <row r="4" ht="220.8" customHeight="1" s="2">
      <c r="A4" s="12" t="inlineStr">
        <is>
          <t>TS-B1-003</t>
        </is>
      </c>
      <c r="B4" s="13" t="inlineStr">
        <is>
          <t>Acct Dashboard Financing</t>
        </is>
      </c>
      <c r="C4" s="13" t="inlineStr">
        <is>
          <t>Dashboard - Loan</t>
        </is>
      </c>
      <c r="D4" s="13" t="inlineStr">
        <is>
          <t>Personal Loan (Conventional)</t>
        </is>
      </c>
      <c r="E4" s="13" t="inlineStr">
        <is>
          <t>Validate Common Rules Reference for Personal Loan (Conventional)</t>
        </is>
      </c>
      <c r="F4" s="13" t="inlineStr">
        <is>
          <t>Validate the requirement mapped to Common Rules Reference: Refer to Account Dashboard Common FSD</t>
        </is>
      </c>
      <c r="G4" s="13" t="inlineStr">
        <is>
          <t>UI / Functional</t>
        </is>
      </c>
      <c r="H4" s="13" t="inlineStr">
        <is>
          <t>Medium</t>
        </is>
      </c>
      <c r="I4" s="13" t="inlineStr">
        <is>
          <t>Acct Dashboard Financing!A9:B9</t>
        </is>
      </c>
      <c r="J4" s="14" t="inlineStr">
        <is>
          <t>Draft</t>
        </is>
      </c>
    </row>
    <row r="5" ht="151.8" customHeight="1" s="2">
      <c r="A5" s="15" t="inlineStr">
        <is>
          <t>TS-B1-004</t>
        </is>
      </c>
      <c r="B5" s="16" t="inlineStr">
        <is>
          <t>Acct Dashboard Financing</t>
        </is>
      </c>
      <c r="C5" s="16" t="inlineStr">
        <is>
          <t>Dashboard - Loan</t>
        </is>
      </c>
      <c r="D5" s="16" t="inlineStr">
        <is>
          <t>Personal Loan (Conventional)</t>
        </is>
      </c>
      <c r="E5" s="16" t="inlineStr">
        <is>
          <t>Validate 1.1 Loan Dashboard - Landing for Personal Loan (Conventional)</t>
        </is>
      </c>
      <c r="F5" s="16" t="inlineStr">
        <is>
          <t>Validate the requirement mapped to 1.1 Loan Dashboard - Landing: Step 1</t>
        </is>
      </c>
      <c r="G5" s="16" t="inlineStr">
        <is>
          <t>UI / Functional</t>
        </is>
      </c>
      <c r="H5" s="16" t="inlineStr">
        <is>
          <t>Medium</t>
        </is>
      </c>
      <c r="I5" s="16" t="inlineStr">
        <is>
          <t>Acct Dashboard Financing!A10:B10</t>
        </is>
      </c>
      <c r="J5" s="17" t="inlineStr">
        <is>
          <t>Draft</t>
        </is>
      </c>
    </row>
    <row r="6" ht="124.2" customHeight="1" s="2">
      <c r="A6" s="12" t="inlineStr">
        <is>
          <t>TS-B1-005</t>
        </is>
      </c>
      <c r="B6" s="13" t="inlineStr">
        <is>
          <t>Acct Dashboard Financing</t>
        </is>
      </c>
      <c r="C6" s="13" t="inlineStr">
        <is>
          <t>Dashboard - Loan</t>
        </is>
      </c>
      <c r="D6" s="13" t="inlineStr">
        <is>
          <t>Personal Loan (Conventional)</t>
        </is>
      </c>
      <c r="E6" s="13" t="inlineStr">
        <is>
          <t>Validate 1.2 Personal Loan Acc for Personal Loan (Conventional)</t>
        </is>
      </c>
      <c r="F6" s="13" t="inlineStr">
        <is>
          <t>Validate the requirement mapped to 1.2 Personal Loan Acc: Step 2</t>
        </is>
      </c>
      <c r="G6" s="13" t="inlineStr">
        <is>
          <t>Functional</t>
        </is>
      </c>
      <c r="H6" s="13" t="inlineStr">
        <is>
          <t>Medium</t>
        </is>
      </c>
      <c r="I6" s="13" t="inlineStr">
        <is>
          <t>Acct Dashboard Financing!A11:B11</t>
        </is>
      </c>
      <c r="J6" s="14" t="inlineStr">
        <is>
          <t>Draft</t>
        </is>
      </c>
    </row>
    <row r="7" ht="207" customHeight="1" s="2">
      <c r="A7" s="15" t="inlineStr">
        <is>
          <t>TS-B1-006</t>
        </is>
      </c>
      <c r="B7" s="16" t="inlineStr">
        <is>
          <t>Acct Dashboard Financing</t>
        </is>
      </c>
      <c r="C7" s="16" t="inlineStr">
        <is>
          <t>Dashboard - Loan</t>
        </is>
      </c>
      <c r="D7" s="16" t="inlineStr">
        <is>
          <t>Personal Loan (Conventional)</t>
        </is>
      </c>
      <c r="E7" s="16" t="inlineStr">
        <is>
          <t>Validate 1.2.1 View All Trans for Personal Loan (Conventional)</t>
        </is>
      </c>
      <c r="F7" s="16" t="inlineStr">
        <is>
          <t>Validate the requirement mapped to 1.2.1 View All Trans: Conditional Step 3 - when View all transactions is selected</t>
        </is>
      </c>
      <c r="G7" s="16" t="inlineStr">
        <is>
          <t>Functional</t>
        </is>
      </c>
      <c r="H7" s="16" t="inlineStr">
        <is>
          <t>Medium</t>
        </is>
      </c>
      <c r="I7" s="16" t="inlineStr">
        <is>
          <t>Acct Dashboard Financing!A12:B12</t>
        </is>
      </c>
      <c r="J7" s="17" t="inlineStr">
        <is>
          <t>Draft</t>
        </is>
      </c>
    </row>
    <row r="8" ht="151.8" customHeight="1" s="2">
      <c r="A8" s="12" t="inlineStr">
        <is>
          <t>TS-B1-007</t>
        </is>
      </c>
      <c r="B8" s="13" t="inlineStr">
        <is>
          <t>Acct Dashboard Financing</t>
        </is>
      </c>
      <c r="C8" s="13" t="inlineStr">
        <is>
          <t>Dashboard - Loan</t>
        </is>
      </c>
      <c r="D8" s="13" t="inlineStr">
        <is>
          <t>Personal Loan (Conventional)</t>
        </is>
      </c>
      <c r="E8" s="13" t="inlineStr">
        <is>
          <t>Validate 1.2.2 PL Conventional Summary for Personal Loan (Conventional)</t>
        </is>
      </c>
      <c r="F8" s="13" t="inlineStr">
        <is>
          <t>Validate the requirement mapped to 1.2.2 PL Conventional Summary: Step 4</t>
        </is>
      </c>
      <c r="G8" s="13" t="inlineStr">
        <is>
          <t>UI / Functional</t>
        </is>
      </c>
      <c r="H8" s="13" t="inlineStr">
        <is>
          <t>Medium</t>
        </is>
      </c>
      <c r="I8" s="13" t="inlineStr">
        <is>
          <t>Acct Dashboard Financing!A13:B13</t>
        </is>
      </c>
      <c r="J8" s="14" t="inlineStr">
        <is>
          <t>Draft</t>
        </is>
      </c>
    </row>
    <row r="9" ht="151.8" customHeight="1" s="2">
      <c r="A9" s="15" t="inlineStr">
        <is>
          <t>TS-B1-008</t>
        </is>
      </c>
      <c r="B9" s="16" t="inlineStr">
        <is>
          <t>Acct Dashboard Financing</t>
        </is>
      </c>
      <c r="C9" s="16" t="inlineStr">
        <is>
          <t>Dashboard - Loan</t>
        </is>
      </c>
      <c r="D9" s="16" t="inlineStr">
        <is>
          <t>Personal Loan (Conventional)</t>
        </is>
      </c>
      <c r="E9" s="16" t="inlineStr">
        <is>
          <t>Validate 1.2.3 PL Conventional Manage for Personal Loan (Conventional)</t>
        </is>
      </c>
      <c r="F9" s="16" t="inlineStr">
        <is>
          <t>Validate the requirement mapped to 1.2.3 PL Conventional Manage: Step 5</t>
        </is>
      </c>
      <c r="G9" s="16" t="inlineStr">
        <is>
          <t>Functional</t>
        </is>
      </c>
      <c r="H9" s="16" t="inlineStr">
        <is>
          <t>Medium</t>
        </is>
      </c>
      <c r="I9" s="16" t="inlineStr">
        <is>
          <t>Acct Dashboard Financing!A14:B14</t>
        </is>
      </c>
      <c r="J9" s="17" t="inlineStr">
        <is>
          <t>Draft</t>
        </is>
      </c>
    </row>
    <row r="10" ht="179.4" customHeight="1" s="2">
      <c r="A10" s="12" t="inlineStr">
        <is>
          <t>TS-B1-009</t>
        </is>
      </c>
      <c r="B10" s="13" t="inlineStr">
        <is>
          <t>Acct Dashboard Financing</t>
        </is>
      </c>
      <c r="C10" s="13" t="inlineStr">
        <is>
          <t>Dashboard - Loan</t>
        </is>
      </c>
      <c r="D10" s="13" t="inlineStr">
        <is>
          <t>Personal Loan (Conventional)</t>
        </is>
      </c>
      <c r="E10" s="13" t="inlineStr">
        <is>
          <t>Final status and recovery for Personal Loan (Conventional)</t>
        </is>
      </c>
      <c r="F10" s="13" t="inlineStr">
        <is>
          <t>Validate successful completion, failure handling, and final-state integrity for Dashboard - Loan.</t>
        </is>
      </c>
      <c r="G10" s="13" t="inlineStr">
        <is>
          <t>Functional / Negative</t>
        </is>
      </c>
      <c r="H10" s="13" t="inlineStr">
        <is>
          <t>High</t>
        </is>
      </c>
      <c r="I10" s="13" t="inlineStr">
        <is>
          <t>Acct Dashboard Financing!B1:B62</t>
        </is>
      </c>
      <c r="J10" s="14" t="inlineStr">
        <is>
          <t>Draft</t>
        </is>
      </c>
    </row>
    <row r="11" ht="151.8" customHeight="1" s="2">
      <c r="A11" s="15" t="inlineStr">
        <is>
          <t>TS-B1-010</t>
        </is>
      </c>
      <c r="B11" s="16" t="inlineStr">
        <is>
          <t>Acct Dashboard Financing</t>
        </is>
      </c>
      <c r="C11" s="16" t="inlineStr">
        <is>
          <t>Dashboard - Loan</t>
        </is>
      </c>
      <c r="D11" s="16" t="inlineStr">
        <is>
          <t>Personal Loan (Shariah)</t>
        </is>
      </c>
      <c r="E11" s="16" t="inlineStr">
        <is>
          <t>Access and open Personal Loan (Shariah)</t>
        </is>
      </c>
      <c r="F11" s="16" t="inlineStr">
        <is>
          <t>Validate the configured entry point, customer eligibility, and initial page for Dashboard - Loan.</t>
        </is>
      </c>
      <c r="G11" s="16" t="inlineStr">
        <is>
          <t>Functional</t>
        </is>
      </c>
      <c r="H11" s="16" t="inlineStr">
        <is>
          <t>Medium</t>
        </is>
      </c>
      <c r="I11" s="16" t="inlineStr">
        <is>
          <t>Acct Dashboard Financing!C1:C62</t>
        </is>
      </c>
      <c r="J11" s="17" t="inlineStr">
        <is>
          <t>Draft</t>
        </is>
      </c>
    </row>
    <row r="12" ht="124.2" customHeight="1" s="2">
      <c r="A12" s="12" t="inlineStr">
        <is>
          <t>TS-B1-011</t>
        </is>
      </c>
      <c r="B12" s="13" t="inlineStr">
        <is>
          <t>Acct Dashboard Financing</t>
        </is>
      </c>
      <c r="C12" s="13" t="inlineStr">
        <is>
          <t>Dashboard - Loan</t>
        </is>
      </c>
      <c r="D12" s="13" t="inlineStr">
        <is>
          <t>Personal Loan (Shariah)</t>
        </is>
      </c>
      <c r="E12" s="13" t="inlineStr">
        <is>
          <t>Authentication and authorisation for Personal Loan (Shariah)</t>
        </is>
      </c>
      <c r="F12" s="13" t="inlineStr">
        <is>
          <t>Validate all authentication requirements stated for Dashboard - Loan.</t>
        </is>
      </c>
      <c r="G12" s="13" t="inlineStr">
        <is>
          <t>Security</t>
        </is>
      </c>
      <c r="H12" s="13" t="inlineStr">
        <is>
          <t>High</t>
        </is>
      </c>
      <c r="I12" s="13" t="inlineStr">
        <is>
          <t>Acct Dashboard Financing!C1:C62</t>
        </is>
      </c>
      <c r="J12" s="14" t="inlineStr">
        <is>
          <t>Draft</t>
        </is>
      </c>
    </row>
    <row r="13" ht="220.8" customHeight="1" s="2">
      <c r="A13" s="15" t="inlineStr">
        <is>
          <t>TS-B1-012</t>
        </is>
      </c>
      <c r="B13" s="16" t="inlineStr">
        <is>
          <t>Acct Dashboard Financing</t>
        </is>
      </c>
      <c r="C13" s="16" t="inlineStr">
        <is>
          <t>Dashboard - Loan</t>
        </is>
      </c>
      <c r="D13" s="16" t="inlineStr">
        <is>
          <t>Personal Loan (Shariah)</t>
        </is>
      </c>
      <c r="E13" s="16" t="inlineStr">
        <is>
          <t>Validate Common Rules Reference for Personal Loan (Shariah)</t>
        </is>
      </c>
      <c r="F13" s="16" t="inlineStr">
        <is>
          <t>Validate the requirement mapped to Common Rules Reference: Refer to Account Dashboard Common FSD</t>
        </is>
      </c>
      <c r="G13" s="16" t="inlineStr">
        <is>
          <t>UI / Functional</t>
        </is>
      </c>
      <c r="H13" s="16" t="inlineStr">
        <is>
          <t>Medium</t>
        </is>
      </c>
      <c r="I13" s="16" t="inlineStr">
        <is>
          <t>Acct Dashboard Financing!A9:C9</t>
        </is>
      </c>
      <c r="J13" s="17" t="inlineStr">
        <is>
          <t>Draft</t>
        </is>
      </c>
    </row>
    <row r="14" ht="151.8" customHeight="1" s="2">
      <c r="A14" s="12" t="inlineStr">
        <is>
          <t>TS-B1-013</t>
        </is>
      </c>
      <c r="B14" s="13" t="inlineStr">
        <is>
          <t>Acct Dashboard Financing</t>
        </is>
      </c>
      <c r="C14" s="13" t="inlineStr">
        <is>
          <t>Dashboard - Loan</t>
        </is>
      </c>
      <c r="D14" s="13" t="inlineStr">
        <is>
          <t>Personal Loan (Shariah)</t>
        </is>
      </c>
      <c r="E14" s="13" t="inlineStr">
        <is>
          <t>Validate 1.1 Loan Dashboard - Landing for Personal Loan (Shariah)</t>
        </is>
      </c>
      <c r="F14" s="13" t="inlineStr">
        <is>
          <t>Validate the requirement mapped to 1.1 Loan Dashboard - Landing: Step 1</t>
        </is>
      </c>
      <c r="G14" s="13" t="inlineStr">
        <is>
          <t>UI / Functional</t>
        </is>
      </c>
      <c r="H14" s="13" t="inlineStr">
        <is>
          <t>Medium</t>
        </is>
      </c>
      <c r="I14" s="13" t="inlineStr">
        <is>
          <t>Acct Dashboard Financing!A10:C10</t>
        </is>
      </c>
      <c r="J14" s="14" t="inlineStr">
        <is>
          <t>Draft</t>
        </is>
      </c>
    </row>
    <row r="15" ht="207" customHeight="1" s="2">
      <c r="A15" s="15" t="inlineStr">
        <is>
          <t>TS-B1-014</t>
        </is>
      </c>
      <c r="B15" s="16" t="inlineStr">
        <is>
          <t>Acct Dashboard Financing</t>
        </is>
      </c>
      <c r="C15" s="16" t="inlineStr">
        <is>
          <t>Dashboard - Loan</t>
        </is>
      </c>
      <c r="D15" s="16" t="inlineStr">
        <is>
          <t>Personal Loan (Shariah)</t>
        </is>
      </c>
      <c r="E15" s="16" t="inlineStr">
        <is>
          <t>Validate 1.2.1 View All Trans for Personal Loan (Shariah)</t>
        </is>
      </c>
      <c r="F15" s="16" t="inlineStr">
        <is>
          <t>Validate the requirement mapped to 1.2.1 View All Trans: Conditional Step 3 - when View all transactions is selected</t>
        </is>
      </c>
      <c r="G15" s="16" t="inlineStr">
        <is>
          <t>Functional</t>
        </is>
      </c>
      <c r="H15" s="16" t="inlineStr">
        <is>
          <t>Medium</t>
        </is>
      </c>
      <c r="I15" s="16" t="inlineStr">
        <is>
          <t>Acct Dashboard Financing!A12:C12</t>
        </is>
      </c>
      <c r="J15" s="17" t="inlineStr">
        <is>
          <t>Draft</t>
        </is>
      </c>
    </row>
    <row r="16" ht="138" customHeight="1" s="2">
      <c r="A16" s="12" t="inlineStr">
        <is>
          <t>TS-B1-015</t>
        </is>
      </c>
      <c r="B16" s="13" t="inlineStr">
        <is>
          <t>Acct Dashboard Financing</t>
        </is>
      </c>
      <c r="C16" s="13" t="inlineStr">
        <is>
          <t>Dashboard - Loan</t>
        </is>
      </c>
      <c r="D16" s="13" t="inlineStr">
        <is>
          <t>Personal Loan (Shariah)</t>
        </is>
      </c>
      <c r="E16" s="13" t="inlineStr">
        <is>
          <t>Validate 1.2.4 PL Shariah Acc for Personal Loan (Shariah)</t>
        </is>
      </c>
      <c r="F16" s="13" t="inlineStr">
        <is>
          <t>Validate the requirement mapped to 1.2.4 PL Shariah Acc: Step 6</t>
        </is>
      </c>
      <c r="G16" s="13" t="inlineStr">
        <is>
          <t>Functional</t>
        </is>
      </c>
      <c r="H16" s="13" t="inlineStr">
        <is>
          <t>Medium</t>
        </is>
      </c>
      <c r="I16" s="13" t="inlineStr">
        <is>
          <t>Acct Dashboard Financing!A15:C15</t>
        </is>
      </c>
      <c r="J16" s="14" t="inlineStr">
        <is>
          <t>Draft</t>
        </is>
      </c>
    </row>
    <row r="17" ht="138" customHeight="1" s="2">
      <c r="A17" s="15" t="inlineStr">
        <is>
          <t>TS-B1-016</t>
        </is>
      </c>
      <c r="B17" s="16" t="inlineStr">
        <is>
          <t>Acct Dashboard Financing</t>
        </is>
      </c>
      <c r="C17" s="16" t="inlineStr">
        <is>
          <t>Dashboard - Loan</t>
        </is>
      </c>
      <c r="D17" s="16" t="inlineStr">
        <is>
          <t>Personal Loan (Shariah)</t>
        </is>
      </c>
      <c r="E17" s="16" t="inlineStr">
        <is>
          <t>Validate 1.2.5 PL Shariah Summary for Personal Loan (Shariah)</t>
        </is>
      </c>
      <c r="F17" s="16" t="inlineStr">
        <is>
          <t>Validate the requirement mapped to 1.2.5 PL Shariah Summary: Step 7</t>
        </is>
      </c>
      <c r="G17" s="16" t="inlineStr">
        <is>
          <t>UI / Functional</t>
        </is>
      </c>
      <c r="H17" s="16" t="inlineStr">
        <is>
          <t>Medium</t>
        </is>
      </c>
      <c r="I17" s="16" t="inlineStr">
        <is>
          <t>Acct Dashboard Financing!A16:C16</t>
        </is>
      </c>
      <c r="J17" s="17" t="inlineStr">
        <is>
          <t>Draft</t>
        </is>
      </c>
    </row>
    <row r="18" ht="138" customHeight="1" s="2">
      <c r="A18" s="12" t="inlineStr">
        <is>
          <t>TS-B1-017</t>
        </is>
      </c>
      <c r="B18" s="13" t="inlineStr">
        <is>
          <t>Acct Dashboard Financing</t>
        </is>
      </c>
      <c r="C18" s="13" t="inlineStr">
        <is>
          <t>Dashboard - Loan</t>
        </is>
      </c>
      <c r="D18" s="13" t="inlineStr">
        <is>
          <t>Personal Loan (Shariah)</t>
        </is>
      </c>
      <c r="E18" s="13" t="inlineStr">
        <is>
          <t>Validate 1.2.6 PL Shariah Manage for Personal Loan (Shariah)</t>
        </is>
      </c>
      <c r="F18" s="13" t="inlineStr">
        <is>
          <t>Validate the requirement mapped to 1.2.6 PL Shariah Manage: Step 8</t>
        </is>
      </c>
      <c r="G18" s="13" t="inlineStr">
        <is>
          <t>Functional</t>
        </is>
      </c>
      <c r="H18" s="13" t="inlineStr">
        <is>
          <t>Medium</t>
        </is>
      </c>
      <c r="I18" s="13" t="inlineStr">
        <is>
          <t>Acct Dashboard Financing!A17:C17</t>
        </is>
      </c>
      <c r="J18" s="14" t="inlineStr">
        <is>
          <t>Draft</t>
        </is>
      </c>
    </row>
    <row r="19" ht="179.4" customHeight="1" s="2">
      <c r="A19" s="15" t="inlineStr">
        <is>
          <t>TS-B1-018</t>
        </is>
      </c>
      <c r="B19" s="16" t="inlineStr">
        <is>
          <t>Acct Dashboard Financing</t>
        </is>
      </c>
      <c r="C19" s="16" t="inlineStr">
        <is>
          <t>Dashboard - Loan</t>
        </is>
      </c>
      <c r="D19" s="16" t="inlineStr">
        <is>
          <t>Personal Loan (Shariah)</t>
        </is>
      </c>
      <c r="E19" s="16" t="inlineStr">
        <is>
          <t>Final status and recovery for Personal Loan (Shariah)</t>
        </is>
      </c>
      <c r="F19" s="16" t="inlineStr">
        <is>
          <t>Validate successful completion, failure handling, and final-state integrity for Dashboard - Loan.</t>
        </is>
      </c>
      <c r="G19" s="16" t="inlineStr">
        <is>
          <t>Functional / Negative</t>
        </is>
      </c>
      <c r="H19" s="16" t="inlineStr">
        <is>
          <t>High</t>
        </is>
      </c>
      <c r="I19" s="16" t="inlineStr">
        <is>
          <t>Acct Dashboard Financing!C1:C62</t>
        </is>
      </c>
      <c r="J19" s="17" t="inlineStr">
        <is>
          <t>Draft</t>
        </is>
      </c>
    </row>
    <row r="20" ht="151.8" customHeight="1" s="2">
      <c r="A20" s="12" t="inlineStr">
        <is>
          <t>TS-B1-019</t>
        </is>
      </c>
      <c r="B20" s="13" t="inlineStr">
        <is>
          <t>Acct Dashboard Financing</t>
        </is>
      </c>
      <c r="C20" s="13" t="inlineStr">
        <is>
          <t>Dashboard - Loan</t>
        </is>
      </c>
      <c r="D20" s="13" t="inlineStr">
        <is>
          <t>Auto Loan (Conventional)</t>
        </is>
      </c>
      <c r="E20" s="13" t="inlineStr">
        <is>
          <t>Access and open Auto Loan (Conventional)</t>
        </is>
      </c>
      <c r="F20" s="13" t="inlineStr">
        <is>
          <t>Validate the configured entry point, customer eligibility, and initial page for Dashboard - Loan.</t>
        </is>
      </c>
      <c r="G20" s="13" t="inlineStr">
        <is>
          <t>Functional</t>
        </is>
      </c>
      <c r="H20" s="13" t="inlineStr">
        <is>
          <t>Medium</t>
        </is>
      </c>
      <c r="I20" s="13" t="inlineStr">
        <is>
          <t>Acct Dashboard Financing!D1:D62</t>
        </is>
      </c>
      <c r="J20" s="14" t="inlineStr">
        <is>
          <t>Draft</t>
        </is>
      </c>
    </row>
    <row r="21" ht="124.2" customHeight="1" s="2">
      <c r="A21" s="15" t="inlineStr">
        <is>
          <t>TS-B1-020</t>
        </is>
      </c>
      <c r="B21" s="16" t="inlineStr">
        <is>
          <t>Acct Dashboard Financing</t>
        </is>
      </c>
      <c r="C21" s="16" t="inlineStr">
        <is>
          <t>Dashboard - Loan</t>
        </is>
      </c>
      <c r="D21" s="16" t="inlineStr">
        <is>
          <t>Auto Loan (Conventional)</t>
        </is>
      </c>
      <c r="E21" s="16" t="inlineStr">
        <is>
          <t>Authentication and authorisation for Auto Loan (Conventional)</t>
        </is>
      </c>
      <c r="F21" s="16" t="inlineStr">
        <is>
          <t>Validate all authentication requirements stated for Dashboard - Loan.</t>
        </is>
      </c>
      <c r="G21" s="16" t="inlineStr">
        <is>
          <t>Security</t>
        </is>
      </c>
      <c r="H21" s="16" t="inlineStr">
        <is>
          <t>High</t>
        </is>
      </c>
      <c r="I21" s="16" t="inlineStr">
        <is>
          <t>Acct Dashboard Financing!D1:D62</t>
        </is>
      </c>
      <c r="J21" s="17" t="inlineStr">
        <is>
          <t>Draft</t>
        </is>
      </c>
    </row>
    <row r="22" ht="220.8" customHeight="1" s="2">
      <c r="A22" s="12" t="inlineStr">
        <is>
          <t>TS-B1-021</t>
        </is>
      </c>
      <c r="B22" s="13" t="inlineStr">
        <is>
          <t>Acct Dashboard Financing</t>
        </is>
      </c>
      <c r="C22" s="13" t="inlineStr">
        <is>
          <t>Dashboard - Loan</t>
        </is>
      </c>
      <c r="D22" s="13" t="inlineStr">
        <is>
          <t>Auto Loan (Conventional)</t>
        </is>
      </c>
      <c r="E22" s="13" t="inlineStr">
        <is>
          <t>Validate Common Rules Reference for Auto Loan (Conventional)</t>
        </is>
      </c>
      <c r="F22" s="13" t="inlineStr">
        <is>
          <t>Validate the requirement mapped to Common Rules Reference: Refer to Account Dashboard Common FSD</t>
        </is>
      </c>
      <c r="G22" s="13" t="inlineStr">
        <is>
          <t>UI / Functional</t>
        </is>
      </c>
      <c r="H22" s="13" t="inlineStr">
        <is>
          <t>Medium</t>
        </is>
      </c>
      <c r="I22" s="13" t="inlineStr">
        <is>
          <t>Acct Dashboard Financing!A9:D9</t>
        </is>
      </c>
      <c r="J22" s="14" t="inlineStr">
        <is>
          <t>Draft</t>
        </is>
      </c>
    </row>
    <row r="23" ht="151.8" customHeight="1" s="2">
      <c r="A23" s="15" t="inlineStr">
        <is>
          <t>TS-B1-022</t>
        </is>
      </c>
      <c r="B23" s="16" t="inlineStr">
        <is>
          <t>Acct Dashboard Financing</t>
        </is>
      </c>
      <c r="C23" s="16" t="inlineStr">
        <is>
          <t>Dashboard - Loan</t>
        </is>
      </c>
      <c r="D23" s="16" t="inlineStr">
        <is>
          <t>Auto Loan (Conventional)</t>
        </is>
      </c>
      <c r="E23" s="16" t="inlineStr">
        <is>
          <t>Validate 1.1 Loan Dashboard - Landing for Auto Loan (Conventional)</t>
        </is>
      </c>
      <c r="F23" s="16" t="inlineStr">
        <is>
          <t>Validate the requirement mapped to 1.1 Loan Dashboard - Landing: Step 1</t>
        </is>
      </c>
      <c r="G23" s="16" t="inlineStr">
        <is>
          <t>UI / Functional</t>
        </is>
      </c>
      <c r="H23" s="16" t="inlineStr">
        <is>
          <t>Medium</t>
        </is>
      </c>
      <c r="I23" s="16" t="inlineStr">
        <is>
          <t>Acct Dashboard Financing!A10:D10</t>
        </is>
      </c>
      <c r="J23" s="17" t="inlineStr">
        <is>
          <t>Draft</t>
        </is>
      </c>
    </row>
    <row r="24" ht="207" customHeight="1" s="2">
      <c r="A24" s="12" t="inlineStr">
        <is>
          <t>TS-B1-023</t>
        </is>
      </c>
      <c r="B24" s="13" t="inlineStr">
        <is>
          <t>Acct Dashboard Financing</t>
        </is>
      </c>
      <c r="C24" s="13" t="inlineStr">
        <is>
          <t>Dashboard - Loan</t>
        </is>
      </c>
      <c r="D24" s="13" t="inlineStr">
        <is>
          <t>Auto Loan (Conventional)</t>
        </is>
      </c>
      <c r="E24" s="13" t="inlineStr">
        <is>
          <t>Validate 1.2.1 View All Trans for Auto Loan (Conventional)</t>
        </is>
      </c>
      <c r="F24" s="13" t="inlineStr">
        <is>
          <t>Validate the requirement mapped to 1.2.1 View All Trans: Conditional Step 3 - when View all transactions is selected</t>
        </is>
      </c>
      <c r="G24" s="13" t="inlineStr">
        <is>
          <t>Functional</t>
        </is>
      </c>
      <c r="H24" s="13" t="inlineStr">
        <is>
          <t>Medium</t>
        </is>
      </c>
      <c r="I24" s="13" t="inlineStr">
        <is>
          <t>Acct Dashboard Financing!A12:D12</t>
        </is>
      </c>
      <c r="J24" s="14" t="inlineStr">
        <is>
          <t>Draft</t>
        </is>
      </c>
    </row>
    <row r="25" ht="124.2" customHeight="1" s="2">
      <c r="A25" s="15" t="inlineStr">
        <is>
          <t>TS-B1-024</t>
        </is>
      </c>
      <c r="B25" s="16" t="inlineStr">
        <is>
          <t>Acct Dashboard Financing</t>
        </is>
      </c>
      <c r="C25" s="16" t="inlineStr">
        <is>
          <t>Dashboard - Loan</t>
        </is>
      </c>
      <c r="D25" s="16" t="inlineStr">
        <is>
          <t>Auto Loan (Conventional)</t>
        </is>
      </c>
      <c r="E25" s="16" t="inlineStr">
        <is>
          <t>Validate 1.3 Auto Loan Acc for Auto Loan (Conventional)</t>
        </is>
      </c>
      <c r="F25" s="16" t="inlineStr">
        <is>
          <t>Validate the requirement mapped to 1.3 Auto Loan Acc: Step 9</t>
        </is>
      </c>
      <c r="G25" s="16" t="inlineStr">
        <is>
          <t>Functional</t>
        </is>
      </c>
      <c r="H25" s="16" t="inlineStr">
        <is>
          <t>Medium</t>
        </is>
      </c>
      <c r="I25" s="16" t="inlineStr">
        <is>
          <t>Acct Dashboard Financing!A18:D18</t>
        </is>
      </c>
      <c r="J25" s="17" t="inlineStr">
        <is>
          <t>Draft</t>
        </is>
      </c>
    </row>
    <row r="26" ht="179.4" customHeight="1" s="2">
      <c r="A26" s="12" t="inlineStr">
        <is>
          <t>TS-B1-025</t>
        </is>
      </c>
      <c r="B26" s="13" t="inlineStr">
        <is>
          <t>Acct Dashboard Financing</t>
        </is>
      </c>
      <c r="C26" s="13" t="inlineStr">
        <is>
          <t>Dashboard - Loan</t>
        </is>
      </c>
      <c r="D26" s="13" t="inlineStr">
        <is>
          <t>Auto Loan (Conventional)</t>
        </is>
      </c>
      <c r="E26" s="13" t="inlineStr">
        <is>
          <t>Final status and recovery for Auto Loan (Conventional)</t>
        </is>
      </c>
      <c r="F26" s="13" t="inlineStr">
        <is>
          <t>Validate successful completion, failure handling, and final-state integrity for Dashboard - Loan.</t>
        </is>
      </c>
      <c r="G26" s="13" t="inlineStr">
        <is>
          <t>Functional / Negative</t>
        </is>
      </c>
      <c r="H26" s="13" t="inlineStr">
        <is>
          <t>High</t>
        </is>
      </c>
      <c r="I26" s="13" t="inlineStr">
        <is>
          <t>Acct Dashboard Financing!D1:D62</t>
        </is>
      </c>
      <c r="J26" s="14" t="inlineStr">
        <is>
          <t>Draft</t>
        </is>
      </c>
    </row>
    <row r="27" ht="151.8" customHeight="1" s="2">
      <c r="A27" s="15" t="inlineStr">
        <is>
          <t>TS-B1-026</t>
        </is>
      </c>
      <c r="B27" s="16" t="inlineStr">
        <is>
          <t>Acct Dashboard Financing</t>
        </is>
      </c>
      <c r="C27" s="16" t="inlineStr">
        <is>
          <t>Dashboard - Loan</t>
        </is>
      </c>
      <c r="D27" s="16" t="inlineStr">
        <is>
          <t>Auto Loan (Shariah)</t>
        </is>
      </c>
      <c r="E27" s="16" t="inlineStr">
        <is>
          <t>Access and open Auto Loan (Shariah)</t>
        </is>
      </c>
      <c r="F27" s="16" t="inlineStr">
        <is>
          <t>Validate the configured entry point, customer eligibility, and initial page for Dashboard - Loan.</t>
        </is>
      </c>
      <c r="G27" s="16" t="inlineStr">
        <is>
          <t>Functional</t>
        </is>
      </c>
      <c r="H27" s="16" t="inlineStr">
        <is>
          <t>Medium</t>
        </is>
      </c>
      <c r="I27" s="16" t="inlineStr">
        <is>
          <t>Acct Dashboard Financing!E1:E62</t>
        </is>
      </c>
      <c r="J27" s="17" t="inlineStr">
        <is>
          <t>Draft</t>
        </is>
      </c>
    </row>
    <row r="28" ht="124.2" customHeight="1" s="2">
      <c r="A28" s="12" t="inlineStr">
        <is>
          <t>TS-B1-027</t>
        </is>
      </c>
      <c r="B28" s="13" t="inlineStr">
        <is>
          <t>Acct Dashboard Financing</t>
        </is>
      </c>
      <c r="C28" s="13" t="inlineStr">
        <is>
          <t>Dashboard - Loan</t>
        </is>
      </c>
      <c r="D28" s="13" t="inlineStr">
        <is>
          <t>Auto Loan (Shariah)</t>
        </is>
      </c>
      <c r="E28" s="13" t="inlineStr">
        <is>
          <t>Authentication and authorisation for Auto Loan (Shariah)</t>
        </is>
      </c>
      <c r="F28" s="13" t="inlineStr">
        <is>
          <t>Validate all authentication requirements stated for Dashboard - Loan.</t>
        </is>
      </c>
      <c r="G28" s="13" t="inlineStr">
        <is>
          <t>Security</t>
        </is>
      </c>
      <c r="H28" s="13" t="inlineStr">
        <is>
          <t>High</t>
        </is>
      </c>
      <c r="I28" s="13" t="inlineStr">
        <is>
          <t>Acct Dashboard Financing!E1:E62</t>
        </is>
      </c>
      <c r="J28" s="14" t="inlineStr">
        <is>
          <t>Draft</t>
        </is>
      </c>
    </row>
    <row r="29" ht="220.8" customHeight="1" s="2">
      <c r="A29" s="15" t="inlineStr">
        <is>
          <t>TS-B1-028</t>
        </is>
      </c>
      <c r="B29" s="16" t="inlineStr">
        <is>
          <t>Acct Dashboard Financing</t>
        </is>
      </c>
      <c r="C29" s="16" t="inlineStr">
        <is>
          <t>Dashboard - Loan</t>
        </is>
      </c>
      <c r="D29" s="16" t="inlineStr">
        <is>
          <t>Auto Loan (Shariah)</t>
        </is>
      </c>
      <c r="E29" s="16" t="inlineStr">
        <is>
          <t>Validate Common Rules Reference for Auto Loan (Shariah)</t>
        </is>
      </c>
      <c r="F29" s="16" t="inlineStr">
        <is>
          <t>Validate the requirement mapped to Common Rules Reference: Refer to Account Dashboard Common FSD</t>
        </is>
      </c>
      <c r="G29" s="16" t="inlineStr">
        <is>
          <t>UI / Functional</t>
        </is>
      </c>
      <c r="H29" s="16" t="inlineStr">
        <is>
          <t>Medium</t>
        </is>
      </c>
      <c r="I29" s="16" t="inlineStr">
        <is>
          <t>Acct Dashboard Financing!A9:E9</t>
        </is>
      </c>
      <c r="J29" s="17" t="inlineStr">
        <is>
          <t>Draft</t>
        </is>
      </c>
    </row>
    <row r="30" ht="151.8" customHeight="1" s="2">
      <c r="A30" s="12" t="inlineStr">
        <is>
          <t>TS-B1-029</t>
        </is>
      </c>
      <c r="B30" s="13" t="inlineStr">
        <is>
          <t>Acct Dashboard Financing</t>
        </is>
      </c>
      <c r="C30" s="13" t="inlineStr">
        <is>
          <t>Dashboard - Loan</t>
        </is>
      </c>
      <c r="D30" s="13" t="inlineStr">
        <is>
          <t>Auto Loan (Shariah)</t>
        </is>
      </c>
      <c r="E30" s="13" t="inlineStr">
        <is>
          <t>Validate 1.1 Loan Dashboard - Landing for Auto Loan (Shariah)</t>
        </is>
      </c>
      <c r="F30" s="13" t="inlineStr">
        <is>
          <t>Validate the requirement mapped to 1.1 Loan Dashboard - Landing: Step 1</t>
        </is>
      </c>
      <c r="G30" s="13" t="inlineStr">
        <is>
          <t>UI / Functional</t>
        </is>
      </c>
      <c r="H30" s="13" t="inlineStr">
        <is>
          <t>Medium</t>
        </is>
      </c>
      <c r="I30" s="13" t="inlineStr">
        <is>
          <t>Acct Dashboard Financing!A10:E10</t>
        </is>
      </c>
      <c r="J30" s="14" t="inlineStr">
        <is>
          <t>Draft</t>
        </is>
      </c>
    </row>
    <row r="31" ht="207" customHeight="1" s="2">
      <c r="A31" s="15" t="inlineStr">
        <is>
          <t>TS-B1-030</t>
        </is>
      </c>
      <c r="B31" s="16" t="inlineStr">
        <is>
          <t>Acct Dashboard Financing</t>
        </is>
      </c>
      <c r="C31" s="16" t="inlineStr">
        <is>
          <t>Dashboard - Loan</t>
        </is>
      </c>
      <c r="D31" s="16" t="inlineStr">
        <is>
          <t>Auto Loan (Shariah)</t>
        </is>
      </c>
      <c r="E31" s="16" t="inlineStr">
        <is>
          <t>Validate 1.2.1 View All Trans for Auto Loan (Shariah)</t>
        </is>
      </c>
      <c r="F31" s="16" t="inlineStr">
        <is>
          <t>Validate the requirement mapped to 1.2.1 View All Trans: Conditional Step 3 - when View all transactions is selected</t>
        </is>
      </c>
      <c r="G31" s="16" t="inlineStr">
        <is>
          <t>Functional</t>
        </is>
      </c>
      <c r="H31" s="16" t="inlineStr">
        <is>
          <t>Medium</t>
        </is>
      </c>
      <c r="I31" s="16" t="inlineStr">
        <is>
          <t>Acct Dashboard Financing!A12:E12</t>
        </is>
      </c>
      <c r="J31" s="17" t="inlineStr">
        <is>
          <t>Draft</t>
        </is>
      </c>
    </row>
    <row r="32" ht="124.2" customHeight="1" s="2">
      <c r="A32" s="12" t="inlineStr">
        <is>
          <t>TS-B1-031</t>
        </is>
      </c>
      <c r="B32" s="13" t="inlineStr">
        <is>
          <t>Acct Dashboard Financing</t>
        </is>
      </c>
      <c r="C32" s="13" t="inlineStr">
        <is>
          <t>Dashboard - Loan</t>
        </is>
      </c>
      <c r="D32" s="13" t="inlineStr">
        <is>
          <t>Auto Loan (Shariah)</t>
        </is>
      </c>
      <c r="E32" s="13" t="inlineStr">
        <is>
          <t>Validate 1.3.1 Auto Loan Shariah for Auto Loan (Shariah)</t>
        </is>
      </c>
      <c r="F32" s="13" t="inlineStr">
        <is>
          <t>Validate the requirement mapped to 1.3.1 Auto Loan Shariah: Step 10</t>
        </is>
      </c>
      <c r="G32" s="13" t="inlineStr">
        <is>
          <t>Functional</t>
        </is>
      </c>
      <c r="H32" s="13" t="inlineStr">
        <is>
          <t>Medium</t>
        </is>
      </c>
      <c r="I32" s="13" t="inlineStr">
        <is>
          <t>Acct Dashboard Financing!A19:E19</t>
        </is>
      </c>
      <c r="J32" s="14" t="inlineStr">
        <is>
          <t>Draft</t>
        </is>
      </c>
    </row>
    <row r="33" ht="179.4" customHeight="1" s="2">
      <c r="A33" s="15" t="inlineStr">
        <is>
          <t>TS-B1-032</t>
        </is>
      </c>
      <c r="B33" s="16" t="inlineStr">
        <is>
          <t>Acct Dashboard Financing</t>
        </is>
      </c>
      <c r="C33" s="16" t="inlineStr">
        <is>
          <t>Dashboard - Loan</t>
        </is>
      </c>
      <c r="D33" s="16" t="inlineStr">
        <is>
          <t>Auto Loan (Shariah)</t>
        </is>
      </c>
      <c r="E33" s="16" t="inlineStr">
        <is>
          <t>Final status and recovery for Auto Loan (Shariah)</t>
        </is>
      </c>
      <c r="F33" s="16" t="inlineStr">
        <is>
          <t>Validate successful completion, failure handling, and final-state integrity for Dashboard - Loan.</t>
        </is>
      </c>
      <c r="G33" s="16" t="inlineStr">
        <is>
          <t>Functional / Negative</t>
        </is>
      </c>
      <c r="H33" s="16" t="inlineStr">
        <is>
          <t>High</t>
        </is>
      </c>
      <c r="I33" s="16" t="inlineStr">
        <is>
          <t>Acct Dashboard Financing!E1:E62</t>
        </is>
      </c>
      <c r="J33" s="17" t="inlineStr">
        <is>
          <t>Draft</t>
        </is>
      </c>
    </row>
    <row r="34" ht="151.8" customHeight="1" s="2">
      <c r="A34" s="12" t="inlineStr">
        <is>
          <t>TS-B1-033</t>
        </is>
      </c>
      <c r="B34" s="13" t="inlineStr">
        <is>
          <t>Acct Dashboard Financing</t>
        </is>
      </c>
      <c r="C34" s="13" t="inlineStr">
        <is>
          <t>Dashboard - Loan</t>
        </is>
      </c>
      <c r="D34" s="13" t="inlineStr">
        <is>
          <t>Mortgage Loan (Conventional)</t>
        </is>
      </c>
      <c r="E34" s="13" t="inlineStr">
        <is>
          <t>Access and open Mortgage Loan (Conventional)</t>
        </is>
      </c>
      <c r="F34" s="13" t="inlineStr">
        <is>
          <t>Validate the configured entry point, customer eligibility, and initial page for Dashboard - Loan.</t>
        </is>
      </c>
      <c r="G34" s="13" t="inlineStr">
        <is>
          <t>Functional</t>
        </is>
      </c>
      <c r="H34" s="13" t="inlineStr">
        <is>
          <t>Medium</t>
        </is>
      </c>
      <c r="I34" s="13" t="inlineStr">
        <is>
          <t>Acct Dashboard Financing!F1:F62</t>
        </is>
      </c>
      <c r="J34" s="14" t="inlineStr">
        <is>
          <t>Draft</t>
        </is>
      </c>
    </row>
    <row r="35" ht="124.2" customHeight="1" s="2">
      <c r="A35" s="15" t="inlineStr">
        <is>
          <t>TS-B1-034</t>
        </is>
      </c>
      <c r="B35" s="16" t="inlineStr">
        <is>
          <t>Acct Dashboard Financing</t>
        </is>
      </c>
      <c r="C35" s="16" t="inlineStr">
        <is>
          <t>Dashboard - Loan</t>
        </is>
      </c>
      <c r="D35" s="16" t="inlineStr">
        <is>
          <t>Mortgage Loan (Conventional)</t>
        </is>
      </c>
      <c r="E35" s="16" t="inlineStr">
        <is>
          <t>Authentication and authorisation for Mortgage Loan (Conventional)</t>
        </is>
      </c>
      <c r="F35" s="16" t="inlineStr">
        <is>
          <t>Validate all authentication requirements stated for Dashboard - Loan.</t>
        </is>
      </c>
      <c r="G35" s="16" t="inlineStr">
        <is>
          <t>Security</t>
        </is>
      </c>
      <c r="H35" s="16" t="inlineStr">
        <is>
          <t>High</t>
        </is>
      </c>
      <c r="I35" s="16" t="inlineStr">
        <is>
          <t>Acct Dashboard Financing!F1:F62</t>
        </is>
      </c>
      <c r="J35" s="17" t="inlineStr">
        <is>
          <t>Draft</t>
        </is>
      </c>
    </row>
    <row r="36" ht="220.8" customHeight="1" s="2">
      <c r="A36" s="12" t="inlineStr">
        <is>
          <t>TS-B1-035</t>
        </is>
      </c>
      <c r="B36" s="13" t="inlineStr">
        <is>
          <t>Acct Dashboard Financing</t>
        </is>
      </c>
      <c r="C36" s="13" t="inlineStr">
        <is>
          <t>Dashboard - Loan</t>
        </is>
      </c>
      <c r="D36" s="13" t="inlineStr">
        <is>
          <t>Mortgage Loan (Conventional)</t>
        </is>
      </c>
      <c r="E36" s="13" t="inlineStr">
        <is>
          <t>Validate Common Rules Reference for Mortgage Loan (Conventional)</t>
        </is>
      </c>
      <c r="F36" s="13" t="inlineStr">
        <is>
          <t>Validate the requirement mapped to Common Rules Reference: Refer to Account Dashboard Common FSD</t>
        </is>
      </c>
      <c r="G36" s="13" t="inlineStr">
        <is>
          <t>UI / Functional</t>
        </is>
      </c>
      <c r="H36" s="13" t="inlineStr">
        <is>
          <t>Medium</t>
        </is>
      </c>
      <c r="I36" s="13" t="inlineStr">
        <is>
          <t>Acct Dashboard Financing!A9:F9</t>
        </is>
      </c>
      <c r="J36" s="14" t="inlineStr">
        <is>
          <t>Draft</t>
        </is>
      </c>
    </row>
    <row r="37" ht="151.8" customHeight="1" s="2">
      <c r="A37" s="15" t="inlineStr">
        <is>
          <t>TS-B1-036</t>
        </is>
      </c>
      <c r="B37" s="16" t="inlineStr">
        <is>
          <t>Acct Dashboard Financing</t>
        </is>
      </c>
      <c r="C37" s="16" t="inlineStr">
        <is>
          <t>Dashboard - Loan</t>
        </is>
      </c>
      <c r="D37" s="16" t="inlineStr">
        <is>
          <t>Mortgage Loan (Conventional)</t>
        </is>
      </c>
      <c r="E37" s="16" t="inlineStr">
        <is>
          <t>Validate 1.1 Loan Dashboard - Landing for Mortgage Loan (Conventional)</t>
        </is>
      </c>
      <c r="F37" s="16" t="inlineStr">
        <is>
          <t>Validate the requirement mapped to 1.1 Loan Dashboard - Landing: Step 1</t>
        </is>
      </c>
      <c r="G37" s="16" t="inlineStr">
        <is>
          <t>UI / Functional</t>
        </is>
      </c>
      <c r="H37" s="16" t="inlineStr">
        <is>
          <t>Medium</t>
        </is>
      </c>
      <c r="I37" s="16" t="inlineStr">
        <is>
          <t>Acct Dashboard Financing!A10:F10</t>
        </is>
      </c>
      <c r="J37" s="17" t="inlineStr">
        <is>
          <t>Draft</t>
        </is>
      </c>
    </row>
    <row r="38" ht="207" customHeight="1" s="2">
      <c r="A38" s="12" t="inlineStr">
        <is>
          <t>TS-B1-037</t>
        </is>
      </c>
      <c r="B38" s="13" t="inlineStr">
        <is>
          <t>Acct Dashboard Financing</t>
        </is>
      </c>
      <c r="C38" s="13" t="inlineStr">
        <is>
          <t>Dashboard - Loan</t>
        </is>
      </c>
      <c r="D38" s="13" t="inlineStr">
        <is>
          <t>Mortgage Loan (Conventional)</t>
        </is>
      </c>
      <c r="E38" s="13" t="inlineStr">
        <is>
          <t>Validate 1.2.1 View All Trans for Mortgage Loan (Conventional)</t>
        </is>
      </c>
      <c r="F38" s="13" t="inlineStr">
        <is>
          <t>Validate the requirement mapped to 1.2.1 View All Trans: Conditional Step 3 - when View all transactions is selected</t>
        </is>
      </c>
      <c r="G38" s="13" t="inlineStr">
        <is>
          <t>Functional</t>
        </is>
      </c>
      <c r="H38" s="13" t="inlineStr">
        <is>
          <t>Medium</t>
        </is>
      </c>
      <c r="I38" s="13" t="inlineStr">
        <is>
          <t>Acct Dashboard Financing!A12:F12</t>
        </is>
      </c>
      <c r="J38" s="14" t="inlineStr">
        <is>
          <t>Draft</t>
        </is>
      </c>
    </row>
    <row r="39" ht="124.2" customHeight="1" s="2">
      <c r="A39" s="15" t="inlineStr">
        <is>
          <t>TS-B1-038</t>
        </is>
      </c>
      <c r="B39" s="16" t="inlineStr">
        <is>
          <t>Acct Dashboard Financing</t>
        </is>
      </c>
      <c r="C39" s="16" t="inlineStr">
        <is>
          <t>Dashboard - Loan</t>
        </is>
      </c>
      <c r="D39" s="16" t="inlineStr">
        <is>
          <t>Mortgage Loan (Conventional)</t>
        </is>
      </c>
      <c r="E39" s="16" t="inlineStr">
        <is>
          <t>Validate 1.4 Mortgage Loan Acc for Mortgage Loan (Conventional)</t>
        </is>
      </c>
      <c r="F39" s="16" t="inlineStr">
        <is>
          <t>Validate the requirement mapped to 1.4 Mortgage Loan Acc: Step 11</t>
        </is>
      </c>
      <c r="G39" s="16" t="inlineStr">
        <is>
          <t>Functional</t>
        </is>
      </c>
      <c r="H39" s="16" t="inlineStr">
        <is>
          <t>Medium</t>
        </is>
      </c>
      <c r="I39" s="16" t="inlineStr">
        <is>
          <t>Acct Dashboard Financing!A20:F20</t>
        </is>
      </c>
      <c r="J39" s="17" t="inlineStr">
        <is>
          <t>Draft</t>
        </is>
      </c>
    </row>
    <row r="40" ht="179.4" customHeight="1" s="2">
      <c r="A40" s="12" t="inlineStr">
        <is>
          <t>TS-B1-039</t>
        </is>
      </c>
      <c r="B40" s="13" t="inlineStr">
        <is>
          <t>Acct Dashboard Financing</t>
        </is>
      </c>
      <c r="C40" s="13" t="inlineStr">
        <is>
          <t>Dashboard - Loan</t>
        </is>
      </c>
      <c r="D40" s="13" t="inlineStr">
        <is>
          <t>Mortgage Loan (Conventional)</t>
        </is>
      </c>
      <c r="E40" s="13" t="inlineStr">
        <is>
          <t>Final status and recovery for Mortgage Loan (Conventional)</t>
        </is>
      </c>
      <c r="F40" s="13" t="inlineStr">
        <is>
          <t>Validate successful completion, failure handling, and final-state integrity for Dashboard - Loan.</t>
        </is>
      </c>
      <c r="G40" s="13" t="inlineStr">
        <is>
          <t>Functional / Negative</t>
        </is>
      </c>
      <c r="H40" s="13" t="inlineStr">
        <is>
          <t>High</t>
        </is>
      </c>
      <c r="I40" s="13" t="inlineStr">
        <is>
          <t>Acct Dashboard Financing!F1:F62</t>
        </is>
      </c>
      <c r="J40" s="14" t="inlineStr">
        <is>
          <t>Draft</t>
        </is>
      </c>
    </row>
    <row r="41" ht="151.8" customHeight="1" s="2">
      <c r="A41" s="15" t="inlineStr">
        <is>
          <t>TS-B1-040</t>
        </is>
      </c>
      <c r="B41" s="16" t="inlineStr">
        <is>
          <t>Acct Dashboard Financing</t>
        </is>
      </c>
      <c r="C41" s="16" t="inlineStr">
        <is>
          <t>Dashboard - Loan</t>
        </is>
      </c>
      <c r="D41" s="16" t="inlineStr">
        <is>
          <t>Mortgage Loan (Shariah)</t>
        </is>
      </c>
      <c r="E41" s="16" t="inlineStr">
        <is>
          <t>Access and open Mortgage Loan (Shariah)</t>
        </is>
      </c>
      <c r="F41" s="16" t="inlineStr">
        <is>
          <t>Validate the configured entry point, customer eligibility, and initial page for Dashboard - Loan.</t>
        </is>
      </c>
      <c r="G41" s="16" t="inlineStr">
        <is>
          <t>Functional</t>
        </is>
      </c>
      <c r="H41" s="16" t="inlineStr">
        <is>
          <t>Medium</t>
        </is>
      </c>
      <c r="I41" s="16" t="inlineStr">
        <is>
          <t>Acct Dashboard Financing!G1:G62</t>
        </is>
      </c>
      <c r="J41" s="17" t="inlineStr">
        <is>
          <t>Draft</t>
        </is>
      </c>
    </row>
    <row r="42" ht="124.2" customHeight="1" s="2">
      <c r="A42" s="12" t="inlineStr">
        <is>
          <t>TS-B1-041</t>
        </is>
      </c>
      <c r="B42" s="13" t="inlineStr">
        <is>
          <t>Acct Dashboard Financing</t>
        </is>
      </c>
      <c r="C42" s="13" t="inlineStr">
        <is>
          <t>Dashboard - Loan</t>
        </is>
      </c>
      <c r="D42" s="13" t="inlineStr">
        <is>
          <t>Mortgage Loan (Shariah)</t>
        </is>
      </c>
      <c r="E42" s="13" t="inlineStr">
        <is>
          <t>Authentication and authorisation for Mortgage Loan (Shariah)</t>
        </is>
      </c>
      <c r="F42" s="13" t="inlineStr">
        <is>
          <t>Validate all authentication requirements stated for Dashboard - Loan.</t>
        </is>
      </c>
      <c r="G42" s="13" t="inlineStr">
        <is>
          <t>Security</t>
        </is>
      </c>
      <c r="H42" s="13" t="inlineStr">
        <is>
          <t>High</t>
        </is>
      </c>
      <c r="I42" s="13" t="inlineStr">
        <is>
          <t>Acct Dashboard Financing!G1:G62</t>
        </is>
      </c>
      <c r="J42" s="14" t="inlineStr">
        <is>
          <t>Draft</t>
        </is>
      </c>
    </row>
    <row r="43" ht="220.8" customHeight="1" s="2">
      <c r="A43" s="15" t="inlineStr">
        <is>
          <t>TS-B1-042</t>
        </is>
      </c>
      <c r="B43" s="16" t="inlineStr">
        <is>
          <t>Acct Dashboard Financing</t>
        </is>
      </c>
      <c r="C43" s="16" t="inlineStr">
        <is>
          <t>Dashboard - Loan</t>
        </is>
      </c>
      <c r="D43" s="16" t="inlineStr">
        <is>
          <t>Mortgage Loan (Shariah)</t>
        </is>
      </c>
      <c r="E43" s="16" t="inlineStr">
        <is>
          <t>Validate Common Rules Reference for Mortgage Loan (Shariah)</t>
        </is>
      </c>
      <c r="F43" s="16" t="inlineStr">
        <is>
          <t>Validate the requirement mapped to Common Rules Reference: Refer to Account Dashboard Common FSD</t>
        </is>
      </c>
      <c r="G43" s="16" t="inlineStr">
        <is>
          <t>UI / Functional</t>
        </is>
      </c>
      <c r="H43" s="16" t="inlineStr">
        <is>
          <t>Medium</t>
        </is>
      </c>
      <c r="I43" s="16" t="inlineStr">
        <is>
          <t>Acct Dashboard Financing!A9:G9</t>
        </is>
      </c>
      <c r="J43" s="17" t="inlineStr">
        <is>
          <t>Draft</t>
        </is>
      </c>
    </row>
    <row r="44" ht="151.8" customHeight="1" s="2">
      <c r="A44" s="12" t="inlineStr">
        <is>
          <t>TS-B1-043</t>
        </is>
      </c>
      <c r="B44" s="13" t="inlineStr">
        <is>
          <t>Acct Dashboard Financing</t>
        </is>
      </c>
      <c r="C44" s="13" t="inlineStr">
        <is>
          <t>Dashboard - Loan</t>
        </is>
      </c>
      <c r="D44" s="13" t="inlineStr">
        <is>
          <t>Mortgage Loan (Shariah)</t>
        </is>
      </c>
      <c r="E44" s="13" t="inlineStr">
        <is>
          <t>Validate 1.1 Loan Dashboard - Landing for Mortgage Loan (Shariah)</t>
        </is>
      </c>
      <c r="F44" s="13" t="inlineStr">
        <is>
          <t>Validate the requirement mapped to 1.1 Loan Dashboard - Landing: Step 1</t>
        </is>
      </c>
      <c r="G44" s="13" t="inlineStr">
        <is>
          <t>UI / Functional</t>
        </is>
      </c>
      <c r="H44" s="13" t="inlineStr">
        <is>
          <t>Medium</t>
        </is>
      </c>
      <c r="I44" s="13" t="inlineStr">
        <is>
          <t>Acct Dashboard Financing!A10:G10</t>
        </is>
      </c>
      <c r="J44" s="14" t="inlineStr">
        <is>
          <t>Draft</t>
        </is>
      </c>
    </row>
    <row r="45" ht="207" customHeight="1" s="2">
      <c r="A45" s="15" t="inlineStr">
        <is>
          <t>TS-B1-044</t>
        </is>
      </c>
      <c r="B45" s="16" t="inlineStr">
        <is>
          <t>Acct Dashboard Financing</t>
        </is>
      </c>
      <c r="C45" s="16" t="inlineStr">
        <is>
          <t>Dashboard - Loan</t>
        </is>
      </c>
      <c r="D45" s="16" t="inlineStr">
        <is>
          <t>Mortgage Loan (Shariah)</t>
        </is>
      </c>
      <c r="E45" s="16" t="inlineStr">
        <is>
          <t>Validate 1.2.1 View All Trans for Mortgage Loan (Shariah)</t>
        </is>
      </c>
      <c r="F45" s="16" t="inlineStr">
        <is>
          <t>Validate the requirement mapped to 1.2.1 View All Trans: Conditional Step 3 - when View all transactions is selected</t>
        </is>
      </c>
      <c r="G45" s="16" t="inlineStr">
        <is>
          <t>Functional</t>
        </is>
      </c>
      <c r="H45" s="16" t="inlineStr">
        <is>
          <t>Medium</t>
        </is>
      </c>
      <c r="I45" s="16" t="inlineStr">
        <is>
          <t>Acct Dashboard Financing!A12:G12</t>
        </is>
      </c>
      <c r="J45" s="17" t="inlineStr">
        <is>
          <t>Draft</t>
        </is>
      </c>
    </row>
    <row r="46" ht="138" customHeight="1" s="2">
      <c r="A46" s="12" t="inlineStr">
        <is>
          <t>TS-B1-045</t>
        </is>
      </c>
      <c r="B46" s="13" t="inlineStr">
        <is>
          <t>Acct Dashboard Financing</t>
        </is>
      </c>
      <c r="C46" s="13" t="inlineStr">
        <is>
          <t>Dashboard - Loan</t>
        </is>
      </c>
      <c r="D46" s="13" t="inlineStr">
        <is>
          <t>Mortgage Loan (Shariah)</t>
        </is>
      </c>
      <c r="E46" s="13" t="inlineStr">
        <is>
          <t>Validate 1.4.1 Mortgage Loan Shariah for Mortgage Loan (Shariah)</t>
        </is>
      </c>
      <c r="F46" s="13" t="inlineStr">
        <is>
          <t>Validate the requirement mapped to 1.4.1 Mortgage Loan Shariah: Step 12</t>
        </is>
      </c>
      <c r="G46" s="13" t="inlineStr">
        <is>
          <t>Functional</t>
        </is>
      </c>
      <c r="H46" s="13" t="inlineStr">
        <is>
          <t>Medium</t>
        </is>
      </c>
      <c r="I46" s="13" t="inlineStr">
        <is>
          <t>Acct Dashboard Financing!A21:G21</t>
        </is>
      </c>
      <c r="J46" s="14" t="inlineStr">
        <is>
          <t>Draft</t>
        </is>
      </c>
    </row>
    <row r="47" ht="179.4" customHeight="1" s="2">
      <c r="A47" s="15" t="inlineStr">
        <is>
          <t>TS-B1-046</t>
        </is>
      </c>
      <c r="B47" s="16" t="inlineStr">
        <is>
          <t>Acct Dashboard Financing</t>
        </is>
      </c>
      <c r="C47" s="16" t="inlineStr">
        <is>
          <t>Dashboard - Loan</t>
        </is>
      </c>
      <c r="D47" s="16" t="inlineStr">
        <is>
          <t>Mortgage Loan (Shariah)</t>
        </is>
      </c>
      <c r="E47" s="16" t="inlineStr">
        <is>
          <t>Final status and recovery for Mortgage Loan (Shariah)</t>
        </is>
      </c>
      <c r="F47" s="16" t="inlineStr">
        <is>
          <t>Validate successful completion, failure handling, and final-state integrity for Dashboard - Loan.</t>
        </is>
      </c>
      <c r="G47" s="16" t="inlineStr">
        <is>
          <t>Functional / Negative</t>
        </is>
      </c>
      <c r="H47" s="16" t="inlineStr">
        <is>
          <t>High</t>
        </is>
      </c>
      <c r="I47" s="16" t="inlineStr">
        <is>
          <t>Acct Dashboard Financing!G1:G62</t>
        </is>
      </c>
      <c r="J47" s="17" t="inlineStr">
        <is>
          <t>Draft</t>
        </is>
      </c>
    </row>
    <row r="48" ht="220.8" customHeight="1" s="2">
      <c r="A48" s="12" t="inlineStr">
        <is>
          <t>TS-B1-047</t>
        </is>
      </c>
      <c r="B48" s="13" t="inlineStr">
        <is>
          <t>Acct Dashboard Financing</t>
        </is>
      </c>
      <c r="C48" s="13" t="inlineStr">
        <is>
          <t>Dashboard - Credit Card / Card Management</t>
        </is>
      </c>
      <c r="D48" s="13" t="inlineStr">
        <is>
          <t>Credit Card (Visa/Mastercard)</t>
        </is>
      </c>
      <c r="E48" s="13" t="inlineStr">
        <is>
          <t>Access and open Credit Card (Visa/Mastercard)</t>
        </is>
      </c>
      <c r="F48" s="13" t="inlineStr">
        <is>
          <t>Validate the configured entry point, customer eligibility, and initial page for Dashboard - Credit Card / Card Management.</t>
        </is>
      </c>
      <c r="G48" s="13" t="inlineStr">
        <is>
          <t>Functional</t>
        </is>
      </c>
      <c r="H48" s="13" t="inlineStr">
        <is>
          <t>Medium</t>
        </is>
      </c>
      <c r="I48" s="13" t="inlineStr">
        <is>
          <t>Acct Dashboard Financing!H1:H62</t>
        </is>
      </c>
      <c r="J48" s="14" t="inlineStr">
        <is>
          <t>Draft</t>
        </is>
      </c>
    </row>
    <row r="49" ht="193.2" customHeight="1" s="2">
      <c r="A49" s="15" t="inlineStr">
        <is>
          <t>TS-B1-048</t>
        </is>
      </c>
      <c r="B49" s="16" t="inlineStr">
        <is>
          <t>Acct Dashboard Financing</t>
        </is>
      </c>
      <c r="C49" s="16" t="inlineStr">
        <is>
          <t>Dashboard - Credit Card / Card Management</t>
        </is>
      </c>
      <c r="D49" s="16" t="inlineStr">
        <is>
          <t>Credit Card (Visa/Mastercard)</t>
        </is>
      </c>
      <c r="E49" s="16" t="inlineStr">
        <is>
          <t>Authentication and authorisation for Credit Card (Visa/Mastercard)</t>
        </is>
      </c>
      <c r="F49" s="16" t="inlineStr">
        <is>
          <t>Validate all authentication requirements stated for Dashboard - Credit Card / Card Management.</t>
        </is>
      </c>
      <c r="G49" s="16" t="inlineStr">
        <is>
          <t>Security</t>
        </is>
      </c>
      <c r="H49" s="16" t="inlineStr">
        <is>
          <t>High</t>
        </is>
      </c>
      <c r="I49" s="16" t="inlineStr">
        <is>
          <t>Acct Dashboard Financing!H1:H62</t>
        </is>
      </c>
      <c r="J49" s="17" t="inlineStr">
        <is>
          <t>Draft</t>
        </is>
      </c>
    </row>
    <row r="50" ht="220.8" customHeight="1" s="2">
      <c r="A50" s="12" t="inlineStr">
        <is>
          <t>TS-B1-049</t>
        </is>
      </c>
      <c r="B50" s="13" t="inlineStr">
        <is>
          <t>Acct Dashboard Financing</t>
        </is>
      </c>
      <c r="C50" s="13" t="inlineStr">
        <is>
          <t>Dashboard - Credit Card / Card Management</t>
        </is>
      </c>
      <c r="D50" s="13" t="inlineStr">
        <is>
          <t>Credit Card (Visa/Mastercard)</t>
        </is>
      </c>
      <c r="E50" s="13" t="inlineStr">
        <is>
          <t>Validate Common Rules Reference for Credit Card (Visa/Mastercard)</t>
        </is>
      </c>
      <c r="F50" s="13" t="inlineStr">
        <is>
          <t>Validate the requirement mapped to Common Rules Reference: Refer to Account Dashboard Common FSD</t>
        </is>
      </c>
      <c r="G50" s="13" t="inlineStr">
        <is>
          <t>UI / Functional</t>
        </is>
      </c>
      <c r="H50" s="13" t="inlineStr">
        <is>
          <t>Medium</t>
        </is>
      </c>
      <c r="I50" s="13" t="inlineStr">
        <is>
          <t>Acct Dashboard Financing!A9:H9</t>
        </is>
      </c>
      <c r="J50" s="14" t="inlineStr">
        <is>
          <t>Draft</t>
        </is>
      </c>
    </row>
    <row r="51" ht="138" customHeight="1" s="2">
      <c r="A51" s="15" t="inlineStr">
        <is>
          <t>TS-B1-050</t>
        </is>
      </c>
      <c r="B51" s="16" t="inlineStr">
        <is>
          <t>Acct Dashboard Financing</t>
        </is>
      </c>
      <c r="C51" s="16" t="inlineStr">
        <is>
          <t>Dashboard - Credit Card / Card Management</t>
        </is>
      </c>
      <c r="D51" s="16" t="inlineStr">
        <is>
          <t>Credit Card (Visa/Mastercard)</t>
        </is>
      </c>
      <c r="E51" s="16" t="inlineStr">
        <is>
          <t>Validate 2.1 CC Dashboard - Landing for Credit Card (Visa/Mastercard)</t>
        </is>
      </c>
      <c r="F51" s="16" t="inlineStr">
        <is>
          <t>Validate the requirement mapped to 2.1 CC Dashboard - Landing: Step 13</t>
        </is>
      </c>
      <c r="G51" s="16" t="inlineStr">
        <is>
          <t>UI / Functional</t>
        </is>
      </c>
      <c r="H51" s="16" t="inlineStr">
        <is>
          <t>Medium</t>
        </is>
      </c>
      <c r="I51" s="16" t="inlineStr">
        <is>
          <t>Acct Dashboard Financing!A22:H22</t>
        </is>
      </c>
      <c r="J51" s="17" t="inlineStr">
        <is>
          <t>Draft</t>
        </is>
      </c>
    </row>
    <row r="52" ht="220.8" customHeight="1" s="2">
      <c r="A52" s="12" t="inlineStr">
        <is>
          <t>TS-B1-051</t>
        </is>
      </c>
      <c r="B52" s="13" t="inlineStr">
        <is>
          <t>Acct Dashboard Financing</t>
        </is>
      </c>
      <c r="C52" s="13" t="inlineStr">
        <is>
          <t>Dashboard - Credit Card / Card Management</t>
        </is>
      </c>
      <c r="D52" s="13" t="inlineStr">
        <is>
          <t>Credit Card (Visa/Mastercard)</t>
        </is>
      </c>
      <c r="E52" s="13" t="inlineStr">
        <is>
          <t>Validate 2.1.2 Card Details for Credit Card (Visa/Mastercard)</t>
        </is>
      </c>
      <c r="F52" s="13" t="inlineStr">
        <is>
          <t>Validate the requirement mapped to 2.1.2 Card Details: Optional Step 14 - when Card Details quick action is tapped</t>
        </is>
      </c>
      <c r="G52" s="13" t="inlineStr">
        <is>
          <t>UI / Functional</t>
        </is>
      </c>
      <c r="H52" s="13" t="inlineStr">
        <is>
          <t>Medium</t>
        </is>
      </c>
      <c r="I52" s="13" t="inlineStr">
        <is>
          <t>Acct Dashboard Financing!A23:H23</t>
        </is>
      </c>
      <c r="J52" s="14" t="inlineStr">
        <is>
          <t>Draft</t>
        </is>
      </c>
    </row>
    <row r="53" ht="234.6" customHeight="1" s="2">
      <c r="A53" s="15" t="inlineStr">
        <is>
          <t>TS-B1-052</t>
        </is>
      </c>
      <c r="B53" s="16" t="inlineStr">
        <is>
          <t>Acct Dashboard Financing</t>
        </is>
      </c>
      <c r="C53" s="16" t="inlineStr">
        <is>
          <t>Dashboard - Credit Card / Card Management</t>
        </is>
      </c>
      <c r="D53" s="16" t="inlineStr">
        <is>
          <t>Credit Card (Visa/Mastercard)</t>
        </is>
      </c>
      <c r="E53" s="16" t="inlineStr">
        <is>
          <t>Validate 2.1.3 CC Activation for Credit Card (Visa/Mastercard)</t>
        </is>
      </c>
      <c r="F53" s="16" t="inlineStr">
        <is>
          <t>Validate the requirement mapped to 2.1.3 CC Activation: Conditional Step 15 - pending activation and card type Visa/Mastercard</t>
        </is>
      </c>
      <c r="G53" s="16" t="inlineStr">
        <is>
          <t>Functional</t>
        </is>
      </c>
      <c r="H53" s="16" t="inlineStr">
        <is>
          <t>High</t>
        </is>
      </c>
      <c r="I53" s="16" t="inlineStr">
        <is>
          <t>Acct Dashboard Financing!A24:H24</t>
        </is>
      </c>
      <c r="J53" s="17" t="inlineStr">
        <is>
          <t>Draft</t>
        </is>
      </c>
    </row>
    <row r="54" ht="138" customHeight="1" s="2">
      <c r="A54" s="12" t="inlineStr">
        <is>
          <t>TS-B1-053</t>
        </is>
      </c>
      <c r="B54" s="13" t="inlineStr">
        <is>
          <t>Acct Dashboard Financing</t>
        </is>
      </c>
      <c r="C54" s="13" t="inlineStr">
        <is>
          <t>Dashboard - Credit Card / Card Management</t>
        </is>
      </c>
      <c r="D54" s="13" t="inlineStr">
        <is>
          <t>Credit Card (Visa/Mastercard)</t>
        </is>
      </c>
      <c r="E54" s="13" t="inlineStr">
        <is>
          <t>Validate 2.2 CC &gt; Transactions for Credit Card (Visa/Mastercard)</t>
        </is>
      </c>
      <c r="F54" s="13" t="inlineStr">
        <is>
          <t>Validate the requirement mapped to 2.2 CC &gt; Transactions: Step 17</t>
        </is>
      </c>
      <c r="G54" s="13" t="inlineStr">
        <is>
          <t>Functional</t>
        </is>
      </c>
      <c r="H54" s="13" t="inlineStr">
        <is>
          <t>Medium</t>
        </is>
      </c>
      <c r="I54" s="13" t="inlineStr">
        <is>
          <t>Acct Dashboard Financing!A26:H26</t>
        </is>
      </c>
      <c r="J54" s="14" t="inlineStr">
        <is>
          <t>Draft</t>
        </is>
      </c>
    </row>
    <row r="55" ht="207" customHeight="1" s="2">
      <c r="A55" s="15" t="inlineStr">
        <is>
          <t>TS-B1-054</t>
        </is>
      </c>
      <c r="B55" s="16" t="inlineStr">
        <is>
          <t>Acct Dashboard Financing</t>
        </is>
      </c>
      <c r="C55" s="16" t="inlineStr">
        <is>
          <t>Dashboard - Credit Card / Card Management</t>
        </is>
      </c>
      <c r="D55" s="16" t="inlineStr">
        <is>
          <t>Credit Card (Visa/Mastercard)</t>
        </is>
      </c>
      <c r="E55" s="16" t="inlineStr">
        <is>
          <t>Validate 2.2.1 CC View All Trans for Credit Card (Visa/Mastercard)</t>
        </is>
      </c>
      <c r="F55" s="16" t="inlineStr">
        <is>
          <t>Validate the requirement mapped to 2.2.1 CC View All Trans: Optional Step 18 - when View all transactions is selected</t>
        </is>
      </c>
      <c r="G55" s="16" t="inlineStr">
        <is>
          <t>Functional</t>
        </is>
      </c>
      <c r="H55" s="16" t="inlineStr">
        <is>
          <t>Medium</t>
        </is>
      </c>
      <c r="I55" s="16" t="inlineStr">
        <is>
          <t>Acct Dashboard Financing!A27:H27</t>
        </is>
      </c>
      <c r="J55" s="17" t="inlineStr">
        <is>
          <t>Draft</t>
        </is>
      </c>
    </row>
    <row r="56" ht="179.4" customHeight="1" s="2">
      <c r="A56" s="12" t="inlineStr">
        <is>
          <t>TS-B1-055</t>
        </is>
      </c>
      <c r="B56" s="13" t="inlineStr">
        <is>
          <t>Acct Dashboard Financing</t>
        </is>
      </c>
      <c r="C56" s="13" t="inlineStr">
        <is>
          <t>Dashboard - Credit Card / Card Management</t>
        </is>
      </c>
      <c r="D56" s="13" t="inlineStr">
        <is>
          <t>Credit Card (Visa/Mastercard)</t>
        </is>
      </c>
      <c r="E56" s="13" t="inlineStr">
        <is>
          <t>Validate 2.2.1.1 Convert TREATS for Credit Card (Visa/Mastercard)</t>
        </is>
      </c>
      <c r="F56" s="13" t="inlineStr">
        <is>
          <t>Validate the requirement mapped to 2.2.1.1 Convert TREATS: Conditional Step 19 - Refer to Rewards FSD</t>
        </is>
      </c>
      <c r="G56" s="13" t="inlineStr">
        <is>
          <t>Functional</t>
        </is>
      </c>
      <c r="H56" s="13" t="inlineStr">
        <is>
          <t>Medium</t>
        </is>
      </c>
      <c r="I56" s="13" t="inlineStr">
        <is>
          <t>Acct Dashboard Financing!A28:H28</t>
        </is>
      </c>
      <c r="J56" s="14" t="inlineStr">
        <is>
          <t>Draft</t>
        </is>
      </c>
    </row>
    <row r="57" ht="220.8" customHeight="1" s="2">
      <c r="A57" s="15" t="inlineStr">
        <is>
          <t>TS-B1-056</t>
        </is>
      </c>
      <c r="B57" s="16" t="inlineStr">
        <is>
          <t>Acct Dashboard Financing</t>
        </is>
      </c>
      <c r="C57" s="16" t="inlineStr">
        <is>
          <t>Dashboard - Credit Card / Card Management</t>
        </is>
      </c>
      <c r="D57" s="16" t="inlineStr">
        <is>
          <t>Credit Card (Visa/Mastercard)</t>
        </is>
      </c>
      <c r="E57" s="16" t="inlineStr">
        <is>
          <t>Validate 2.2.1.2 View Receipts for Credit Card (Visa/Mastercard)</t>
        </is>
      </c>
      <c r="F57" s="16" t="inlineStr">
        <is>
          <t>Validate the requirement mapped to 2.2.1.2 View Receipts: Conditional Step 20 - when receipt-eligible transaction is selected</t>
        </is>
      </c>
      <c r="G57" s="16" t="inlineStr">
        <is>
          <t>Functional</t>
        </is>
      </c>
      <c r="H57" s="16" t="inlineStr">
        <is>
          <t>Medium</t>
        </is>
      </c>
      <c r="I57" s="16" t="inlineStr">
        <is>
          <t>Acct Dashboard Financing!A29:H29</t>
        </is>
      </c>
      <c r="J57" s="17" t="inlineStr">
        <is>
          <t>Draft</t>
        </is>
      </c>
    </row>
    <row r="58" ht="248.4" customHeight="1" s="2">
      <c r="A58" s="12" t="inlineStr">
        <is>
          <t>TS-B1-057</t>
        </is>
      </c>
      <c r="B58" s="13" t="inlineStr">
        <is>
          <t>Acct Dashboard Financing</t>
        </is>
      </c>
      <c r="C58" s="13" t="inlineStr">
        <is>
          <t>Dashboard - Credit Card / Card Management</t>
        </is>
      </c>
      <c r="D58" s="13" t="inlineStr">
        <is>
          <t>Credit Card (Visa/Mastercard)</t>
        </is>
      </c>
      <c r="E58" s="13" t="inlineStr">
        <is>
          <t>Validate 2.2.1.3 Card Statement for Credit Card (Visa/Mastercard)</t>
        </is>
      </c>
      <c r="F58" s="13" t="inlineStr">
        <is>
          <t>Validate the requirement mapped to 2.2.1.3 Card Statement: Conditional Step 21 - Needs PO/BA clarification (JIRA TBC; integration "?")</t>
        </is>
      </c>
      <c r="G58" s="13" t="inlineStr">
        <is>
          <t>Functional</t>
        </is>
      </c>
      <c r="H58" s="13" t="inlineStr">
        <is>
          <t>Medium</t>
        </is>
      </c>
      <c r="I58" s="13" t="inlineStr">
        <is>
          <t>Acct Dashboard Financing!A30:H30</t>
        </is>
      </c>
      <c r="J58" s="14" t="inlineStr">
        <is>
          <t>Draft</t>
        </is>
      </c>
    </row>
    <row r="59" ht="124.2" customHeight="1" s="2">
      <c r="A59" s="15" t="inlineStr">
        <is>
          <t>TS-B1-058</t>
        </is>
      </c>
      <c r="B59" s="16" t="inlineStr">
        <is>
          <t>Acct Dashboard Financing</t>
        </is>
      </c>
      <c r="C59" s="16" t="inlineStr">
        <is>
          <t>Dashboard - Credit Card / Card Management</t>
        </is>
      </c>
      <c r="D59" s="16" t="inlineStr">
        <is>
          <t>Credit Card (Visa/Mastercard)</t>
        </is>
      </c>
      <c r="E59" s="16" t="inlineStr">
        <is>
          <t>Validate 2.3 CC &gt; Summary for Credit Card (Visa/Mastercard)</t>
        </is>
      </c>
      <c r="F59" s="16" t="inlineStr">
        <is>
          <t>Validate the requirement mapped to 2.3 CC &gt; Summary: Step 22</t>
        </is>
      </c>
      <c r="G59" s="16" t="inlineStr">
        <is>
          <t>UI / Functional</t>
        </is>
      </c>
      <c r="H59" s="16" t="inlineStr">
        <is>
          <t>Medium</t>
        </is>
      </c>
      <c r="I59" s="16" t="inlineStr">
        <is>
          <t>Acct Dashboard Financing!A31:H31</t>
        </is>
      </c>
      <c r="J59" s="17" t="inlineStr">
        <is>
          <t>Draft</t>
        </is>
      </c>
    </row>
    <row r="60" ht="124.2" customHeight="1" s="2">
      <c r="A60" s="12" t="inlineStr">
        <is>
          <t>TS-B1-059</t>
        </is>
      </c>
      <c r="B60" s="13" t="inlineStr">
        <is>
          <t>Acct Dashboard Financing</t>
        </is>
      </c>
      <c r="C60" s="13" t="inlineStr">
        <is>
          <t>Dashboard - Credit Card / Card Management</t>
        </is>
      </c>
      <c r="D60" s="13" t="inlineStr">
        <is>
          <t>Credit Card (Visa/Mastercard)</t>
        </is>
      </c>
      <c r="E60" s="13" t="inlineStr">
        <is>
          <t>Validate 2.4 CC &gt; Manage for Credit Card (Visa/Mastercard)</t>
        </is>
      </c>
      <c r="F60" s="13" t="inlineStr">
        <is>
          <t>Validate the requirement mapped to 2.4 CC &gt; Manage: Step 23</t>
        </is>
      </c>
      <c r="G60" s="13" t="inlineStr">
        <is>
          <t>Functional</t>
        </is>
      </c>
      <c r="H60" s="13" t="inlineStr">
        <is>
          <t>Medium</t>
        </is>
      </c>
      <c r="I60" s="13" t="inlineStr">
        <is>
          <t>Acct Dashboard Financing!A32:H32</t>
        </is>
      </c>
      <c r="J60" s="14" t="inlineStr">
        <is>
          <t>Draft</t>
        </is>
      </c>
    </row>
    <row r="61" ht="179.4" customHeight="1" s="2">
      <c r="A61" s="15" t="inlineStr">
        <is>
          <t>TS-B1-060</t>
        </is>
      </c>
      <c r="B61" s="16" t="inlineStr">
        <is>
          <t>Acct Dashboard Financing</t>
        </is>
      </c>
      <c r="C61" s="16" t="inlineStr">
        <is>
          <t>Dashboard - Credit Card / Card Management</t>
        </is>
      </c>
      <c r="D61" s="16" t="inlineStr">
        <is>
          <t>Credit Card (Visa/Mastercard)</t>
        </is>
      </c>
      <c r="E61" s="16" t="inlineStr">
        <is>
          <t>Validate 2.4.1 XCash for Credit Card (Visa/Mastercard)</t>
        </is>
      </c>
      <c r="F61" s="16" t="inlineStr">
        <is>
          <t>Validate the requirement mapped to 2.4.1 XCash: Conditional Step 24 - if XCash eligible and enabled</t>
        </is>
      </c>
      <c r="G61" s="16" t="inlineStr">
        <is>
          <t>Functional</t>
        </is>
      </c>
      <c r="H61" s="16" t="inlineStr">
        <is>
          <t>Medium</t>
        </is>
      </c>
      <c r="I61" s="16" t="inlineStr">
        <is>
          <t>Acct Dashboard Financing!A33:H33</t>
        </is>
      </c>
      <c r="J61" s="17" t="inlineStr">
        <is>
          <t>Draft</t>
        </is>
      </c>
    </row>
    <row r="62" ht="207" customHeight="1" s="2">
      <c r="A62" s="12" t="inlineStr">
        <is>
          <t>TS-B1-061</t>
        </is>
      </c>
      <c r="B62" s="13" t="inlineStr">
        <is>
          <t>Acct Dashboard Financing</t>
        </is>
      </c>
      <c r="C62" s="13" t="inlineStr">
        <is>
          <t>Dashboard - Credit Card / Card Management</t>
        </is>
      </c>
      <c r="D62" s="13" t="inlineStr">
        <is>
          <t>Credit Card (Visa/Mastercard)</t>
        </is>
      </c>
      <c r="E62" s="13" t="inlineStr">
        <is>
          <t>Validate 2.4.1.1 XCash Apply Input for Credit Card (Visa/Mastercard)</t>
        </is>
      </c>
      <c r="F62" s="13" t="inlineStr">
        <is>
          <t>Validate the requirement mapped to 2.4.1.1 XCash Apply Input: Conditional Step 25 - if proceeding with XCash</t>
        </is>
      </c>
      <c r="G62" s="13" t="inlineStr">
        <is>
          <t>Functional</t>
        </is>
      </c>
      <c r="H62" s="13" t="inlineStr">
        <is>
          <t>Medium</t>
        </is>
      </c>
      <c r="I62" s="13" t="inlineStr">
        <is>
          <t>Acct Dashboard Financing!A34:H34</t>
        </is>
      </c>
      <c r="J62" s="14" t="inlineStr">
        <is>
          <t>Draft</t>
        </is>
      </c>
    </row>
    <row r="63" ht="207" customHeight="1" s="2">
      <c r="A63" s="15" t="inlineStr">
        <is>
          <t>TS-B1-062</t>
        </is>
      </c>
      <c r="B63" s="16" t="inlineStr">
        <is>
          <t>Acct Dashboard Financing</t>
        </is>
      </c>
      <c r="C63" s="16" t="inlineStr">
        <is>
          <t>Dashboard - Credit Card / Card Management</t>
        </is>
      </c>
      <c r="D63" s="16" t="inlineStr">
        <is>
          <t>Credit Card (Visa/Mastercard)</t>
        </is>
      </c>
      <c r="E63" s="16" t="inlineStr">
        <is>
          <t>Validate 2.4.1.2 XCash Apply Acc for Credit Card (Visa/Mastercard)</t>
        </is>
      </c>
      <c r="F63" s="16" t="inlineStr">
        <is>
          <t>Validate the requirement mapped to 2.4.1.2 XCash Apply Acc: Conditional Step 26 - if proceeding with XCash</t>
        </is>
      </c>
      <c r="G63" s="16" t="inlineStr">
        <is>
          <t>Functional</t>
        </is>
      </c>
      <c r="H63" s="16" t="inlineStr">
        <is>
          <t>Medium</t>
        </is>
      </c>
      <c r="I63" s="16" t="inlineStr">
        <is>
          <t>Acct Dashboard Financing!A35:H35</t>
        </is>
      </c>
      <c r="J63" s="17" t="inlineStr">
        <is>
          <t>Draft</t>
        </is>
      </c>
    </row>
    <row r="64" ht="207" customHeight="1" s="2">
      <c r="A64" s="12" t="inlineStr">
        <is>
          <t>TS-B1-063</t>
        </is>
      </c>
      <c r="B64" s="13" t="inlineStr">
        <is>
          <t>Acct Dashboard Financing</t>
        </is>
      </c>
      <c r="C64" s="13" t="inlineStr">
        <is>
          <t>Dashboard - Credit Card / Card Management</t>
        </is>
      </c>
      <c r="D64" s="13" t="inlineStr">
        <is>
          <t>Credit Card (Visa/Mastercard)</t>
        </is>
      </c>
      <c r="E64" s="13" t="inlineStr">
        <is>
          <t>Validate 2.4.1.3 XCash Apply TnC for Credit Card (Visa/Mastercard)</t>
        </is>
      </c>
      <c r="F64" s="13" t="inlineStr">
        <is>
          <t>Validate the requirement mapped to 2.4.1.3 XCash Apply TnC: Conditional Step 27 - if proceeding with XCash</t>
        </is>
      </c>
      <c r="G64" s="13" t="inlineStr">
        <is>
          <t>Functional</t>
        </is>
      </c>
      <c r="H64" s="13" t="inlineStr">
        <is>
          <t>Medium</t>
        </is>
      </c>
      <c r="I64" s="13" t="inlineStr">
        <is>
          <t>Acct Dashboard Financing!A36:H36</t>
        </is>
      </c>
      <c r="J64" s="14" t="inlineStr">
        <is>
          <t>Draft</t>
        </is>
      </c>
    </row>
    <row r="65" ht="207" customHeight="1" s="2">
      <c r="A65" s="15" t="inlineStr">
        <is>
          <t>TS-B1-064</t>
        </is>
      </c>
      <c r="B65" s="16" t="inlineStr">
        <is>
          <t>Acct Dashboard Financing</t>
        </is>
      </c>
      <c r="C65" s="16" t="inlineStr">
        <is>
          <t>Dashboard - Credit Card / Card Management</t>
        </is>
      </c>
      <c r="D65" s="16" t="inlineStr">
        <is>
          <t>Credit Card (Visa/Mastercard)</t>
        </is>
      </c>
      <c r="E65" s="16" t="inlineStr">
        <is>
          <t>Validate 2.4.1.4 XCash Apply Confirm for Credit Card (Visa/Mastercard)</t>
        </is>
      </c>
      <c r="F65" s="16" t="inlineStr">
        <is>
          <t>Validate the requirement mapped to 2.4.1.4 XCash Apply Confirm: Conditional Step 28 - if proceeding with XCash</t>
        </is>
      </c>
      <c r="G65" s="16" t="inlineStr">
        <is>
          <t>Functional</t>
        </is>
      </c>
      <c r="H65" s="16" t="inlineStr">
        <is>
          <t>Medium</t>
        </is>
      </c>
      <c r="I65" s="16" t="inlineStr">
        <is>
          <t>Acct Dashboard Financing!A37:H37</t>
        </is>
      </c>
      <c r="J65" s="17" t="inlineStr">
        <is>
          <t>Draft</t>
        </is>
      </c>
    </row>
    <row r="66" ht="207" customHeight="1" s="2">
      <c r="A66" s="12" t="inlineStr">
        <is>
          <t>TS-B1-065</t>
        </is>
      </c>
      <c r="B66" s="13" t="inlineStr">
        <is>
          <t>Acct Dashboard Financing</t>
        </is>
      </c>
      <c r="C66" s="13" t="inlineStr">
        <is>
          <t>Dashboard - Credit Card / Card Management</t>
        </is>
      </c>
      <c r="D66" s="13" t="inlineStr">
        <is>
          <t>Credit Card (Visa/Mastercard)</t>
        </is>
      </c>
      <c r="E66" s="13" t="inlineStr">
        <is>
          <t>Validate 2.4.1.5 XCash Apply Ack for Credit Card (Visa/Mastercard)</t>
        </is>
      </c>
      <c r="F66" s="13" t="inlineStr">
        <is>
          <t>Validate the requirement mapped to 2.4.1.5 XCash Apply Ack: Conditional Step 29 - if proceeding with XCash</t>
        </is>
      </c>
      <c r="G66" s="13" t="inlineStr">
        <is>
          <t>Functional</t>
        </is>
      </c>
      <c r="H66" s="13" t="inlineStr">
        <is>
          <t>Medium</t>
        </is>
      </c>
      <c r="I66" s="13" t="inlineStr">
        <is>
          <t>Acct Dashboard Financing!A38:H38</t>
        </is>
      </c>
      <c r="J66" s="14" t="inlineStr">
        <is>
          <t>Draft</t>
        </is>
      </c>
    </row>
    <row r="67" ht="207" customHeight="1" s="2">
      <c r="A67" s="15" t="inlineStr">
        <is>
          <t>TS-B1-066</t>
        </is>
      </c>
      <c r="B67" s="16" t="inlineStr">
        <is>
          <t>Acct Dashboard Financing</t>
        </is>
      </c>
      <c r="C67" s="16" t="inlineStr">
        <is>
          <t>Dashboard - Credit Card / Card Management</t>
        </is>
      </c>
      <c r="D67" s="16" t="inlineStr">
        <is>
          <t>Credit Card (Visa/Mastercard)</t>
        </is>
      </c>
      <c r="E67" s="16" t="inlineStr">
        <is>
          <t>Validate 2.4.1.6 XCash Rcpt &amp; Notif for Credit Card (Visa/Mastercard)</t>
        </is>
      </c>
      <c r="F67" s="16" t="inlineStr">
        <is>
          <t>Validate the requirement mapped to 2.4.1.6 XCash Rcpt &amp; Notif: Conditional Step 30 - if proceeding with XCash</t>
        </is>
      </c>
      <c r="G67" s="16" t="inlineStr">
        <is>
          <t>Functional</t>
        </is>
      </c>
      <c r="H67" s="16" t="inlineStr">
        <is>
          <t>Medium</t>
        </is>
      </c>
      <c r="I67" s="16" t="inlineStr">
        <is>
          <t>Acct Dashboard Financing!A39:H39</t>
        </is>
      </c>
      <c r="J67" s="17" t="inlineStr">
        <is>
          <t>Draft</t>
        </is>
      </c>
    </row>
    <row r="68" ht="207" customHeight="1" s="2">
      <c r="A68" s="12" t="inlineStr">
        <is>
          <t>TS-B1-067</t>
        </is>
      </c>
      <c r="B68" s="13" t="inlineStr">
        <is>
          <t>Acct Dashboard Financing</t>
        </is>
      </c>
      <c r="C68" s="13" t="inlineStr">
        <is>
          <t>Dashboard - Credit Card / Card Management</t>
        </is>
      </c>
      <c r="D68" s="13" t="inlineStr">
        <is>
          <t>Credit Card (Visa/Mastercard)</t>
        </is>
      </c>
      <c r="E68" s="13" t="inlineStr">
        <is>
          <t>Validate 2.4.2 Instalment Convert for Credit Card (Visa/Mastercard)</t>
        </is>
      </c>
      <c r="F68" s="13" t="inlineStr">
        <is>
          <t>Validate the requirement mapped to 2.4.2 Instalment Convert: Conditional Step 31 - if eligible transaction exists</t>
        </is>
      </c>
      <c r="G68" s="13" t="inlineStr">
        <is>
          <t>Functional</t>
        </is>
      </c>
      <c r="H68" s="13" t="inlineStr">
        <is>
          <t>Medium</t>
        </is>
      </c>
      <c r="I68" s="13" t="inlineStr">
        <is>
          <t>Acct Dashboard Financing!A40:H40</t>
        </is>
      </c>
      <c r="J68" s="14" t="inlineStr">
        <is>
          <t>Draft</t>
        </is>
      </c>
    </row>
    <row r="69" ht="234.6" customHeight="1" s="2">
      <c r="A69" s="15" t="inlineStr">
        <is>
          <t>TS-B1-068</t>
        </is>
      </c>
      <c r="B69" s="16" t="inlineStr">
        <is>
          <t>Acct Dashboard Financing</t>
        </is>
      </c>
      <c r="C69" s="16" t="inlineStr">
        <is>
          <t>Dashboard - Credit Card / Card Management</t>
        </is>
      </c>
      <c r="D69" s="16" t="inlineStr">
        <is>
          <t>Credit Card (Visa/Mastercard)</t>
        </is>
      </c>
      <c r="E69" s="16" t="inlineStr">
        <is>
          <t>Validate 2.4.2.1 Inst Conv TnC for Credit Card (Visa/Mastercard)</t>
        </is>
      </c>
      <c r="F69" s="16" t="inlineStr">
        <is>
          <t>Validate the requirement mapped to 2.4.2.1 Inst Conv TnC: Conditional Step 32 - if proceeding with instalment conversion</t>
        </is>
      </c>
      <c r="G69" s="16" t="inlineStr">
        <is>
          <t>Functional</t>
        </is>
      </c>
      <c r="H69" s="16" t="inlineStr">
        <is>
          <t>Medium</t>
        </is>
      </c>
      <c r="I69" s="16" t="inlineStr">
        <is>
          <t>Acct Dashboard Financing!A41:H41</t>
        </is>
      </c>
      <c r="J69" s="17" t="inlineStr">
        <is>
          <t>Draft</t>
        </is>
      </c>
    </row>
    <row r="70" ht="234.6" customHeight="1" s="2">
      <c r="A70" s="12" t="inlineStr">
        <is>
          <t>TS-B1-069</t>
        </is>
      </c>
      <c r="B70" s="13" t="inlineStr">
        <is>
          <t>Acct Dashboard Financing</t>
        </is>
      </c>
      <c r="C70" s="13" t="inlineStr">
        <is>
          <t>Dashboard - Credit Card / Card Management</t>
        </is>
      </c>
      <c r="D70" s="13" t="inlineStr">
        <is>
          <t>Credit Card (Visa/Mastercard)</t>
        </is>
      </c>
      <c r="E70" s="13" t="inlineStr">
        <is>
          <t>Validate 2.4.2.2 Inst Conv Confirm for Credit Card (Visa/Mastercard)</t>
        </is>
      </c>
      <c r="F70" s="13" t="inlineStr">
        <is>
          <t>Validate the requirement mapped to 2.4.2.2 Inst Conv Confirm: Conditional Step 33 - if proceeding with instalment conversion</t>
        </is>
      </c>
      <c r="G70" s="13" t="inlineStr">
        <is>
          <t>Functional</t>
        </is>
      </c>
      <c r="H70" s="13" t="inlineStr">
        <is>
          <t>Medium</t>
        </is>
      </c>
      <c r="I70" s="13" t="inlineStr">
        <is>
          <t>Acct Dashboard Financing!A42:H42</t>
        </is>
      </c>
      <c r="J70" s="14" t="inlineStr">
        <is>
          <t>Draft</t>
        </is>
      </c>
    </row>
    <row r="71" ht="234.6" customHeight="1" s="2">
      <c r="A71" s="15" t="inlineStr">
        <is>
          <t>TS-B1-070</t>
        </is>
      </c>
      <c r="B71" s="16" t="inlineStr">
        <is>
          <t>Acct Dashboard Financing</t>
        </is>
      </c>
      <c r="C71" s="16" t="inlineStr">
        <is>
          <t>Dashboard - Credit Card / Card Management</t>
        </is>
      </c>
      <c r="D71" s="16" t="inlineStr">
        <is>
          <t>Credit Card (Visa/Mastercard)</t>
        </is>
      </c>
      <c r="E71" s="16" t="inlineStr">
        <is>
          <t>Validate 2.4.2.3 Inst Conv Ack for Credit Card (Visa/Mastercard)</t>
        </is>
      </c>
      <c r="F71" s="16" t="inlineStr">
        <is>
          <t>Validate the requirement mapped to 2.4.2.3 Inst Conv Ack: Conditional Step 34 - if proceeding with instalment conversion</t>
        </is>
      </c>
      <c r="G71" s="16" t="inlineStr">
        <is>
          <t>Functional</t>
        </is>
      </c>
      <c r="H71" s="16" t="inlineStr">
        <is>
          <t>Medium</t>
        </is>
      </c>
      <c r="I71" s="16" t="inlineStr">
        <is>
          <t>Acct Dashboard Financing!A43:H43</t>
        </is>
      </c>
      <c r="J71" s="17" t="inlineStr">
        <is>
          <t>Draft</t>
        </is>
      </c>
    </row>
    <row r="72" ht="248.4" customHeight="1" s="2">
      <c r="A72" s="12" t="inlineStr">
        <is>
          <t>TS-B1-071</t>
        </is>
      </c>
      <c r="B72" s="13" t="inlineStr">
        <is>
          <t>Acct Dashboard Financing</t>
        </is>
      </c>
      <c r="C72" s="13" t="inlineStr">
        <is>
          <t>Dashboard - Credit Card / Card Management</t>
        </is>
      </c>
      <c r="D72" s="13" t="inlineStr">
        <is>
          <t>Credit Card (Visa/Mastercard)</t>
        </is>
      </c>
      <c r="E72" s="13" t="inlineStr">
        <is>
          <t>Validate 2.4.2.4 Inst Conv Rcpt &amp; Notif for Credit Card (Visa/Mastercard)</t>
        </is>
      </c>
      <c r="F72" s="13" t="inlineStr">
        <is>
          <t>Validate the requirement mapped to 2.4.2.4 Inst Conv Rcpt &amp; Notif: Conditional Step 35 - if proceeding with instalment conversion</t>
        </is>
      </c>
      <c r="G72" s="13" t="inlineStr">
        <is>
          <t>Functional</t>
        </is>
      </c>
      <c r="H72" s="13" t="inlineStr">
        <is>
          <t>Medium</t>
        </is>
      </c>
      <c r="I72" s="13" t="inlineStr">
        <is>
          <t>Acct Dashboard Financing!A44:H44</t>
        </is>
      </c>
      <c r="J72" s="14" t="inlineStr">
        <is>
          <t>Draft</t>
        </is>
      </c>
    </row>
    <row r="73" ht="220.8" customHeight="1" s="2">
      <c r="A73" s="15" t="inlineStr">
        <is>
          <t>TS-B1-072</t>
        </is>
      </c>
      <c r="B73" s="16" t="inlineStr">
        <is>
          <t>Acct Dashboard Financing</t>
        </is>
      </c>
      <c r="C73" s="16" t="inlineStr">
        <is>
          <t>Dashboard - Credit Card / Card Management</t>
        </is>
      </c>
      <c r="D73" s="16" t="inlineStr">
        <is>
          <t>Credit Card (Visa/Mastercard)</t>
        </is>
      </c>
      <c r="E73" s="16" t="inlineStr">
        <is>
          <t>Validate 2.4.3 Increase Credit Limit for Credit Card (Visa/Mastercard)</t>
        </is>
      </c>
      <c r="F73" s="16" t="inlineStr">
        <is>
          <t>Validate the requirement mapped to 2.4.3 Increase Credit Limit: Conditional Step 36 - if card eligible per MoB and policy</t>
        </is>
      </c>
      <c r="G73" s="16" t="inlineStr">
        <is>
          <t>Functional</t>
        </is>
      </c>
      <c r="H73" s="16" t="inlineStr">
        <is>
          <t>High</t>
        </is>
      </c>
      <c r="I73" s="16" t="inlineStr">
        <is>
          <t>Acct Dashboard Financing!A45:H45</t>
        </is>
      </c>
      <c r="J73" s="17" t="inlineStr">
        <is>
          <t>Draft</t>
        </is>
      </c>
    </row>
    <row r="74" ht="207" customHeight="1" s="2">
      <c r="A74" s="12" t="inlineStr">
        <is>
          <t>TS-B1-073</t>
        </is>
      </c>
      <c r="B74" s="13" t="inlineStr">
        <is>
          <t>Acct Dashboard Financing</t>
        </is>
      </c>
      <c r="C74" s="13" t="inlineStr">
        <is>
          <t>Dashboard - Credit Card / Card Management</t>
        </is>
      </c>
      <c r="D74" s="13" t="inlineStr">
        <is>
          <t>Credit Card (Visa/Mastercard)</t>
        </is>
      </c>
      <c r="E74" s="13" t="inlineStr">
        <is>
          <t>Validate 2.4.3.1 ICL Permanent for Credit Card (Visa/Mastercard)</t>
        </is>
      </c>
      <c r="F74" s="13" t="inlineStr">
        <is>
          <t>Validate the requirement mapped to 2.4.3.1 ICL Permanent: Conditional Step 37 - if Permanent selected</t>
        </is>
      </c>
      <c r="G74" s="13" t="inlineStr">
        <is>
          <t>Functional</t>
        </is>
      </c>
      <c r="H74" s="13" t="inlineStr">
        <is>
          <t>Medium</t>
        </is>
      </c>
      <c r="I74" s="13" t="inlineStr">
        <is>
          <t>Acct Dashboard Financing!A46:H46</t>
        </is>
      </c>
      <c r="J74" s="14" t="inlineStr">
        <is>
          <t>Draft</t>
        </is>
      </c>
    </row>
    <row r="75" ht="207" customHeight="1" s="2">
      <c r="A75" s="15" t="inlineStr">
        <is>
          <t>TS-B1-074</t>
        </is>
      </c>
      <c r="B75" s="16" t="inlineStr">
        <is>
          <t>Acct Dashboard Financing</t>
        </is>
      </c>
      <c r="C75" s="16" t="inlineStr">
        <is>
          <t>Dashboard - Credit Card / Card Management</t>
        </is>
      </c>
      <c r="D75" s="16" t="inlineStr">
        <is>
          <t>Credit Card (Visa/Mastercard)</t>
        </is>
      </c>
      <c r="E75" s="16" t="inlineStr">
        <is>
          <t>Validate 2.4.3.2 ICL Temporary for Credit Card (Visa/Mastercard)</t>
        </is>
      </c>
      <c r="F75" s="16" t="inlineStr">
        <is>
          <t>Validate the requirement mapped to 2.4.3.2 ICL Temporary: Conditional Step 38 - if Temporary selected</t>
        </is>
      </c>
      <c r="G75" s="16" t="inlineStr">
        <is>
          <t>Functional</t>
        </is>
      </c>
      <c r="H75" s="16" t="inlineStr">
        <is>
          <t>Medium</t>
        </is>
      </c>
      <c r="I75" s="16" t="inlineStr">
        <is>
          <t>Acct Dashboard Financing!A47:H47</t>
        </is>
      </c>
      <c r="J75" s="17" t="inlineStr">
        <is>
          <t>Draft</t>
        </is>
      </c>
    </row>
    <row r="76" ht="179.4" customHeight="1" s="2">
      <c r="A76" s="12" t="inlineStr">
        <is>
          <t>TS-B1-075</t>
        </is>
      </c>
      <c r="B76" s="13" t="inlineStr">
        <is>
          <t>Acct Dashboard Financing</t>
        </is>
      </c>
      <c r="C76" s="13" t="inlineStr">
        <is>
          <t>Dashboard - Credit Card / Card Management</t>
        </is>
      </c>
      <c r="D76" s="13" t="inlineStr">
        <is>
          <t>Credit Card (Visa/Mastercard)</t>
        </is>
      </c>
      <c r="E76" s="13" t="inlineStr">
        <is>
          <t>Validate 2.4.3.3 ICL TnC for Credit Card (Visa/Mastercard)</t>
        </is>
      </c>
      <c r="F76" s="13" t="inlineStr">
        <is>
          <t>Validate the requirement mapped to 2.4.3.3 ICL TnC: Conditional Step 39 - if proceeding with ICL</t>
        </is>
      </c>
      <c r="G76" s="13" t="inlineStr">
        <is>
          <t>Functional</t>
        </is>
      </c>
      <c r="H76" s="13" t="inlineStr">
        <is>
          <t>Medium</t>
        </is>
      </c>
      <c r="I76" s="13" t="inlineStr">
        <is>
          <t>Acct Dashboard Financing!A48:H48</t>
        </is>
      </c>
      <c r="J76" s="14" t="inlineStr">
        <is>
          <t>Draft</t>
        </is>
      </c>
    </row>
    <row r="77" ht="193.2" customHeight="1" s="2">
      <c r="A77" s="15" t="inlineStr">
        <is>
          <t>TS-B1-076</t>
        </is>
      </c>
      <c r="B77" s="16" t="inlineStr">
        <is>
          <t>Acct Dashboard Financing</t>
        </is>
      </c>
      <c r="C77" s="16" t="inlineStr">
        <is>
          <t>Dashboard - Credit Card / Card Management</t>
        </is>
      </c>
      <c r="D77" s="16" t="inlineStr">
        <is>
          <t>Credit Card (Visa/Mastercard)</t>
        </is>
      </c>
      <c r="E77" s="16" t="inlineStr">
        <is>
          <t>Validate 2.4.3.4 ICL Confirm for Credit Card (Visa/Mastercard)</t>
        </is>
      </c>
      <c r="F77" s="16" t="inlineStr">
        <is>
          <t>Validate the requirement mapped to 2.4.3.4 ICL Confirm: Conditional Step 40 - if proceeding with ICL</t>
        </is>
      </c>
      <c r="G77" s="16" t="inlineStr">
        <is>
          <t>Functional</t>
        </is>
      </c>
      <c r="H77" s="16" t="inlineStr">
        <is>
          <t>Medium</t>
        </is>
      </c>
      <c r="I77" s="16" t="inlineStr">
        <is>
          <t>Acct Dashboard Financing!A49:H49</t>
        </is>
      </c>
      <c r="J77" s="17" t="inlineStr">
        <is>
          <t>Draft</t>
        </is>
      </c>
    </row>
    <row r="78" ht="179.4" customHeight="1" s="2">
      <c r="A78" s="12" t="inlineStr">
        <is>
          <t>TS-B1-077</t>
        </is>
      </c>
      <c r="B78" s="13" t="inlineStr">
        <is>
          <t>Acct Dashboard Financing</t>
        </is>
      </c>
      <c r="C78" s="13" t="inlineStr">
        <is>
          <t>Dashboard - Credit Card / Card Management</t>
        </is>
      </c>
      <c r="D78" s="13" t="inlineStr">
        <is>
          <t>Credit Card (Visa/Mastercard)</t>
        </is>
      </c>
      <c r="E78" s="13" t="inlineStr">
        <is>
          <t>Validate 2.4.3.5 ICL Ack for Credit Card (Visa/Mastercard)</t>
        </is>
      </c>
      <c r="F78" s="13" t="inlineStr">
        <is>
          <t>Validate the requirement mapped to 2.4.3.5 ICL Ack: Conditional Step 41 - if proceeding with ICL</t>
        </is>
      </c>
      <c r="G78" s="13" t="inlineStr">
        <is>
          <t>Functional</t>
        </is>
      </c>
      <c r="H78" s="13" t="inlineStr">
        <is>
          <t>Medium</t>
        </is>
      </c>
      <c r="I78" s="13" t="inlineStr">
        <is>
          <t>Acct Dashboard Financing!A50:H50</t>
        </is>
      </c>
      <c r="J78" s="14" t="inlineStr">
        <is>
          <t>Draft</t>
        </is>
      </c>
    </row>
    <row r="79" ht="193.2" customHeight="1" s="2">
      <c r="A79" s="15" t="inlineStr">
        <is>
          <t>TS-B1-078</t>
        </is>
      </c>
      <c r="B79" s="16" t="inlineStr">
        <is>
          <t>Acct Dashboard Financing</t>
        </is>
      </c>
      <c r="C79" s="16" t="inlineStr">
        <is>
          <t>Dashboard - Credit Card / Card Management</t>
        </is>
      </c>
      <c r="D79" s="16" t="inlineStr">
        <is>
          <t>Credit Card (Visa/Mastercard)</t>
        </is>
      </c>
      <c r="E79" s="16" t="inlineStr">
        <is>
          <t>Validate 2.4.3.6 ICL Rcpt &amp; Notif for Credit Card (Visa/Mastercard)</t>
        </is>
      </c>
      <c r="F79" s="16" t="inlineStr">
        <is>
          <t>Validate the requirement mapped to 2.4.3.6 ICL Rcpt &amp; Notif: Conditional Step 42 - if proceeding with ICL</t>
        </is>
      </c>
      <c r="G79" s="16" t="inlineStr">
        <is>
          <t>Functional</t>
        </is>
      </c>
      <c r="H79" s="16" t="inlineStr">
        <is>
          <t>Medium</t>
        </is>
      </c>
      <c r="I79" s="16" t="inlineStr">
        <is>
          <t>Acct Dashboard Financing!A51:H51</t>
        </is>
      </c>
      <c r="J79" s="17" t="inlineStr">
        <is>
          <t>Draft</t>
        </is>
      </c>
    </row>
    <row r="80" ht="207" customHeight="1" s="2">
      <c r="A80" s="12" t="inlineStr">
        <is>
          <t>TS-B1-079</t>
        </is>
      </c>
      <c r="B80" s="13" t="inlineStr">
        <is>
          <t>Acct Dashboard Financing</t>
        </is>
      </c>
      <c r="C80" s="13" t="inlineStr">
        <is>
          <t>Dashboard - Credit Card / Card Management</t>
        </is>
      </c>
      <c r="D80" s="13" t="inlineStr">
        <is>
          <t>Credit Card (Visa/Mastercard)</t>
        </is>
      </c>
      <c r="E80" s="13" t="inlineStr">
        <is>
          <t>Validate 2.4.4 Block Card for Credit Card (Visa/Mastercard)</t>
        </is>
      </c>
      <c r="F80" s="13" t="inlineStr">
        <is>
          <t>Validate the requirement mapped to 2.4.4 Block Card: Conditional Step 43 - for Active card block action</t>
        </is>
      </c>
      <c r="G80" s="13" t="inlineStr">
        <is>
          <t>Functional</t>
        </is>
      </c>
      <c r="H80" s="13" t="inlineStr">
        <is>
          <t>High</t>
        </is>
      </c>
      <c r="I80" s="13" t="inlineStr">
        <is>
          <t>Acct Dashboard Financing!A52:H52</t>
        </is>
      </c>
      <c r="J80" s="14" t="inlineStr">
        <is>
          <t>Draft</t>
        </is>
      </c>
    </row>
    <row r="81" ht="207" customHeight="1" s="2">
      <c r="A81" s="15" t="inlineStr">
        <is>
          <t>TS-B1-080</t>
        </is>
      </c>
      <c r="B81" s="16" t="inlineStr">
        <is>
          <t>Acct Dashboard Financing</t>
        </is>
      </c>
      <c r="C81" s="16" t="inlineStr">
        <is>
          <t>Dashboard - Credit Card / Card Management</t>
        </is>
      </c>
      <c r="D81" s="16" t="inlineStr">
        <is>
          <t>Credit Card (Visa/Mastercard)</t>
        </is>
      </c>
      <c r="E81" s="16" t="inlineStr">
        <is>
          <t>Validate 2.4.4.1 Block Card Ack for Credit Card (Visa/Mastercard)</t>
        </is>
      </c>
      <c r="F81" s="16" t="inlineStr">
        <is>
          <t>Validate the requirement mapped to 2.4.4.1 Block Card Ack: Conditional Step 44 - if block action submitted</t>
        </is>
      </c>
      <c r="G81" s="16" t="inlineStr">
        <is>
          <t>Functional</t>
        </is>
      </c>
      <c r="H81" s="16" t="inlineStr">
        <is>
          <t>High</t>
        </is>
      </c>
      <c r="I81" s="16" t="inlineStr">
        <is>
          <t>Acct Dashboard Financing!A53:H53</t>
        </is>
      </c>
      <c r="J81" s="17" t="inlineStr">
        <is>
          <t>Draft</t>
        </is>
      </c>
    </row>
    <row r="82" ht="207" customHeight="1" s="2">
      <c r="A82" s="12" t="inlineStr">
        <is>
          <t>TS-B1-081</t>
        </is>
      </c>
      <c r="B82" s="13" t="inlineStr">
        <is>
          <t>Acct Dashboard Financing</t>
        </is>
      </c>
      <c r="C82" s="13" t="inlineStr">
        <is>
          <t>Dashboard - Credit Card / Card Management</t>
        </is>
      </c>
      <c r="D82" s="13" t="inlineStr">
        <is>
          <t>Credit Card (Visa/Mastercard)</t>
        </is>
      </c>
      <c r="E82" s="13" t="inlineStr">
        <is>
          <t>Validate 2.4.4.2 Block Card Notif for Credit Card (Visa/Mastercard)</t>
        </is>
      </c>
      <c r="F82" s="13" t="inlineStr">
        <is>
          <t>Validate the requirement mapped to 2.4.4.2 Block Card Notif: Conditional Step 45 - if block action submitted</t>
        </is>
      </c>
      <c r="G82" s="13" t="inlineStr">
        <is>
          <t>Functional</t>
        </is>
      </c>
      <c r="H82" s="13" t="inlineStr">
        <is>
          <t>High</t>
        </is>
      </c>
      <c r="I82" s="13" t="inlineStr">
        <is>
          <t>Acct Dashboard Financing!A54:H54</t>
        </is>
      </c>
      <c r="J82" s="14" t="inlineStr">
        <is>
          <t>Draft</t>
        </is>
      </c>
    </row>
    <row r="83" ht="248.4" customHeight="1" s="2">
      <c r="A83" s="15" t="inlineStr">
        <is>
          <t>TS-B1-082</t>
        </is>
      </c>
      <c r="B83" s="16" t="inlineStr">
        <is>
          <t>Acct Dashboard Financing</t>
        </is>
      </c>
      <c r="C83" s="16" t="inlineStr">
        <is>
          <t>Dashboard - Credit Card / Card Management</t>
        </is>
      </c>
      <c r="D83" s="16" t="inlineStr">
        <is>
          <t>Credit Card (Visa/Mastercard)</t>
        </is>
      </c>
      <c r="E83" s="16" t="inlineStr">
        <is>
          <t>Validate 2.4.5 Unblock Card for Credit Card (Visa/Mastercard)</t>
        </is>
      </c>
      <c r="F83" s="16" t="inlineStr">
        <is>
          <t>Validate the requirement mapped to 2.4.5 Unblock Card: Conditional Step 46 - when card is temporarily blocked by eligible channel</t>
        </is>
      </c>
      <c r="G83" s="16" t="inlineStr">
        <is>
          <t>Negative</t>
        </is>
      </c>
      <c r="H83" s="16" t="inlineStr">
        <is>
          <t>High</t>
        </is>
      </c>
      <c r="I83" s="16" t="inlineStr">
        <is>
          <t>Acct Dashboard Financing!A55:H55</t>
        </is>
      </c>
      <c r="J83" s="17" t="inlineStr">
        <is>
          <t>Draft</t>
        </is>
      </c>
    </row>
    <row r="84" ht="220.8" customHeight="1" s="2">
      <c r="A84" s="12" t="inlineStr">
        <is>
          <t>TS-B1-083</t>
        </is>
      </c>
      <c r="B84" s="13" t="inlineStr">
        <is>
          <t>Acct Dashboard Financing</t>
        </is>
      </c>
      <c r="C84" s="13" t="inlineStr">
        <is>
          <t>Dashboard - Credit Card / Card Management</t>
        </is>
      </c>
      <c r="D84" s="13" t="inlineStr">
        <is>
          <t>Credit Card (Visa/Mastercard)</t>
        </is>
      </c>
      <c r="E84" s="13" t="inlineStr">
        <is>
          <t>Validate 2.4.5.1 Unblock Card Ack for Credit Card (Visa/Mastercard)</t>
        </is>
      </c>
      <c r="F84" s="13" t="inlineStr">
        <is>
          <t>Validate the requirement mapped to 2.4.5.1 Unblock Card Ack: Conditional Step 47 - if unblock action submitted</t>
        </is>
      </c>
      <c r="G84" s="13" t="inlineStr">
        <is>
          <t>Functional</t>
        </is>
      </c>
      <c r="H84" s="13" t="inlineStr">
        <is>
          <t>High</t>
        </is>
      </c>
      <c r="I84" s="13" t="inlineStr">
        <is>
          <t>Acct Dashboard Financing!A56:H56</t>
        </is>
      </c>
      <c r="J84" s="14" t="inlineStr">
        <is>
          <t>Draft</t>
        </is>
      </c>
    </row>
    <row r="85" ht="220.8" customHeight="1" s="2">
      <c r="A85" s="15" t="inlineStr">
        <is>
          <t>TS-B1-084</t>
        </is>
      </c>
      <c r="B85" s="16" t="inlineStr">
        <is>
          <t>Acct Dashboard Financing</t>
        </is>
      </c>
      <c r="C85" s="16" t="inlineStr">
        <is>
          <t>Dashboard - Credit Card / Card Management</t>
        </is>
      </c>
      <c r="D85" s="16" t="inlineStr">
        <is>
          <t>Credit Card (Visa/Mastercard)</t>
        </is>
      </c>
      <c r="E85" s="16" t="inlineStr">
        <is>
          <t>Validate 2.4.5.2 Unblock Card Notif for Credit Card (Visa/Mastercard)</t>
        </is>
      </c>
      <c r="F85" s="16" t="inlineStr">
        <is>
          <t>Validate the requirement mapped to 2.4.5.2 Unblock Card Notif: Conditional Step 48 - if unblock action submitted</t>
        </is>
      </c>
      <c r="G85" s="16" t="inlineStr">
        <is>
          <t>Functional</t>
        </is>
      </c>
      <c r="H85" s="16" t="inlineStr">
        <is>
          <t>High</t>
        </is>
      </c>
      <c r="I85" s="16" t="inlineStr">
        <is>
          <t>Acct Dashboard Financing!A57:H57</t>
        </is>
      </c>
      <c r="J85" s="17" t="inlineStr">
        <is>
          <t>Draft</t>
        </is>
      </c>
    </row>
    <row r="86" ht="179.4" customHeight="1" s="2">
      <c r="A86" s="12" t="inlineStr">
        <is>
          <t>TS-B1-085</t>
        </is>
      </c>
      <c r="B86" s="13" t="inlineStr">
        <is>
          <t>Acct Dashboard Financing</t>
        </is>
      </c>
      <c r="C86" s="13" t="inlineStr">
        <is>
          <t>Dashboard - Credit Card / Card Management</t>
        </is>
      </c>
      <c r="D86" s="13" t="inlineStr">
        <is>
          <t>Credit Card (Visa/Mastercard)</t>
        </is>
      </c>
      <c r="E86" s="13" t="inlineStr">
        <is>
          <t>Validate 2.4.6 Replace &amp; Renew Card for Credit Card (Visa/Mastercard)</t>
        </is>
      </c>
      <c r="F86" s="13" t="inlineStr">
        <is>
          <t>Validate the requirement mapped to 2.4.6 Replace &amp; Renew Card: Conditional Step 49 - replace card flow</t>
        </is>
      </c>
      <c r="G86" s="13" t="inlineStr">
        <is>
          <t>Functional</t>
        </is>
      </c>
      <c r="H86" s="13" t="inlineStr">
        <is>
          <t>Medium</t>
        </is>
      </c>
      <c r="I86" s="13" t="inlineStr">
        <is>
          <t>Acct Dashboard Financing!A58:H58</t>
        </is>
      </c>
      <c r="J86" s="14" t="inlineStr">
        <is>
          <t>Draft</t>
        </is>
      </c>
    </row>
    <row r="87" ht="193.2" customHeight="1" s="2">
      <c r="A87" s="15" t="inlineStr">
        <is>
          <t>TS-B1-086</t>
        </is>
      </c>
      <c r="B87" s="16" t="inlineStr">
        <is>
          <t>Acct Dashboard Financing</t>
        </is>
      </c>
      <c r="C87" s="16" t="inlineStr">
        <is>
          <t>Dashboard - Credit Card / Card Management</t>
        </is>
      </c>
      <c r="D87" s="16" t="inlineStr">
        <is>
          <t>Credit Card (Visa/Mastercard)</t>
        </is>
      </c>
      <c r="E87" s="16" t="inlineStr">
        <is>
          <t>Validate 2.4.6.1 R&amp;R Ack for Credit Card (Visa/Mastercard)</t>
        </is>
      </c>
      <c r="F87" s="16" t="inlineStr">
        <is>
          <t>Validate the requirement mapped to 2.4.6.1 R&amp;R Ack: Conditional Step 50 - if replace request submitted</t>
        </is>
      </c>
      <c r="G87" s="16" t="inlineStr">
        <is>
          <t>Functional</t>
        </is>
      </c>
      <c r="H87" s="16" t="inlineStr">
        <is>
          <t>Medium</t>
        </is>
      </c>
      <c r="I87" s="16" t="inlineStr">
        <is>
          <t>Acct Dashboard Financing!A59:H59</t>
        </is>
      </c>
      <c r="J87" s="17" t="inlineStr">
        <is>
          <t>Draft</t>
        </is>
      </c>
    </row>
    <row r="88" ht="207" customHeight="1" s="2">
      <c r="A88" s="12" t="inlineStr">
        <is>
          <t>TS-B1-087</t>
        </is>
      </c>
      <c r="B88" s="13" t="inlineStr">
        <is>
          <t>Acct Dashboard Financing</t>
        </is>
      </c>
      <c r="C88" s="13" t="inlineStr">
        <is>
          <t>Dashboard - Credit Card / Card Management</t>
        </is>
      </c>
      <c r="D88" s="13" t="inlineStr">
        <is>
          <t>Credit Card (Visa/Mastercard)</t>
        </is>
      </c>
      <c r="E88" s="13" t="inlineStr">
        <is>
          <t>Validate 2.4.6.2 R&amp;R Notif for Credit Card (Visa/Mastercard)</t>
        </is>
      </c>
      <c r="F88" s="13" t="inlineStr">
        <is>
          <t>Validate the requirement mapped to 2.4.6.2 R&amp;R Notif: Conditional Step 51 - if replace request submitted</t>
        </is>
      </c>
      <c r="G88" s="13" t="inlineStr">
        <is>
          <t>Functional</t>
        </is>
      </c>
      <c r="H88" s="13" t="inlineStr">
        <is>
          <t>Medium</t>
        </is>
      </c>
      <c r="I88" s="13" t="inlineStr">
        <is>
          <t>Acct Dashboard Financing!A60:H60</t>
        </is>
      </c>
      <c r="J88" s="14" t="inlineStr">
        <is>
          <t>Draft</t>
        </is>
      </c>
    </row>
    <row r="89" ht="165.6" customHeight="1" s="2">
      <c r="A89" s="15" t="inlineStr">
        <is>
          <t>TS-B1-088</t>
        </is>
      </c>
      <c r="B89" s="16" t="inlineStr">
        <is>
          <t>Acct Dashboard Financing</t>
        </is>
      </c>
      <c r="C89" s="16" t="inlineStr">
        <is>
          <t>Dashboard - Credit Card / Card Management</t>
        </is>
      </c>
      <c r="D89" s="16" t="inlineStr">
        <is>
          <t>Credit Card (Visa/Mastercard)</t>
        </is>
      </c>
      <c r="E89" s="16" t="inlineStr">
        <is>
          <t>Validate 2.4.7 Reset PIN for Credit Card (Visa/Mastercard)</t>
        </is>
      </c>
      <c r="F89" s="16" t="inlineStr">
        <is>
          <t>Validate the requirement mapped to 2.4.7 Reset PIN: Conditional Step 52 - reset PIN flow</t>
        </is>
      </c>
      <c r="G89" s="16" t="inlineStr">
        <is>
          <t>Functional</t>
        </is>
      </c>
      <c r="H89" s="16" t="inlineStr">
        <is>
          <t>Medium</t>
        </is>
      </c>
      <c r="I89" s="16" t="inlineStr">
        <is>
          <t>Acct Dashboard Financing!A61:H61</t>
        </is>
      </c>
      <c r="J89" s="17" t="inlineStr">
        <is>
          <t>Draft</t>
        </is>
      </c>
    </row>
    <row r="90" ht="234.6" customHeight="1" s="2">
      <c r="A90" s="12" t="inlineStr">
        <is>
          <t>TS-B1-089</t>
        </is>
      </c>
      <c r="B90" s="13" t="inlineStr">
        <is>
          <t>Acct Dashboard Financing</t>
        </is>
      </c>
      <c r="C90" s="13" t="inlineStr">
        <is>
          <t>Dashboard - Credit Card / Card Management</t>
        </is>
      </c>
      <c r="D90" s="13" t="inlineStr">
        <is>
          <t>Credit Card (Visa/Mastercard)</t>
        </is>
      </c>
      <c r="E90" s="13" t="inlineStr">
        <is>
          <t>Validate 2.4.8 Block Code for Credit Card (Visa/Mastercard)</t>
        </is>
      </c>
      <c r="F90" s="13" t="inlineStr">
        <is>
          <t>Validate the requirement mapped to 2.4.8 Block Code: Conditional Step 53 - block code matrix governs status/feature gating</t>
        </is>
      </c>
      <c r="G90" s="13" t="inlineStr">
        <is>
          <t>Functional</t>
        </is>
      </c>
      <c r="H90" s="13" t="inlineStr">
        <is>
          <t>High</t>
        </is>
      </c>
      <c r="I90" s="13" t="inlineStr">
        <is>
          <t>Acct Dashboard Financing!A62:H62</t>
        </is>
      </c>
      <c r="J90" s="14" t="inlineStr">
        <is>
          <t>Draft</t>
        </is>
      </c>
    </row>
    <row r="91" ht="248.4" customHeight="1" s="2">
      <c r="A91" s="15" t="inlineStr">
        <is>
          <t>TS-B1-090</t>
        </is>
      </c>
      <c r="B91" s="16" t="inlineStr">
        <is>
          <t>Acct Dashboard Financing</t>
        </is>
      </c>
      <c r="C91" s="16" t="inlineStr">
        <is>
          <t>Dashboard - Credit Card / Card Management</t>
        </is>
      </c>
      <c r="D91" s="16" t="inlineStr">
        <is>
          <t>Credit Card (Visa/Mastercard)</t>
        </is>
      </c>
      <c r="E91" s="16" t="inlineStr">
        <is>
          <t>Final status and recovery for Credit Card (Visa/Mastercard)</t>
        </is>
      </c>
      <c r="F91" s="16" t="inlineStr">
        <is>
          <t>Validate successful completion, failure handling, and final-state integrity for Dashboard - Credit Card / Card Management.</t>
        </is>
      </c>
      <c r="G91" s="16" t="inlineStr">
        <is>
          <t>Functional / Negative</t>
        </is>
      </c>
      <c r="H91" s="16" t="inlineStr">
        <is>
          <t>High</t>
        </is>
      </c>
      <c r="I91" s="16" t="inlineStr">
        <is>
          <t>Acct Dashboard Financing!H1:H62</t>
        </is>
      </c>
      <c r="J91" s="17" t="inlineStr">
        <is>
          <t>Draft</t>
        </is>
      </c>
    </row>
    <row r="92" ht="220.8" customHeight="1" s="2">
      <c r="A92" s="12" t="inlineStr">
        <is>
          <t>TS-B1-091</t>
        </is>
      </c>
      <c r="B92" s="13" t="inlineStr">
        <is>
          <t>Acct Dashboard Financing</t>
        </is>
      </c>
      <c r="C92" s="13" t="inlineStr">
        <is>
          <t>Dashboard - Credit Card / Card Management</t>
        </is>
      </c>
      <c r="D92" s="13" t="inlineStr">
        <is>
          <t>Credit Card (JCB)</t>
        </is>
      </c>
      <c r="E92" s="13" t="inlineStr">
        <is>
          <t>Access and open Credit Card (JCB)</t>
        </is>
      </c>
      <c r="F92" s="13" t="inlineStr">
        <is>
          <t>Validate the configured entry point, customer eligibility, and initial page for Dashboard - Credit Card / Card Management.</t>
        </is>
      </c>
      <c r="G92" s="13" t="inlineStr">
        <is>
          <t>Functional</t>
        </is>
      </c>
      <c r="H92" s="13" t="inlineStr">
        <is>
          <t>Medium</t>
        </is>
      </c>
      <c r="I92" s="13" t="inlineStr">
        <is>
          <t>Acct Dashboard Financing!I1:I62</t>
        </is>
      </c>
      <c r="J92" s="14" t="inlineStr">
        <is>
          <t>Draft</t>
        </is>
      </c>
    </row>
    <row r="93" ht="193.2" customHeight="1" s="2">
      <c r="A93" s="15" t="inlineStr">
        <is>
          <t>TS-B1-092</t>
        </is>
      </c>
      <c r="B93" s="16" t="inlineStr">
        <is>
          <t>Acct Dashboard Financing</t>
        </is>
      </c>
      <c r="C93" s="16" t="inlineStr">
        <is>
          <t>Dashboard - Credit Card / Card Management</t>
        </is>
      </c>
      <c r="D93" s="16" t="inlineStr">
        <is>
          <t>Credit Card (JCB)</t>
        </is>
      </c>
      <c r="E93" s="16" t="inlineStr">
        <is>
          <t>Authentication and authorisation for Credit Card (JCB)</t>
        </is>
      </c>
      <c r="F93" s="16" t="inlineStr">
        <is>
          <t>Validate all authentication requirements stated for Dashboard - Credit Card / Card Management.</t>
        </is>
      </c>
      <c r="G93" s="16" t="inlineStr">
        <is>
          <t>Security</t>
        </is>
      </c>
      <c r="H93" s="16" t="inlineStr">
        <is>
          <t>High</t>
        </is>
      </c>
      <c r="I93" s="16" t="inlineStr">
        <is>
          <t>Acct Dashboard Financing!I1:I62</t>
        </is>
      </c>
      <c r="J93" s="17" t="inlineStr">
        <is>
          <t>Draft</t>
        </is>
      </c>
    </row>
    <row r="94" ht="220.8" customHeight="1" s="2">
      <c r="A94" s="12" t="inlineStr">
        <is>
          <t>TS-B1-093</t>
        </is>
      </c>
      <c r="B94" s="13" t="inlineStr">
        <is>
          <t>Acct Dashboard Financing</t>
        </is>
      </c>
      <c r="C94" s="13" t="inlineStr">
        <is>
          <t>Dashboard - Credit Card / Card Management</t>
        </is>
      </c>
      <c r="D94" s="13" t="inlineStr">
        <is>
          <t>Credit Card (JCB)</t>
        </is>
      </c>
      <c r="E94" s="13" t="inlineStr">
        <is>
          <t>Validate Common Rules Reference for Credit Card (JCB)</t>
        </is>
      </c>
      <c r="F94" s="13" t="inlineStr">
        <is>
          <t>Validate the requirement mapped to Common Rules Reference: Refer to Account Dashboard Common FSD</t>
        </is>
      </c>
      <c r="G94" s="13" t="inlineStr">
        <is>
          <t>UI / Functional</t>
        </is>
      </c>
      <c r="H94" s="13" t="inlineStr">
        <is>
          <t>Medium</t>
        </is>
      </c>
      <c r="I94" s="13" t="inlineStr">
        <is>
          <t>Acct Dashboard Financing!A9:I9</t>
        </is>
      </c>
      <c r="J94" s="14" t="inlineStr">
        <is>
          <t>Draft</t>
        </is>
      </c>
    </row>
    <row r="95" ht="138" customHeight="1" s="2">
      <c r="A95" s="15" t="inlineStr">
        <is>
          <t>TS-B1-094</t>
        </is>
      </c>
      <c r="B95" s="16" t="inlineStr">
        <is>
          <t>Acct Dashboard Financing</t>
        </is>
      </c>
      <c r="C95" s="16" t="inlineStr">
        <is>
          <t>Dashboard - Credit Card / Card Management</t>
        </is>
      </c>
      <c r="D95" s="16" t="inlineStr">
        <is>
          <t>Credit Card (JCB)</t>
        </is>
      </c>
      <c r="E95" s="16" t="inlineStr">
        <is>
          <t>Validate 2.1 CC Dashboard - Landing for Credit Card (JCB)</t>
        </is>
      </c>
      <c r="F95" s="16" t="inlineStr">
        <is>
          <t>Validate the requirement mapped to 2.1 CC Dashboard - Landing: Step 13</t>
        </is>
      </c>
      <c r="G95" s="16" t="inlineStr">
        <is>
          <t>UI / Functional</t>
        </is>
      </c>
      <c r="H95" s="16" t="inlineStr">
        <is>
          <t>Medium</t>
        </is>
      </c>
      <c r="I95" s="16" t="inlineStr">
        <is>
          <t>Acct Dashboard Financing!A22:I22</t>
        </is>
      </c>
      <c r="J95" s="17" t="inlineStr">
        <is>
          <t>Draft</t>
        </is>
      </c>
    </row>
    <row r="96" ht="220.8" customHeight="1" s="2">
      <c r="A96" s="12" t="inlineStr">
        <is>
          <t>TS-B1-095</t>
        </is>
      </c>
      <c r="B96" s="13" t="inlineStr">
        <is>
          <t>Acct Dashboard Financing</t>
        </is>
      </c>
      <c r="C96" s="13" t="inlineStr">
        <is>
          <t>Dashboard - Credit Card / Card Management</t>
        </is>
      </c>
      <c r="D96" s="13" t="inlineStr">
        <is>
          <t>Credit Card (JCB)</t>
        </is>
      </c>
      <c r="E96" s="13" t="inlineStr">
        <is>
          <t>Validate 2.1.2 Card Details for Credit Card (JCB)</t>
        </is>
      </c>
      <c r="F96" s="13" t="inlineStr">
        <is>
          <t>Validate the requirement mapped to 2.1.2 Card Details: Optional Step 14 - when Card Details quick action is tapped</t>
        </is>
      </c>
      <c r="G96" s="13" t="inlineStr">
        <is>
          <t>UI / Functional</t>
        </is>
      </c>
      <c r="H96" s="13" t="inlineStr">
        <is>
          <t>Medium</t>
        </is>
      </c>
      <c r="I96" s="13" t="inlineStr">
        <is>
          <t>Acct Dashboard Financing!A23:I23</t>
        </is>
      </c>
      <c r="J96" s="14" t="inlineStr">
        <is>
          <t>Draft</t>
        </is>
      </c>
    </row>
    <row r="97" ht="207" customHeight="1" s="2">
      <c r="A97" s="15" t="inlineStr">
        <is>
          <t>TS-B1-096</t>
        </is>
      </c>
      <c r="B97" s="16" t="inlineStr">
        <is>
          <t>Acct Dashboard Financing</t>
        </is>
      </c>
      <c r="C97" s="16" t="inlineStr">
        <is>
          <t>Dashboard - Credit Card / Card Management</t>
        </is>
      </c>
      <c r="D97" s="16" t="inlineStr">
        <is>
          <t>Credit Card (JCB)</t>
        </is>
      </c>
      <c r="E97" s="16" t="inlineStr">
        <is>
          <t>Validate 2.1.4 JCB CC Activation for Credit Card (JCB)</t>
        </is>
      </c>
      <c r="F97" s="16" t="inlineStr">
        <is>
          <t>Validate the requirement mapped to 2.1.4 JCB CC Activation: Conditional Step 16 - pending activation and card type JCB</t>
        </is>
      </c>
      <c r="G97" s="16" t="inlineStr">
        <is>
          <t>Functional</t>
        </is>
      </c>
      <c r="H97" s="16" t="inlineStr">
        <is>
          <t>High</t>
        </is>
      </c>
      <c r="I97" s="16" t="inlineStr">
        <is>
          <t>Acct Dashboard Financing!A25:I25</t>
        </is>
      </c>
      <c r="J97" s="17" t="inlineStr">
        <is>
          <t>Draft</t>
        </is>
      </c>
    </row>
    <row r="98" ht="138" customHeight="1" s="2">
      <c r="A98" s="12" t="inlineStr">
        <is>
          <t>TS-B1-097</t>
        </is>
      </c>
      <c r="B98" s="13" t="inlineStr">
        <is>
          <t>Acct Dashboard Financing</t>
        </is>
      </c>
      <c r="C98" s="13" t="inlineStr">
        <is>
          <t>Dashboard - Credit Card / Card Management</t>
        </is>
      </c>
      <c r="D98" s="13" t="inlineStr">
        <is>
          <t>Credit Card (JCB)</t>
        </is>
      </c>
      <c r="E98" s="13" t="inlineStr">
        <is>
          <t>Validate 2.2 CC &gt; Transactions for Credit Card (JCB)</t>
        </is>
      </c>
      <c r="F98" s="13" t="inlineStr">
        <is>
          <t>Validate the requirement mapped to 2.2 CC &gt; Transactions: Step 17</t>
        </is>
      </c>
      <c r="G98" s="13" t="inlineStr">
        <is>
          <t>Functional</t>
        </is>
      </c>
      <c r="H98" s="13" t="inlineStr">
        <is>
          <t>Medium</t>
        </is>
      </c>
      <c r="I98" s="13" t="inlineStr">
        <is>
          <t>Acct Dashboard Financing!A26:I26</t>
        </is>
      </c>
      <c r="J98" s="14" t="inlineStr">
        <is>
          <t>Draft</t>
        </is>
      </c>
    </row>
    <row r="99" ht="207" customHeight="1" s="2">
      <c r="A99" s="15" t="inlineStr">
        <is>
          <t>TS-B1-098</t>
        </is>
      </c>
      <c r="B99" s="16" t="inlineStr">
        <is>
          <t>Acct Dashboard Financing</t>
        </is>
      </c>
      <c r="C99" s="16" t="inlineStr">
        <is>
          <t>Dashboard - Credit Card / Card Management</t>
        </is>
      </c>
      <c r="D99" s="16" t="inlineStr">
        <is>
          <t>Credit Card (JCB)</t>
        </is>
      </c>
      <c r="E99" s="16" t="inlineStr">
        <is>
          <t>Validate 2.2.1 CC View All Trans for Credit Card (JCB)</t>
        </is>
      </c>
      <c r="F99" s="16" t="inlineStr">
        <is>
          <t>Validate the requirement mapped to 2.2.1 CC View All Trans: Optional Step 18 - when View all transactions is selected</t>
        </is>
      </c>
      <c r="G99" s="16" t="inlineStr">
        <is>
          <t>Functional</t>
        </is>
      </c>
      <c r="H99" s="16" t="inlineStr">
        <is>
          <t>Medium</t>
        </is>
      </c>
      <c r="I99" s="16" t="inlineStr">
        <is>
          <t>Acct Dashboard Financing!A27:I27</t>
        </is>
      </c>
      <c r="J99" s="17" t="inlineStr">
        <is>
          <t>Draft</t>
        </is>
      </c>
    </row>
    <row r="100" ht="179.4" customHeight="1" s="2">
      <c r="A100" s="12" t="inlineStr">
        <is>
          <t>TS-B1-099</t>
        </is>
      </c>
      <c r="B100" s="13" t="inlineStr">
        <is>
          <t>Acct Dashboard Financing</t>
        </is>
      </c>
      <c r="C100" s="13" t="inlineStr">
        <is>
          <t>Dashboard - Credit Card / Card Management</t>
        </is>
      </c>
      <c r="D100" s="13" t="inlineStr">
        <is>
          <t>Credit Card (JCB)</t>
        </is>
      </c>
      <c r="E100" s="13" t="inlineStr">
        <is>
          <t>Validate 2.2.1.1 Convert TREATS for Credit Card (JCB)</t>
        </is>
      </c>
      <c r="F100" s="13" t="inlineStr">
        <is>
          <t>Validate the requirement mapped to 2.2.1.1 Convert TREATS: Conditional Step 19 - Refer to Rewards FSD</t>
        </is>
      </c>
      <c r="G100" s="13" t="inlineStr">
        <is>
          <t>Functional</t>
        </is>
      </c>
      <c r="H100" s="13" t="inlineStr">
        <is>
          <t>Medium</t>
        </is>
      </c>
      <c r="I100" s="13" t="inlineStr">
        <is>
          <t>Acct Dashboard Financing!A28:I28</t>
        </is>
      </c>
      <c r="J100" s="14" t="inlineStr">
        <is>
          <t>Draft</t>
        </is>
      </c>
    </row>
    <row r="101" ht="220.8" customHeight="1" s="2">
      <c r="A101" s="15" t="inlineStr">
        <is>
          <t>TS-B1-100</t>
        </is>
      </c>
      <c r="B101" s="16" t="inlineStr">
        <is>
          <t>Acct Dashboard Financing</t>
        </is>
      </c>
      <c r="C101" s="16" t="inlineStr">
        <is>
          <t>Dashboard - Credit Card / Card Management</t>
        </is>
      </c>
      <c r="D101" s="16" t="inlineStr">
        <is>
          <t>Credit Card (JCB)</t>
        </is>
      </c>
      <c r="E101" s="16" t="inlineStr">
        <is>
          <t>Validate 2.2.1.2 View Receipts for Credit Card (JCB)</t>
        </is>
      </c>
      <c r="F101" s="16" t="inlineStr">
        <is>
          <t>Validate the requirement mapped to 2.2.1.2 View Receipts: Conditional Step 20 - when receipt-eligible transaction is selected</t>
        </is>
      </c>
      <c r="G101" s="16" t="inlineStr">
        <is>
          <t>Functional</t>
        </is>
      </c>
      <c r="H101" s="16" t="inlineStr">
        <is>
          <t>Medium</t>
        </is>
      </c>
      <c r="I101" s="16" t="inlineStr">
        <is>
          <t>Acct Dashboard Financing!A29:I29</t>
        </is>
      </c>
      <c r="J101" s="17" t="inlineStr">
        <is>
          <t>Draft</t>
        </is>
      </c>
    </row>
    <row r="102" ht="248.4" customHeight="1" s="2">
      <c r="A102" s="12" t="inlineStr">
        <is>
          <t>TS-B1-101</t>
        </is>
      </c>
      <c r="B102" s="13" t="inlineStr">
        <is>
          <t>Acct Dashboard Financing</t>
        </is>
      </c>
      <c r="C102" s="13" t="inlineStr">
        <is>
          <t>Dashboard - Credit Card / Card Management</t>
        </is>
      </c>
      <c r="D102" s="13" t="inlineStr">
        <is>
          <t>Credit Card (JCB)</t>
        </is>
      </c>
      <c r="E102" s="13" t="inlineStr">
        <is>
          <t>Validate 2.2.1.3 Card Statement for Credit Card (JCB)</t>
        </is>
      </c>
      <c r="F102" s="13" t="inlineStr">
        <is>
          <t>Validate the requirement mapped to 2.2.1.3 Card Statement: Conditional Step 21 - Needs PO/BA clarification (JIRA TBC; integration "?")</t>
        </is>
      </c>
      <c r="G102" s="13" t="inlineStr">
        <is>
          <t>Functional</t>
        </is>
      </c>
      <c r="H102" s="13" t="inlineStr">
        <is>
          <t>Medium</t>
        </is>
      </c>
      <c r="I102" s="13" t="inlineStr">
        <is>
          <t>Acct Dashboard Financing!A30:I30</t>
        </is>
      </c>
      <c r="J102" s="14" t="inlineStr">
        <is>
          <t>Draft</t>
        </is>
      </c>
    </row>
    <row r="103" ht="124.2" customHeight="1" s="2">
      <c r="A103" s="15" t="inlineStr">
        <is>
          <t>TS-B1-102</t>
        </is>
      </c>
      <c r="B103" s="16" t="inlineStr">
        <is>
          <t>Acct Dashboard Financing</t>
        </is>
      </c>
      <c r="C103" s="16" t="inlineStr">
        <is>
          <t>Dashboard - Credit Card / Card Management</t>
        </is>
      </c>
      <c r="D103" s="16" t="inlineStr">
        <is>
          <t>Credit Card (JCB)</t>
        </is>
      </c>
      <c r="E103" s="16" t="inlineStr">
        <is>
          <t>Validate 2.3 CC &gt; Summary for Credit Card (JCB)</t>
        </is>
      </c>
      <c r="F103" s="16" t="inlineStr">
        <is>
          <t>Validate the requirement mapped to 2.3 CC &gt; Summary: Step 22</t>
        </is>
      </c>
      <c r="G103" s="16" t="inlineStr">
        <is>
          <t>UI / Functional</t>
        </is>
      </c>
      <c r="H103" s="16" t="inlineStr">
        <is>
          <t>Medium</t>
        </is>
      </c>
      <c r="I103" s="16" t="inlineStr">
        <is>
          <t>Acct Dashboard Financing!A31:I31</t>
        </is>
      </c>
      <c r="J103" s="17" t="inlineStr">
        <is>
          <t>Draft</t>
        </is>
      </c>
    </row>
    <row r="104" ht="124.2" customHeight="1" s="2">
      <c r="A104" s="12" t="inlineStr">
        <is>
          <t>TS-B1-103</t>
        </is>
      </c>
      <c r="B104" s="13" t="inlineStr">
        <is>
          <t>Acct Dashboard Financing</t>
        </is>
      </c>
      <c r="C104" s="13" t="inlineStr">
        <is>
          <t>Dashboard - Credit Card / Card Management</t>
        </is>
      </c>
      <c r="D104" s="13" t="inlineStr">
        <is>
          <t>Credit Card (JCB)</t>
        </is>
      </c>
      <c r="E104" s="13" t="inlineStr">
        <is>
          <t>Validate 2.4 CC &gt; Manage for Credit Card (JCB)</t>
        </is>
      </c>
      <c r="F104" s="13" t="inlineStr">
        <is>
          <t>Validate the requirement mapped to 2.4 CC &gt; Manage: Step 23</t>
        </is>
      </c>
      <c r="G104" s="13" t="inlineStr">
        <is>
          <t>Functional</t>
        </is>
      </c>
      <c r="H104" s="13" t="inlineStr">
        <is>
          <t>Medium</t>
        </is>
      </c>
      <c r="I104" s="13" t="inlineStr">
        <is>
          <t>Acct Dashboard Financing!A32:I32</t>
        </is>
      </c>
      <c r="J104" s="14" t="inlineStr">
        <is>
          <t>Draft</t>
        </is>
      </c>
    </row>
    <row r="105" ht="179.4" customHeight="1" s="2">
      <c r="A105" s="15" t="inlineStr">
        <is>
          <t>TS-B1-104</t>
        </is>
      </c>
      <c r="B105" s="16" t="inlineStr">
        <is>
          <t>Acct Dashboard Financing</t>
        </is>
      </c>
      <c r="C105" s="16" t="inlineStr">
        <is>
          <t>Dashboard - Credit Card / Card Management</t>
        </is>
      </c>
      <c r="D105" s="16" t="inlineStr">
        <is>
          <t>Credit Card (JCB)</t>
        </is>
      </c>
      <c r="E105" s="16" t="inlineStr">
        <is>
          <t>Validate 2.4.1 XCash for Credit Card (JCB)</t>
        </is>
      </c>
      <c r="F105" s="16" t="inlineStr">
        <is>
          <t>Validate the requirement mapped to 2.4.1 XCash: Conditional Step 24 - if XCash eligible and enabled</t>
        </is>
      </c>
      <c r="G105" s="16" t="inlineStr">
        <is>
          <t>Functional</t>
        </is>
      </c>
      <c r="H105" s="16" t="inlineStr">
        <is>
          <t>Medium</t>
        </is>
      </c>
      <c r="I105" s="16" t="inlineStr">
        <is>
          <t>Acct Dashboard Financing!A33:I33</t>
        </is>
      </c>
      <c r="J105" s="17" t="inlineStr">
        <is>
          <t>Draft</t>
        </is>
      </c>
    </row>
    <row r="106" ht="207" customHeight="1" s="2">
      <c r="A106" s="12" t="inlineStr">
        <is>
          <t>TS-B1-105</t>
        </is>
      </c>
      <c r="B106" s="13" t="inlineStr">
        <is>
          <t>Acct Dashboard Financing</t>
        </is>
      </c>
      <c r="C106" s="13" t="inlineStr">
        <is>
          <t>Dashboard - Credit Card / Card Management</t>
        </is>
      </c>
      <c r="D106" s="13" t="inlineStr">
        <is>
          <t>Credit Card (JCB)</t>
        </is>
      </c>
      <c r="E106" s="13" t="inlineStr">
        <is>
          <t>Validate 2.4.1.1 XCash Apply Input for Credit Card (JCB)</t>
        </is>
      </c>
      <c r="F106" s="13" t="inlineStr">
        <is>
          <t>Validate the requirement mapped to 2.4.1.1 XCash Apply Input: Conditional Step 25 - if proceeding with XCash</t>
        </is>
      </c>
      <c r="G106" s="13" t="inlineStr">
        <is>
          <t>Functional</t>
        </is>
      </c>
      <c r="H106" s="13" t="inlineStr">
        <is>
          <t>Medium</t>
        </is>
      </c>
      <c r="I106" s="13" t="inlineStr">
        <is>
          <t>Acct Dashboard Financing!A34:I34</t>
        </is>
      </c>
      <c r="J106" s="14" t="inlineStr">
        <is>
          <t>Draft</t>
        </is>
      </c>
    </row>
    <row r="107" ht="207" customHeight="1" s="2">
      <c r="A107" s="15" t="inlineStr">
        <is>
          <t>TS-B1-106</t>
        </is>
      </c>
      <c r="B107" s="16" t="inlineStr">
        <is>
          <t>Acct Dashboard Financing</t>
        </is>
      </c>
      <c r="C107" s="16" t="inlineStr">
        <is>
          <t>Dashboard - Credit Card / Card Management</t>
        </is>
      </c>
      <c r="D107" s="16" t="inlineStr">
        <is>
          <t>Credit Card (JCB)</t>
        </is>
      </c>
      <c r="E107" s="16" t="inlineStr">
        <is>
          <t>Validate 2.4.1.2 XCash Apply Acc for Credit Card (JCB)</t>
        </is>
      </c>
      <c r="F107" s="16" t="inlineStr">
        <is>
          <t>Validate the requirement mapped to 2.4.1.2 XCash Apply Acc: Conditional Step 26 - if proceeding with XCash</t>
        </is>
      </c>
      <c r="G107" s="16" t="inlineStr">
        <is>
          <t>Functional</t>
        </is>
      </c>
      <c r="H107" s="16" t="inlineStr">
        <is>
          <t>Medium</t>
        </is>
      </c>
      <c r="I107" s="16" t="inlineStr">
        <is>
          <t>Acct Dashboard Financing!A35:I35</t>
        </is>
      </c>
      <c r="J107" s="17" t="inlineStr">
        <is>
          <t>Draft</t>
        </is>
      </c>
    </row>
    <row r="108" ht="207" customHeight="1" s="2">
      <c r="A108" s="12" t="inlineStr">
        <is>
          <t>TS-B1-107</t>
        </is>
      </c>
      <c r="B108" s="13" t="inlineStr">
        <is>
          <t>Acct Dashboard Financing</t>
        </is>
      </c>
      <c r="C108" s="13" t="inlineStr">
        <is>
          <t>Dashboard - Credit Card / Card Management</t>
        </is>
      </c>
      <c r="D108" s="13" t="inlineStr">
        <is>
          <t>Credit Card (JCB)</t>
        </is>
      </c>
      <c r="E108" s="13" t="inlineStr">
        <is>
          <t>Validate 2.4.1.3 XCash Apply TnC for Credit Card (JCB)</t>
        </is>
      </c>
      <c r="F108" s="13" t="inlineStr">
        <is>
          <t>Validate the requirement mapped to 2.4.1.3 XCash Apply TnC: Conditional Step 27 - if proceeding with XCash</t>
        </is>
      </c>
      <c r="G108" s="13" t="inlineStr">
        <is>
          <t>Functional</t>
        </is>
      </c>
      <c r="H108" s="13" t="inlineStr">
        <is>
          <t>Medium</t>
        </is>
      </c>
      <c r="I108" s="13" t="inlineStr">
        <is>
          <t>Acct Dashboard Financing!A36:I36</t>
        </is>
      </c>
      <c r="J108" s="14" t="inlineStr">
        <is>
          <t>Draft</t>
        </is>
      </c>
    </row>
    <row r="109" ht="207" customHeight="1" s="2">
      <c r="A109" s="15" t="inlineStr">
        <is>
          <t>TS-B1-108</t>
        </is>
      </c>
      <c r="B109" s="16" t="inlineStr">
        <is>
          <t>Acct Dashboard Financing</t>
        </is>
      </c>
      <c r="C109" s="16" t="inlineStr">
        <is>
          <t>Dashboard - Credit Card / Card Management</t>
        </is>
      </c>
      <c r="D109" s="16" t="inlineStr">
        <is>
          <t>Credit Card (JCB)</t>
        </is>
      </c>
      <c r="E109" s="16" t="inlineStr">
        <is>
          <t>Validate 2.4.1.4 XCash Apply Confirm for Credit Card (JCB)</t>
        </is>
      </c>
      <c r="F109" s="16" t="inlineStr">
        <is>
          <t>Validate the requirement mapped to 2.4.1.4 XCash Apply Confirm: Conditional Step 28 - if proceeding with XCash</t>
        </is>
      </c>
      <c r="G109" s="16" t="inlineStr">
        <is>
          <t>Functional</t>
        </is>
      </c>
      <c r="H109" s="16" t="inlineStr">
        <is>
          <t>Medium</t>
        </is>
      </c>
      <c r="I109" s="16" t="inlineStr">
        <is>
          <t>Acct Dashboard Financing!A37:I37</t>
        </is>
      </c>
      <c r="J109" s="17" t="inlineStr">
        <is>
          <t>Draft</t>
        </is>
      </c>
    </row>
    <row r="110" ht="207" customHeight="1" s="2">
      <c r="A110" s="12" t="inlineStr">
        <is>
          <t>TS-B1-109</t>
        </is>
      </c>
      <c r="B110" s="13" t="inlineStr">
        <is>
          <t>Acct Dashboard Financing</t>
        </is>
      </c>
      <c r="C110" s="13" t="inlineStr">
        <is>
          <t>Dashboard - Credit Card / Card Management</t>
        </is>
      </c>
      <c r="D110" s="13" t="inlineStr">
        <is>
          <t>Credit Card (JCB)</t>
        </is>
      </c>
      <c r="E110" s="13" t="inlineStr">
        <is>
          <t>Validate 2.4.1.5 XCash Apply Ack for Credit Card (JCB)</t>
        </is>
      </c>
      <c r="F110" s="13" t="inlineStr">
        <is>
          <t>Validate the requirement mapped to 2.4.1.5 XCash Apply Ack: Conditional Step 29 - if proceeding with XCash</t>
        </is>
      </c>
      <c r="G110" s="13" t="inlineStr">
        <is>
          <t>Functional</t>
        </is>
      </c>
      <c r="H110" s="13" t="inlineStr">
        <is>
          <t>Medium</t>
        </is>
      </c>
      <c r="I110" s="13" t="inlineStr">
        <is>
          <t>Acct Dashboard Financing!A38:I38</t>
        </is>
      </c>
      <c r="J110" s="14" t="inlineStr">
        <is>
          <t>Draft</t>
        </is>
      </c>
    </row>
    <row r="111" ht="207" customHeight="1" s="2">
      <c r="A111" s="15" t="inlineStr">
        <is>
          <t>TS-B1-110</t>
        </is>
      </c>
      <c r="B111" s="16" t="inlineStr">
        <is>
          <t>Acct Dashboard Financing</t>
        </is>
      </c>
      <c r="C111" s="16" t="inlineStr">
        <is>
          <t>Dashboard - Credit Card / Card Management</t>
        </is>
      </c>
      <c r="D111" s="16" t="inlineStr">
        <is>
          <t>Credit Card (JCB)</t>
        </is>
      </c>
      <c r="E111" s="16" t="inlineStr">
        <is>
          <t>Validate 2.4.1.6 XCash Rcpt &amp; Notif for Credit Card (JCB)</t>
        </is>
      </c>
      <c r="F111" s="16" t="inlineStr">
        <is>
          <t>Validate the requirement mapped to 2.4.1.6 XCash Rcpt &amp; Notif: Conditional Step 30 - if proceeding with XCash</t>
        </is>
      </c>
      <c r="G111" s="16" t="inlineStr">
        <is>
          <t>Functional</t>
        </is>
      </c>
      <c r="H111" s="16" t="inlineStr">
        <is>
          <t>Medium</t>
        </is>
      </c>
      <c r="I111" s="16" t="inlineStr">
        <is>
          <t>Acct Dashboard Financing!A39:I39</t>
        </is>
      </c>
      <c r="J111" s="17" t="inlineStr">
        <is>
          <t>Draft</t>
        </is>
      </c>
    </row>
    <row r="112" ht="207" customHeight="1" s="2">
      <c r="A112" s="12" t="inlineStr">
        <is>
          <t>TS-B1-111</t>
        </is>
      </c>
      <c r="B112" s="13" t="inlineStr">
        <is>
          <t>Acct Dashboard Financing</t>
        </is>
      </c>
      <c r="C112" s="13" t="inlineStr">
        <is>
          <t>Dashboard - Credit Card / Card Management</t>
        </is>
      </c>
      <c r="D112" s="13" t="inlineStr">
        <is>
          <t>Credit Card (JCB)</t>
        </is>
      </c>
      <c r="E112" s="13" t="inlineStr">
        <is>
          <t>Validate 2.4.2 Instalment Convert for Credit Card (JCB)</t>
        </is>
      </c>
      <c r="F112" s="13" t="inlineStr">
        <is>
          <t>Validate the requirement mapped to 2.4.2 Instalment Convert: Conditional Step 31 - if eligible transaction exists</t>
        </is>
      </c>
      <c r="G112" s="13" t="inlineStr">
        <is>
          <t>Functional</t>
        </is>
      </c>
      <c r="H112" s="13" t="inlineStr">
        <is>
          <t>Medium</t>
        </is>
      </c>
      <c r="I112" s="13" t="inlineStr">
        <is>
          <t>Acct Dashboard Financing!A40:I40</t>
        </is>
      </c>
      <c r="J112" s="14" t="inlineStr">
        <is>
          <t>Draft</t>
        </is>
      </c>
    </row>
    <row r="113" ht="234.6" customHeight="1" s="2">
      <c r="A113" s="15" t="inlineStr">
        <is>
          <t>TS-B1-112</t>
        </is>
      </c>
      <c r="B113" s="16" t="inlineStr">
        <is>
          <t>Acct Dashboard Financing</t>
        </is>
      </c>
      <c r="C113" s="16" t="inlineStr">
        <is>
          <t>Dashboard - Credit Card / Card Management</t>
        </is>
      </c>
      <c r="D113" s="16" t="inlineStr">
        <is>
          <t>Credit Card (JCB)</t>
        </is>
      </c>
      <c r="E113" s="16" t="inlineStr">
        <is>
          <t>Validate 2.4.2.1 Inst Conv TnC for Credit Card (JCB)</t>
        </is>
      </c>
      <c r="F113" s="16" t="inlineStr">
        <is>
          <t>Validate the requirement mapped to 2.4.2.1 Inst Conv TnC: Conditional Step 32 - if proceeding with instalment conversion</t>
        </is>
      </c>
      <c r="G113" s="16" t="inlineStr">
        <is>
          <t>Functional</t>
        </is>
      </c>
      <c r="H113" s="16" t="inlineStr">
        <is>
          <t>Medium</t>
        </is>
      </c>
      <c r="I113" s="16" t="inlineStr">
        <is>
          <t>Acct Dashboard Financing!A41:I41</t>
        </is>
      </c>
      <c r="J113" s="17" t="inlineStr">
        <is>
          <t>Draft</t>
        </is>
      </c>
    </row>
    <row r="114" ht="234.6" customHeight="1" s="2">
      <c r="A114" s="12" t="inlineStr">
        <is>
          <t>TS-B1-113</t>
        </is>
      </c>
      <c r="B114" s="13" t="inlineStr">
        <is>
          <t>Acct Dashboard Financing</t>
        </is>
      </c>
      <c r="C114" s="13" t="inlineStr">
        <is>
          <t>Dashboard - Credit Card / Card Management</t>
        </is>
      </c>
      <c r="D114" s="13" t="inlineStr">
        <is>
          <t>Credit Card (JCB)</t>
        </is>
      </c>
      <c r="E114" s="13" t="inlineStr">
        <is>
          <t>Validate 2.4.2.2 Inst Conv Confirm for Credit Card (JCB)</t>
        </is>
      </c>
      <c r="F114" s="13" t="inlineStr">
        <is>
          <t>Validate the requirement mapped to 2.4.2.2 Inst Conv Confirm: Conditional Step 33 - if proceeding with instalment conversion</t>
        </is>
      </c>
      <c r="G114" s="13" t="inlineStr">
        <is>
          <t>Functional</t>
        </is>
      </c>
      <c r="H114" s="13" t="inlineStr">
        <is>
          <t>Medium</t>
        </is>
      </c>
      <c r="I114" s="13" t="inlineStr">
        <is>
          <t>Acct Dashboard Financing!A42:I42</t>
        </is>
      </c>
      <c r="J114" s="14" t="inlineStr">
        <is>
          <t>Draft</t>
        </is>
      </c>
    </row>
    <row r="115" ht="234.6" customHeight="1" s="2">
      <c r="A115" s="15" t="inlineStr">
        <is>
          <t>TS-B1-114</t>
        </is>
      </c>
      <c r="B115" s="16" t="inlineStr">
        <is>
          <t>Acct Dashboard Financing</t>
        </is>
      </c>
      <c r="C115" s="16" t="inlineStr">
        <is>
          <t>Dashboard - Credit Card / Card Management</t>
        </is>
      </c>
      <c r="D115" s="16" t="inlineStr">
        <is>
          <t>Credit Card (JCB)</t>
        </is>
      </c>
      <c r="E115" s="16" t="inlineStr">
        <is>
          <t>Validate 2.4.2.3 Inst Conv Ack for Credit Card (JCB)</t>
        </is>
      </c>
      <c r="F115" s="16" t="inlineStr">
        <is>
          <t>Validate the requirement mapped to 2.4.2.3 Inst Conv Ack: Conditional Step 34 - if proceeding with instalment conversion</t>
        </is>
      </c>
      <c r="G115" s="16" t="inlineStr">
        <is>
          <t>Functional</t>
        </is>
      </c>
      <c r="H115" s="16" t="inlineStr">
        <is>
          <t>Medium</t>
        </is>
      </c>
      <c r="I115" s="16" t="inlineStr">
        <is>
          <t>Acct Dashboard Financing!A43:I43</t>
        </is>
      </c>
      <c r="J115" s="17" t="inlineStr">
        <is>
          <t>Draft</t>
        </is>
      </c>
    </row>
    <row r="116" ht="248.4" customHeight="1" s="2">
      <c r="A116" s="12" t="inlineStr">
        <is>
          <t>TS-B1-115</t>
        </is>
      </c>
      <c r="B116" s="13" t="inlineStr">
        <is>
          <t>Acct Dashboard Financing</t>
        </is>
      </c>
      <c r="C116" s="13" t="inlineStr">
        <is>
          <t>Dashboard - Credit Card / Card Management</t>
        </is>
      </c>
      <c r="D116" s="13" t="inlineStr">
        <is>
          <t>Credit Card (JCB)</t>
        </is>
      </c>
      <c r="E116" s="13" t="inlineStr">
        <is>
          <t>Validate 2.4.2.4 Inst Conv Rcpt &amp; Notif for Credit Card (JCB)</t>
        </is>
      </c>
      <c r="F116" s="13" t="inlineStr">
        <is>
          <t>Validate the requirement mapped to 2.4.2.4 Inst Conv Rcpt &amp; Notif: Conditional Step 35 - if proceeding with instalment conversion</t>
        </is>
      </c>
      <c r="G116" s="13" t="inlineStr">
        <is>
          <t>Functional</t>
        </is>
      </c>
      <c r="H116" s="13" t="inlineStr">
        <is>
          <t>Medium</t>
        </is>
      </c>
      <c r="I116" s="13" t="inlineStr">
        <is>
          <t>Acct Dashboard Financing!A44:I44</t>
        </is>
      </c>
      <c r="J116" s="14" t="inlineStr">
        <is>
          <t>Draft</t>
        </is>
      </c>
    </row>
    <row r="117" ht="220.8" customHeight="1" s="2">
      <c r="A117" s="15" t="inlineStr">
        <is>
          <t>TS-B1-116</t>
        </is>
      </c>
      <c r="B117" s="16" t="inlineStr">
        <is>
          <t>Acct Dashboard Financing</t>
        </is>
      </c>
      <c r="C117" s="16" t="inlineStr">
        <is>
          <t>Dashboard - Credit Card / Card Management</t>
        </is>
      </c>
      <c r="D117" s="16" t="inlineStr">
        <is>
          <t>Credit Card (JCB)</t>
        </is>
      </c>
      <c r="E117" s="16" t="inlineStr">
        <is>
          <t>Validate 2.4.3 Increase Credit Limit for Credit Card (JCB)</t>
        </is>
      </c>
      <c r="F117" s="16" t="inlineStr">
        <is>
          <t>Validate the requirement mapped to 2.4.3 Increase Credit Limit: Conditional Step 36 - if card eligible per MoB and policy</t>
        </is>
      </c>
      <c r="G117" s="16" t="inlineStr">
        <is>
          <t>Functional</t>
        </is>
      </c>
      <c r="H117" s="16" t="inlineStr">
        <is>
          <t>High</t>
        </is>
      </c>
      <c r="I117" s="16" t="inlineStr">
        <is>
          <t>Acct Dashboard Financing!A45:I45</t>
        </is>
      </c>
      <c r="J117" s="17" t="inlineStr">
        <is>
          <t>Draft</t>
        </is>
      </c>
    </row>
    <row r="118" ht="207" customHeight="1" s="2">
      <c r="A118" s="12" t="inlineStr">
        <is>
          <t>TS-B1-117</t>
        </is>
      </c>
      <c r="B118" s="13" t="inlineStr">
        <is>
          <t>Acct Dashboard Financing</t>
        </is>
      </c>
      <c r="C118" s="13" t="inlineStr">
        <is>
          <t>Dashboard - Credit Card / Card Management</t>
        </is>
      </c>
      <c r="D118" s="13" t="inlineStr">
        <is>
          <t>Credit Card (JCB)</t>
        </is>
      </c>
      <c r="E118" s="13" t="inlineStr">
        <is>
          <t>Validate 2.4.3.1 ICL Permanent for Credit Card (JCB)</t>
        </is>
      </c>
      <c r="F118" s="13" t="inlineStr">
        <is>
          <t>Validate the requirement mapped to 2.4.3.1 ICL Permanent: Conditional Step 37 - if Permanent selected</t>
        </is>
      </c>
      <c r="G118" s="13" t="inlineStr">
        <is>
          <t>Functional</t>
        </is>
      </c>
      <c r="H118" s="13" t="inlineStr">
        <is>
          <t>Medium</t>
        </is>
      </c>
      <c r="I118" s="13" t="inlineStr">
        <is>
          <t>Acct Dashboard Financing!A46:I46</t>
        </is>
      </c>
      <c r="J118" s="14" t="inlineStr">
        <is>
          <t>Draft</t>
        </is>
      </c>
    </row>
    <row r="119" ht="207" customHeight="1" s="2">
      <c r="A119" s="15" t="inlineStr">
        <is>
          <t>TS-B1-118</t>
        </is>
      </c>
      <c r="B119" s="16" t="inlineStr">
        <is>
          <t>Acct Dashboard Financing</t>
        </is>
      </c>
      <c r="C119" s="16" t="inlineStr">
        <is>
          <t>Dashboard - Credit Card / Card Management</t>
        </is>
      </c>
      <c r="D119" s="16" t="inlineStr">
        <is>
          <t>Credit Card (JCB)</t>
        </is>
      </c>
      <c r="E119" s="16" t="inlineStr">
        <is>
          <t>Validate 2.4.3.2 ICL Temporary for Credit Card (JCB)</t>
        </is>
      </c>
      <c r="F119" s="16" t="inlineStr">
        <is>
          <t>Validate the requirement mapped to 2.4.3.2 ICL Temporary: Conditional Step 38 - if Temporary selected</t>
        </is>
      </c>
      <c r="G119" s="16" t="inlineStr">
        <is>
          <t>Functional</t>
        </is>
      </c>
      <c r="H119" s="16" t="inlineStr">
        <is>
          <t>Medium</t>
        </is>
      </c>
      <c r="I119" s="16" t="inlineStr">
        <is>
          <t>Acct Dashboard Financing!A47:I47</t>
        </is>
      </c>
      <c r="J119" s="17" t="inlineStr">
        <is>
          <t>Draft</t>
        </is>
      </c>
    </row>
    <row r="120" ht="179.4" customHeight="1" s="2">
      <c r="A120" s="12" t="inlineStr">
        <is>
          <t>TS-B1-119</t>
        </is>
      </c>
      <c r="B120" s="13" t="inlineStr">
        <is>
          <t>Acct Dashboard Financing</t>
        </is>
      </c>
      <c r="C120" s="13" t="inlineStr">
        <is>
          <t>Dashboard - Credit Card / Card Management</t>
        </is>
      </c>
      <c r="D120" s="13" t="inlineStr">
        <is>
          <t>Credit Card (JCB)</t>
        </is>
      </c>
      <c r="E120" s="13" t="inlineStr">
        <is>
          <t>Validate 2.4.3.3 ICL TnC for Credit Card (JCB)</t>
        </is>
      </c>
      <c r="F120" s="13" t="inlineStr">
        <is>
          <t>Validate the requirement mapped to 2.4.3.3 ICL TnC: Conditional Step 39 - if proceeding with ICL</t>
        </is>
      </c>
      <c r="G120" s="13" t="inlineStr">
        <is>
          <t>Functional</t>
        </is>
      </c>
      <c r="H120" s="13" t="inlineStr">
        <is>
          <t>Medium</t>
        </is>
      </c>
      <c r="I120" s="13" t="inlineStr">
        <is>
          <t>Acct Dashboard Financing!A48:I48</t>
        </is>
      </c>
      <c r="J120" s="14" t="inlineStr">
        <is>
          <t>Draft</t>
        </is>
      </c>
    </row>
    <row r="121" ht="193.2" customHeight="1" s="2">
      <c r="A121" s="15" t="inlineStr">
        <is>
          <t>TS-B1-120</t>
        </is>
      </c>
      <c r="B121" s="16" t="inlineStr">
        <is>
          <t>Acct Dashboard Financing</t>
        </is>
      </c>
      <c r="C121" s="16" t="inlineStr">
        <is>
          <t>Dashboard - Credit Card / Card Management</t>
        </is>
      </c>
      <c r="D121" s="16" t="inlineStr">
        <is>
          <t>Credit Card (JCB)</t>
        </is>
      </c>
      <c r="E121" s="16" t="inlineStr">
        <is>
          <t>Validate 2.4.3.4 ICL Confirm for Credit Card (JCB)</t>
        </is>
      </c>
      <c r="F121" s="16" t="inlineStr">
        <is>
          <t>Validate the requirement mapped to 2.4.3.4 ICL Confirm: Conditional Step 40 - if proceeding with ICL</t>
        </is>
      </c>
      <c r="G121" s="16" t="inlineStr">
        <is>
          <t>Functional</t>
        </is>
      </c>
      <c r="H121" s="16" t="inlineStr">
        <is>
          <t>Medium</t>
        </is>
      </c>
      <c r="I121" s="16" t="inlineStr">
        <is>
          <t>Acct Dashboard Financing!A49:I49</t>
        </is>
      </c>
      <c r="J121" s="17" t="inlineStr">
        <is>
          <t>Draft</t>
        </is>
      </c>
    </row>
    <row r="122" ht="179.4" customHeight="1" s="2">
      <c r="A122" s="12" t="inlineStr">
        <is>
          <t>TS-B1-121</t>
        </is>
      </c>
      <c r="B122" s="13" t="inlineStr">
        <is>
          <t>Acct Dashboard Financing</t>
        </is>
      </c>
      <c r="C122" s="13" t="inlineStr">
        <is>
          <t>Dashboard - Credit Card / Card Management</t>
        </is>
      </c>
      <c r="D122" s="13" t="inlineStr">
        <is>
          <t>Credit Card (JCB)</t>
        </is>
      </c>
      <c r="E122" s="13" t="inlineStr">
        <is>
          <t>Validate 2.4.3.5 ICL Ack for Credit Card (JCB)</t>
        </is>
      </c>
      <c r="F122" s="13" t="inlineStr">
        <is>
          <t>Validate the requirement mapped to 2.4.3.5 ICL Ack: Conditional Step 41 - if proceeding with ICL</t>
        </is>
      </c>
      <c r="G122" s="13" t="inlineStr">
        <is>
          <t>Functional</t>
        </is>
      </c>
      <c r="H122" s="13" t="inlineStr">
        <is>
          <t>Medium</t>
        </is>
      </c>
      <c r="I122" s="13" t="inlineStr">
        <is>
          <t>Acct Dashboard Financing!A50:I50</t>
        </is>
      </c>
      <c r="J122" s="14" t="inlineStr">
        <is>
          <t>Draft</t>
        </is>
      </c>
    </row>
    <row r="123" ht="193.2" customHeight="1" s="2">
      <c r="A123" s="15" t="inlineStr">
        <is>
          <t>TS-B1-122</t>
        </is>
      </c>
      <c r="B123" s="16" t="inlineStr">
        <is>
          <t>Acct Dashboard Financing</t>
        </is>
      </c>
      <c r="C123" s="16" t="inlineStr">
        <is>
          <t>Dashboard - Credit Card / Card Management</t>
        </is>
      </c>
      <c r="D123" s="16" t="inlineStr">
        <is>
          <t>Credit Card (JCB)</t>
        </is>
      </c>
      <c r="E123" s="16" t="inlineStr">
        <is>
          <t>Validate 2.4.3.6 ICL Rcpt &amp; Notif for Credit Card (JCB)</t>
        </is>
      </c>
      <c r="F123" s="16" t="inlineStr">
        <is>
          <t>Validate the requirement mapped to 2.4.3.6 ICL Rcpt &amp; Notif: Conditional Step 42 - if proceeding with ICL</t>
        </is>
      </c>
      <c r="G123" s="16" t="inlineStr">
        <is>
          <t>Functional</t>
        </is>
      </c>
      <c r="H123" s="16" t="inlineStr">
        <is>
          <t>Medium</t>
        </is>
      </c>
      <c r="I123" s="16" t="inlineStr">
        <is>
          <t>Acct Dashboard Financing!A51:I51</t>
        </is>
      </c>
      <c r="J123" s="17" t="inlineStr">
        <is>
          <t>Draft</t>
        </is>
      </c>
    </row>
    <row r="124" ht="207" customHeight="1" s="2">
      <c r="A124" s="12" t="inlineStr">
        <is>
          <t>TS-B1-123</t>
        </is>
      </c>
      <c r="B124" s="13" t="inlineStr">
        <is>
          <t>Acct Dashboard Financing</t>
        </is>
      </c>
      <c r="C124" s="13" t="inlineStr">
        <is>
          <t>Dashboard - Credit Card / Card Management</t>
        </is>
      </c>
      <c r="D124" s="13" t="inlineStr">
        <is>
          <t>Credit Card (JCB)</t>
        </is>
      </c>
      <c r="E124" s="13" t="inlineStr">
        <is>
          <t>Validate 2.4.4 Block Card for Credit Card (JCB)</t>
        </is>
      </c>
      <c r="F124" s="13" t="inlineStr">
        <is>
          <t>Validate the requirement mapped to 2.4.4 Block Card: Conditional Step 43 - for Active card block action</t>
        </is>
      </c>
      <c r="G124" s="13" t="inlineStr">
        <is>
          <t>Functional</t>
        </is>
      </c>
      <c r="H124" s="13" t="inlineStr">
        <is>
          <t>High</t>
        </is>
      </c>
      <c r="I124" s="13" t="inlineStr">
        <is>
          <t>Acct Dashboard Financing!A52:I52</t>
        </is>
      </c>
      <c r="J124" s="14" t="inlineStr">
        <is>
          <t>Draft</t>
        </is>
      </c>
    </row>
    <row r="125" ht="207" customHeight="1" s="2">
      <c r="A125" s="15" t="inlineStr">
        <is>
          <t>TS-B1-124</t>
        </is>
      </c>
      <c r="B125" s="16" t="inlineStr">
        <is>
          <t>Acct Dashboard Financing</t>
        </is>
      </c>
      <c r="C125" s="16" t="inlineStr">
        <is>
          <t>Dashboard - Credit Card / Card Management</t>
        </is>
      </c>
      <c r="D125" s="16" t="inlineStr">
        <is>
          <t>Credit Card (JCB)</t>
        </is>
      </c>
      <c r="E125" s="16" t="inlineStr">
        <is>
          <t>Validate 2.4.4.1 Block Card Ack for Credit Card (JCB)</t>
        </is>
      </c>
      <c r="F125" s="16" t="inlineStr">
        <is>
          <t>Validate the requirement mapped to 2.4.4.1 Block Card Ack: Conditional Step 44 - if block action submitted</t>
        </is>
      </c>
      <c r="G125" s="16" t="inlineStr">
        <is>
          <t>Functional</t>
        </is>
      </c>
      <c r="H125" s="16" t="inlineStr">
        <is>
          <t>High</t>
        </is>
      </c>
      <c r="I125" s="16" t="inlineStr">
        <is>
          <t>Acct Dashboard Financing!A53:I53</t>
        </is>
      </c>
      <c r="J125" s="17" t="inlineStr">
        <is>
          <t>Draft</t>
        </is>
      </c>
    </row>
    <row r="126" ht="207" customHeight="1" s="2">
      <c r="A126" s="12" t="inlineStr">
        <is>
          <t>TS-B1-125</t>
        </is>
      </c>
      <c r="B126" s="13" t="inlineStr">
        <is>
          <t>Acct Dashboard Financing</t>
        </is>
      </c>
      <c r="C126" s="13" t="inlineStr">
        <is>
          <t>Dashboard - Credit Card / Card Management</t>
        </is>
      </c>
      <c r="D126" s="13" t="inlineStr">
        <is>
          <t>Credit Card (JCB)</t>
        </is>
      </c>
      <c r="E126" s="13" t="inlineStr">
        <is>
          <t>Validate 2.4.4.2 Block Card Notif for Credit Card (JCB)</t>
        </is>
      </c>
      <c r="F126" s="13" t="inlineStr">
        <is>
          <t>Validate the requirement mapped to 2.4.4.2 Block Card Notif: Conditional Step 45 - if block action submitted</t>
        </is>
      </c>
      <c r="G126" s="13" t="inlineStr">
        <is>
          <t>Functional</t>
        </is>
      </c>
      <c r="H126" s="13" t="inlineStr">
        <is>
          <t>High</t>
        </is>
      </c>
      <c r="I126" s="13" t="inlineStr">
        <is>
          <t>Acct Dashboard Financing!A54:I54</t>
        </is>
      </c>
      <c r="J126" s="14" t="inlineStr">
        <is>
          <t>Draft</t>
        </is>
      </c>
    </row>
    <row r="127" ht="248.4" customHeight="1" s="2">
      <c r="A127" s="15" t="inlineStr">
        <is>
          <t>TS-B1-126</t>
        </is>
      </c>
      <c r="B127" s="16" t="inlineStr">
        <is>
          <t>Acct Dashboard Financing</t>
        </is>
      </c>
      <c r="C127" s="16" t="inlineStr">
        <is>
          <t>Dashboard - Credit Card / Card Management</t>
        </is>
      </c>
      <c r="D127" s="16" t="inlineStr">
        <is>
          <t>Credit Card (JCB)</t>
        </is>
      </c>
      <c r="E127" s="16" t="inlineStr">
        <is>
          <t>Validate 2.4.5 Unblock Card for Credit Card (JCB)</t>
        </is>
      </c>
      <c r="F127" s="16" t="inlineStr">
        <is>
          <t>Validate the requirement mapped to 2.4.5 Unblock Card: Conditional Step 46 - when card is temporarily blocked by eligible channel</t>
        </is>
      </c>
      <c r="G127" s="16" t="inlineStr">
        <is>
          <t>Negative</t>
        </is>
      </c>
      <c r="H127" s="16" t="inlineStr">
        <is>
          <t>High</t>
        </is>
      </c>
      <c r="I127" s="16" t="inlineStr">
        <is>
          <t>Acct Dashboard Financing!A55:I55</t>
        </is>
      </c>
      <c r="J127" s="17" t="inlineStr">
        <is>
          <t>Draft</t>
        </is>
      </c>
    </row>
    <row r="128" ht="220.8" customHeight="1" s="2">
      <c r="A128" s="12" t="inlineStr">
        <is>
          <t>TS-B1-127</t>
        </is>
      </c>
      <c r="B128" s="13" t="inlineStr">
        <is>
          <t>Acct Dashboard Financing</t>
        </is>
      </c>
      <c r="C128" s="13" t="inlineStr">
        <is>
          <t>Dashboard - Credit Card / Card Management</t>
        </is>
      </c>
      <c r="D128" s="13" t="inlineStr">
        <is>
          <t>Credit Card (JCB)</t>
        </is>
      </c>
      <c r="E128" s="13" t="inlineStr">
        <is>
          <t>Validate 2.4.5.1 Unblock Card Ack for Credit Card (JCB)</t>
        </is>
      </c>
      <c r="F128" s="13" t="inlineStr">
        <is>
          <t>Validate the requirement mapped to 2.4.5.1 Unblock Card Ack: Conditional Step 47 - if unblock action submitted</t>
        </is>
      </c>
      <c r="G128" s="13" t="inlineStr">
        <is>
          <t>Functional</t>
        </is>
      </c>
      <c r="H128" s="13" t="inlineStr">
        <is>
          <t>High</t>
        </is>
      </c>
      <c r="I128" s="13" t="inlineStr">
        <is>
          <t>Acct Dashboard Financing!A56:I56</t>
        </is>
      </c>
      <c r="J128" s="14" t="inlineStr">
        <is>
          <t>Draft</t>
        </is>
      </c>
    </row>
    <row r="129" ht="220.8" customHeight="1" s="2">
      <c r="A129" s="15" t="inlineStr">
        <is>
          <t>TS-B1-128</t>
        </is>
      </c>
      <c r="B129" s="16" t="inlineStr">
        <is>
          <t>Acct Dashboard Financing</t>
        </is>
      </c>
      <c r="C129" s="16" t="inlineStr">
        <is>
          <t>Dashboard - Credit Card / Card Management</t>
        </is>
      </c>
      <c r="D129" s="16" t="inlineStr">
        <is>
          <t>Credit Card (JCB)</t>
        </is>
      </c>
      <c r="E129" s="16" t="inlineStr">
        <is>
          <t>Validate 2.4.5.2 Unblock Card Notif for Credit Card (JCB)</t>
        </is>
      </c>
      <c r="F129" s="16" t="inlineStr">
        <is>
          <t>Validate the requirement mapped to 2.4.5.2 Unblock Card Notif: Conditional Step 48 - if unblock action submitted</t>
        </is>
      </c>
      <c r="G129" s="16" t="inlineStr">
        <is>
          <t>Functional</t>
        </is>
      </c>
      <c r="H129" s="16" t="inlineStr">
        <is>
          <t>High</t>
        </is>
      </c>
      <c r="I129" s="16" t="inlineStr">
        <is>
          <t>Acct Dashboard Financing!A57:I57</t>
        </is>
      </c>
      <c r="J129" s="17" t="inlineStr">
        <is>
          <t>Draft</t>
        </is>
      </c>
    </row>
    <row r="130" ht="179.4" customHeight="1" s="2">
      <c r="A130" s="12" t="inlineStr">
        <is>
          <t>TS-B1-129</t>
        </is>
      </c>
      <c r="B130" s="13" t="inlineStr">
        <is>
          <t>Acct Dashboard Financing</t>
        </is>
      </c>
      <c r="C130" s="13" t="inlineStr">
        <is>
          <t>Dashboard - Credit Card / Card Management</t>
        </is>
      </c>
      <c r="D130" s="13" t="inlineStr">
        <is>
          <t>Credit Card (JCB)</t>
        </is>
      </c>
      <c r="E130" s="13" t="inlineStr">
        <is>
          <t>Validate 2.4.6 Replace &amp; Renew Card for Credit Card (JCB)</t>
        </is>
      </c>
      <c r="F130" s="13" t="inlineStr">
        <is>
          <t>Validate the requirement mapped to 2.4.6 Replace &amp; Renew Card: Conditional Step 49 - replace card flow</t>
        </is>
      </c>
      <c r="G130" s="13" t="inlineStr">
        <is>
          <t>Functional</t>
        </is>
      </c>
      <c r="H130" s="13" t="inlineStr">
        <is>
          <t>Medium</t>
        </is>
      </c>
      <c r="I130" s="13" t="inlineStr">
        <is>
          <t>Acct Dashboard Financing!A58:I58</t>
        </is>
      </c>
      <c r="J130" s="14" t="inlineStr">
        <is>
          <t>Draft</t>
        </is>
      </c>
    </row>
    <row r="131" ht="193.2" customHeight="1" s="2">
      <c r="A131" s="15" t="inlineStr">
        <is>
          <t>TS-B1-130</t>
        </is>
      </c>
      <c r="B131" s="16" t="inlineStr">
        <is>
          <t>Acct Dashboard Financing</t>
        </is>
      </c>
      <c r="C131" s="16" t="inlineStr">
        <is>
          <t>Dashboard - Credit Card / Card Management</t>
        </is>
      </c>
      <c r="D131" s="16" t="inlineStr">
        <is>
          <t>Credit Card (JCB)</t>
        </is>
      </c>
      <c r="E131" s="16" t="inlineStr">
        <is>
          <t>Validate 2.4.6.1 R&amp;R Ack for Credit Card (JCB)</t>
        </is>
      </c>
      <c r="F131" s="16" t="inlineStr">
        <is>
          <t>Validate the requirement mapped to 2.4.6.1 R&amp;R Ack: Conditional Step 50 - if replace request submitted</t>
        </is>
      </c>
      <c r="G131" s="16" t="inlineStr">
        <is>
          <t>Functional</t>
        </is>
      </c>
      <c r="H131" s="16" t="inlineStr">
        <is>
          <t>Medium</t>
        </is>
      </c>
      <c r="I131" s="16" t="inlineStr">
        <is>
          <t>Acct Dashboard Financing!A59:I59</t>
        </is>
      </c>
      <c r="J131" s="17" t="inlineStr">
        <is>
          <t>Draft</t>
        </is>
      </c>
    </row>
    <row r="132" ht="207" customHeight="1" s="2">
      <c r="A132" s="12" t="inlineStr">
        <is>
          <t>TS-B1-131</t>
        </is>
      </c>
      <c r="B132" s="13" t="inlineStr">
        <is>
          <t>Acct Dashboard Financing</t>
        </is>
      </c>
      <c r="C132" s="13" t="inlineStr">
        <is>
          <t>Dashboard - Credit Card / Card Management</t>
        </is>
      </c>
      <c r="D132" s="13" t="inlineStr">
        <is>
          <t>Credit Card (JCB)</t>
        </is>
      </c>
      <c r="E132" s="13" t="inlineStr">
        <is>
          <t>Validate 2.4.6.2 R&amp;R Notif for Credit Card (JCB)</t>
        </is>
      </c>
      <c r="F132" s="13" t="inlineStr">
        <is>
          <t>Validate the requirement mapped to 2.4.6.2 R&amp;R Notif: Conditional Step 51 - if replace request submitted</t>
        </is>
      </c>
      <c r="G132" s="13" t="inlineStr">
        <is>
          <t>Functional</t>
        </is>
      </c>
      <c r="H132" s="13" t="inlineStr">
        <is>
          <t>Medium</t>
        </is>
      </c>
      <c r="I132" s="13" t="inlineStr">
        <is>
          <t>Acct Dashboard Financing!A60:I60</t>
        </is>
      </c>
      <c r="J132" s="14" t="inlineStr">
        <is>
          <t>Draft</t>
        </is>
      </c>
    </row>
    <row r="133" ht="165.6" customHeight="1" s="2">
      <c r="A133" s="15" t="inlineStr">
        <is>
          <t>TS-B1-132</t>
        </is>
      </c>
      <c r="B133" s="16" t="inlineStr">
        <is>
          <t>Acct Dashboard Financing</t>
        </is>
      </c>
      <c r="C133" s="16" t="inlineStr">
        <is>
          <t>Dashboard - Credit Card / Card Management</t>
        </is>
      </c>
      <c r="D133" s="16" t="inlineStr">
        <is>
          <t>Credit Card (JCB)</t>
        </is>
      </c>
      <c r="E133" s="16" t="inlineStr">
        <is>
          <t>Validate 2.4.7 Reset PIN for Credit Card (JCB)</t>
        </is>
      </c>
      <c r="F133" s="16" t="inlineStr">
        <is>
          <t>Validate the requirement mapped to 2.4.7 Reset PIN: Conditional Step 52 - reset PIN flow</t>
        </is>
      </c>
      <c r="G133" s="16" t="inlineStr">
        <is>
          <t>Functional</t>
        </is>
      </c>
      <c r="H133" s="16" t="inlineStr">
        <is>
          <t>Medium</t>
        </is>
      </c>
      <c r="I133" s="16" t="inlineStr">
        <is>
          <t>Acct Dashboard Financing!A61:I61</t>
        </is>
      </c>
      <c r="J133" s="17" t="inlineStr">
        <is>
          <t>Draft</t>
        </is>
      </c>
    </row>
    <row r="134" ht="234.6" customHeight="1" s="2">
      <c r="A134" s="12" t="inlineStr">
        <is>
          <t>TS-B1-133</t>
        </is>
      </c>
      <c r="B134" s="13" t="inlineStr">
        <is>
          <t>Acct Dashboard Financing</t>
        </is>
      </c>
      <c r="C134" s="13" t="inlineStr">
        <is>
          <t>Dashboard - Credit Card / Card Management</t>
        </is>
      </c>
      <c r="D134" s="13" t="inlineStr">
        <is>
          <t>Credit Card (JCB)</t>
        </is>
      </c>
      <c r="E134" s="13" t="inlineStr">
        <is>
          <t>Validate 2.4.8 Block Code for Credit Card (JCB)</t>
        </is>
      </c>
      <c r="F134" s="13" t="inlineStr">
        <is>
          <t>Validate the requirement mapped to 2.4.8 Block Code: Conditional Step 53 - block code matrix governs status/feature gating</t>
        </is>
      </c>
      <c r="G134" s="13" t="inlineStr">
        <is>
          <t>Functional</t>
        </is>
      </c>
      <c r="H134" s="13" t="inlineStr">
        <is>
          <t>High</t>
        </is>
      </c>
      <c r="I134" s="13" t="inlineStr">
        <is>
          <t>Acct Dashboard Financing!A62:I62</t>
        </is>
      </c>
      <c r="J134" s="14" t="inlineStr">
        <is>
          <t>Draft</t>
        </is>
      </c>
    </row>
    <row r="135" ht="248.4" customHeight="1" s="2">
      <c r="A135" s="15" t="inlineStr">
        <is>
          <t>TS-B1-134</t>
        </is>
      </c>
      <c r="B135" s="16" t="inlineStr">
        <is>
          <t>Acct Dashboard Financing</t>
        </is>
      </c>
      <c r="C135" s="16" t="inlineStr">
        <is>
          <t>Dashboard - Credit Card / Card Management</t>
        </is>
      </c>
      <c r="D135" s="16" t="inlineStr">
        <is>
          <t>Credit Card (JCB)</t>
        </is>
      </c>
      <c r="E135" s="16" t="inlineStr">
        <is>
          <t>Final status and recovery for Credit Card (JCB)</t>
        </is>
      </c>
      <c r="F135" s="16" t="inlineStr">
        <is>
          <t>Validate successful completion, failure handling, and final-state integrity for Dashboard - Credit Card / Card Management.</t>
        </is>
      </c>
      <c r="G135" s="16" t="inlineStr">
        <is>
          <t>Functional / Negative</t>
        </is>
      </c>
      <c r="H135" s="16" t="inlineStr">
        <is>
          <t>High</t>
        </is>
      </c>
      <c r="I135" s="16" t="inlineStr">
        <is>
          <t>Acct Dashboard Financing!I1:I62</t>
        </is>
      </c>
      <c r="J135" s="17" t="inlineStr">
        <is>
          <t>Draft</t>
        </is>
      </c>
    </row>
    <row r="136" ht="165.6" customHeight="1" s="2">
      <c r="A136" s="12" t="inlineStr">
        <is>
          <t>TS-B1-135</t>
        </is>
      </c>
      <c r="B136" s="13" t="inlineStr">
        <is>
          <t>Acct Dashboard Non-Financing</t>
        </is>
      </c>
      <c r="C136" s="13" t="inlineStr">
        <is>
          <t>Dashboard — Deposits</t>
        </is>
      </c>
      <c r="D136" s="13" t="inlineStr">
        <is>
          <t>CASA: Regular Savings Account; Current Account (conventional and shariah)</t>
        </is>
      </c>
      <c r="E136" s="13" t="inlineStr">
        <is>
          <t>Access and open CASA: Regular Savings Account; Current Account (conventional and shariah)</t>
        </is>
      </c>
      <c r="F136" s="13" t="inlineStr">
        <is>
          <t>Validate the configured entry point, customer eligibility, and initial page for Dashboard — Deposits.</t>
        </is>
      </c>
      <c r="G136" s="13" t="inlineStr">
        <is>
          <t>Functional</t>
        </is>
      </c>
      <c r="H136" s="13" t="inlineStr">
        <is>
          <t>Medium</t>
        </is>
      </c>
      <c r="I136" s="13" t="inlineStr">
        <is>
          <t>Acct Dashboard Non-Financing!B1:B45</t>
        </is>
      </c>
      <c r="J136" s="14" t="inlineStr">
        <is>
          <t>Draft</t>
        </is>
      </c>
    </row>
    <row r="137" ht="179.4" customHeight="1" s="2">
      <c r="A137" s="15" t="inlineStr">
        <is>
          <t>TS-B1-136</t>
        </is>
      </c>
      <c r="B137" s="16" t="inlineStr">
        <is>
          <t>Acct Dashboard Non-Financing</t>
        </is>
      </c>
      <c r="C137" s="16" t="inlineStr">
        <is>
          <t>Dashboard — Deposits</t>
        </is>
      </c>
      <c r="D137" s="16" t="inlineStr">
        <is>
          <t>CASA: Regular Savings Account; Current Account (conventional and shariah)</t>
        </is>
      </c>
      <c r="E137" s="16" t="inlineStr">
        <is>
          <t>Authentication and authorisation for CASA: Regular Savings Account; Current Account (conventional and shariah)</t>
        </is>
      </c>
      <c r="F137" s="16" t="inlineStr">
        <is>
          <t>Validate all authentication requirements stated for Dashboard — Deposits.</t>
        </is>
      </c>
      <c r="G137" s="16" t="inlineStr">
        <is>
          <t>Security</t>
        </is>
      </c>
      <c r="H137" s="16" t="inlineStr">
        <is>
          <t>High</t>
        </is>
      </c>
      <c r="I137" s="16" t="inlineStr">
        <is>
          <t>Acct Dashboard Non-Financing!B1:B45</t>
        </is>
      </c>
      <c r="J137" s="17" t="inlineStr">
        <is>
          <t>Draft</t>
        </is>
      </c>
    </row>
    <row r="138" ht="220.8" customHeight="1" s="2">
      <c r="A138" s="12" t="inlineStr">
        <is>
          <t>TS-B1-137</t>
        </is>
      </c>
      <c r="B138" s="13" t="inlineStr">
        <is>
          <t>Acct Dashboard Non-Financing</t>
        </is>
      </c>
      <c r="C138" s="13" t="inlineStr">
        <is>
          <t>Dashboard — Deposits</t>
        </is>
      </c>
      <c r="D138" s="13" t="inlineStr">
        <is>
          <t>CASA: Regular Savings Account; Current Account (conventional and shariah)</t>
        </is>
      </c>
      <c r="E138" s="13" t="inlineStr">
        <is>
          <t>Validate Step 1 — 1.1 Account Dashboard Landing for CASA: Regular Savings Account; Current Account (conventional and shariah)</t>
        </is>
      </c>
      <c r="F138" s="13" t="inlineStr">
        <is>
          <t>Validate the requirement mapped to Step 1 — 1.1 Account Dashboard Landing: Step 1</t>
        </is>
      </c>
      <c r="G138" s="13" t="inlineStr">
        <is>
          <t>UI / Functional</t>
        </is>
      </c>
      <c r="H138" s="13" t="inlineStr">
        <is>
          <t>Medium</t>
        </is>
      </c>
      <c r="I138" s="13" t="inlineStr">
        <is>
          <t>Acct Dashboard Non-Financing!A10:B10</t>
        </is>
      </c>
      <c r="J138" s="14" t="inlineStr">
        <is>
          <t>Draft</t>
        </is>
      </c>
    </row>
    <row r="139" ht="409.6" customHeight="1" s="2">
      <c r="A139" s="15" t="inlineStr">
        <is>
          <t>TS-B1-138</t>
        </is>
      </c>
      <c r="B139" s="16" t="inlineStr">
        <is>
          <t>Acct Dashboard Non-Financing</t>
        </is>
      </c>
      <c r="C139" s="16" t="inlineStr">
        <is>
          <t>Dashboard — Deposits</t>
        </is>
      </c>
      <c r="D139" s="16" t="inlineStr">
        <is>
          <t>CASA: Regular Savings Account; Current Account (conventional and shariah)</t>
        </is>
      </c>
      <c r="E139" s="16" t="inlineStr">
        <is>
          <t>Validate Step 2 — 1.2 Account Listing (Savings &amp; Current) for CASA: Regular Savings Account; Current Account (conventional and shariah)</t>
        </is>
      </c>
      <c r="F139" s="16" t="inlineStr">
        <is>
          <t>Validate the requirement mapped to Step 2 — 1.2 Account Listing (Savings &amp; Current): Step 2 — displays account card; total balance with/without '≈'; Tabung banner/card; upsell banner; business profile disclaimer if applicable</t>
        </is>
      </c>
      <c r="G139" s="16" t="inlineStr">
        <is>
          <t>UI / Functional</t>
        </is>
      </c>
      <c r="H139" s="16" t="inlineStr">
        <is>
          <t>Medium</t>
        </is>
      </c>
      <c r="I139" s="16" t="inlineStr">
        <is>
          <t>Acct Dashboard Non-Financing!A11:B11</t>
        </is>
      </c>
      <c r="J139" s="17" t="inlineStr">
        <is>
          <t>Draft</t>
        </is>
      </c>
    </row>
    <row r="140" ht="409.6" customHeight="1" s="2">
      <c r="A140" s="12" t="inlineStr">
        <is>
          <t>TS-B1-139</t>
        </is>
      </c>
      <c r="B140" s="13" t="inlineStr">
        <is>
          <t>Acct Dashboard Non-Financing</t>
        </is>
      </c>
      <c r="C140" s="13" t="inlineStr">
        <is>
          <t>Dashboard — Deposits</t>
        </is>
      </c>
      <c r="D140" s="13" t="inlineStr">
        <is>
          <t>CASA: Regular Savings Account; Current Account (conventional and shariah)</t>
        </is>
      </c>
      <c r="E140" s="13" t="inlineStr">
        <is>
          <t>Validate Step 3 — 1.2.1 CASA Account Details for CASA: Regular Savings Account; Current Account (conventional and shariah)</t>
        </is>
      </c>
      <c r="F140" s="13" t="inlineStr">
        <is>
          <t>Validate the requirement mapped to Step 3 — 1.2.1 CASA Account Details: Step 3 — Transactions / Summary / Manage tabs; account balance drawer; linked term savings section; Quick Actions (Transfer, Pay, eWallet, View Statements, View linked card); Set Primary; Manage Linked Card; Block Account available per eligibility</t>
        </is>
      </c>
      <c r="G140" s="13" t="inlineStr">
        <is>
          <t>UI / Functional</t>
        </is>
      </c>
      <c r="H140" s="13" t="inlineStr">
        <is>
          <t>High</t>
        </is>
      </c>
      <c r="I140" s="13" t="inlineStr">
        <is>
          <t>Acct Dashboard Non-Financing!A12:B12</t>
        </is>
      </c>
      <c r="J140" s="14" t="inlineStr">
        <is>
          <t>Draft</t>
        </is>
      </c>
    </row>
    <row r="141" ht="409.6" customHeight="1" s="2">
      <c r="A141" s="15" t="inlineStr">
        <is>
          <t>TS-B1-140</t>
        </is>
      </c>
      <c r="B141" s="16" t="inlineStr">
        <is>
          <t>Acct Dashboard Non-Financing</t>
        </is>
      </c>
      <c r="C141" s="16" t="inlineStr">
        <is>
          <t>Dashboard — Deposits</t>
        </is>
      </c>
      <c r="D141" s="16" t="inlineStr">
        <is>
          <t>CASA: Regular Savings Account; Current Account (conventional and shariah)</t>
        </is>
      </c>
      <c r="E141" s="16" t="inlineStr">
        <is>
          <t>Validate Step 4 — 1.2.1.1 Transaction Details for CASA: Regular Savings Account; Current Account (conventional and shariah)</t>
        </is>
      </c>
      <c r="F141" s="16" t="inlineStr">
        <is>
          <t>Validate the requirement mapped to Step 4 — 1.2.1.1 Transaction Details: Step 4 — tap any transaction in Transactions tab or ViewAllTrans; displays per transaction type matrix (Overseas Transfer, Currency Exchange, Pay Using Card, Scan &amp; Pay, Transfer, Money In/Out variants)</t>
        </is>
      </c>
      <c r="G141" s="16" t="inlineStr">
        <is>
          <t>UI / Functional</t>
        </is>
      </c>
      <c r="H141" s="16" t="inlineStr">
        <is>
          <t>High</t>
        </is>
      </c>
      <c r="I141" s="16" t="inlineStr">
        <is>
          <t>Acct Dashboard Non-Financing!A13:B13</t>
        </is>
      </c>
      <c r="J141" s="17" t="inlineStr">
        <is>
          <t>Draft</t>
        </is>
      </c>
    </row>
    <row r="142" ht="409.6" customHeight="1" s="2">
      <c r="A142" s="12" t="inlineStr">
        <is>
          <t>TS-B1-141</t>
        </is>
      </c>
      <c r="B142" s="13" t="inlineStr">
        <is>
          <t>Acct Dashboard Non-Financing</t>
        </is>
      </c>
      <c r="C142" s="13" t="inlineStr">
        <is>
          <t>Dashboard — Deposits</t>
        </is>
      </c>
      <c r="D142" s="13" t="inlineStr">
        <is>
          <t>CASA: Regular Savings Account; Current Account (conventional and shariah)</t>
        </is>
      </c>
      <c r="E142" s="13" t="inlineStr">
        <is>
          <t>Validate Step 5 — 1.2.1.2 ViewAllTrans for CASA: Regular Savings Account; Current Account (conventional and shariah)</t>
        </is>
      </c>
      <c r="F142" s="13" t="inlineStr">
        <is>
          <t>Validate the requirement mapped to Step 5 — 1.2.1.2 ViewAllTrans: Step 5 — search, filter (Money In/Out, Transaction Currency for GAA/MCA, Time Range, Custom date), export (PDF/CSV/XLSX, Send to Email / Save to device)</t>
        </is>
      </c>
      <c r="G142" s="13" t="inlineStr">
        <is>
          <t>Functional</t>
        </is>
      </c>
      <c r="H142" s="13" t="inlineStr">
        <is>
          <t>Medium</t>
        </is>
      </c>
      <c r="I142" s="13" t="inlineStr">
        <is>
          <t>Acct Dashboard Non-Financing!A14:B14</t>
        </is>
      </c>
      <c r="J142" s="14" t="inlineStr">
        <is>
          <t>Draft</t>
        </is>
      </c>
    </row>
    <row r="143" ht="409.6" customHeight="1" s="2">
      <c r="A143" s="15" t="inlineStr">
        <is>
          <t>TS-B1-142</t>
        </is>
      </c>
      <c r="B143" s="16" t="inlineStr">
        <is>
          <t>Acct Dashboard Non-Financing</t>
        </is>
      </c>
      <c r="C143" s="16" t="inlineStr">
        <is>
          <t>Dashboard — Deposits</t>
        </is>
      </c>
      <c r="D143" s="16" t="inlineStr">
        <is>
          <t>CASA: Regular Savings Account; Current Account (conventional and shariah)</t>
        </is>
      </c>
      <c r="E143" s="16" t="inlineStr">
        <is>
          <t>Validate Step 6 — 1.2.1.3 ManageLinkedCard for CASA: Regular Savings Account; Current Account (conventional and shariah)</t>
        </is>
      </c>
      <c r="F143" s="16" t="inlineStr">
        <is>
          <t>Validate the requirement mapped to Step 6 — 1.2.1.3 ManageLinkedCard: Step 6 — view/link/unlink/update linked debit card; S2U required; Global Access account displays only GAA cards; non-GAA account excludes GAA cards; max 8 linked accounts per card; default account restriction</t>
        </is>
      </c>
      <c r="G143" s="16" t="inlineStr">
        <is>
          <t>UI / Functional</t>
        </is>
      </c>
      <c r="H143" s="16" t="inlineStr">
        <is>
          <t>Medium</t>
        </is>
      </c>
      <c r="I143" s="16" t="inlineStr">
        <is>
          <t>Acct Dashboard Non-Financing!A15:B15</t>
        </is>
      </c>
      <c r="J143" s="17" t="inlineStr">
        <is>
          <t>Draft</t>
        </is>
      </c>
    </row>
    <row r="144" ht="409.6" customHeight="1" s="2">
      <c r="A144" s="12" t="inlineStr">
        <is>
          <t>TS-B1-143</t>
        </is>
      </c>
      <c r="B144" s="13" t="inlineStr">
        <is>
          <t>Acct Dashboard Non-Financing</t>
        </is>
      </c>
      <c r="C144" s="13" t="inlineStr">
        <is>
          <t>Dashboard — Deposits</t>
        </is>
      </c>
      <c r="D144" s="13" t="inlineStr">
        <is>
          <t>CASA: Regular Savings Account; Current Account (conventional and shariah)</t>
        </is>
      </c>
      <c r="E144" s="13" t="inlineStr">
        <is>
          <t>Validate Step 7 — 1.2.1.4 BlockAccount for CASA: Regular Savings Account; Current Account (conventional and shariah)</t>
        </is>
      </c>
      <c r="F144" s="13" t="inlineStr">
        <is>
          <t>Validate the requirement mapped to Step 7 — 1.2.1.4 BlockAccount: Step 7 — single or multi-select block; S2U required; eligible accounts per product code / segment ID / status Active; post-block: Frozen status, Quick Actions greyed except View Statements, Manage greyed except Add/Edit Nickname</t>
        </is>
      </c>
      <c r="G144" s="13" t="inlineStr">
        <is>
          <t>Functional</t>
        </is>
      </c>
      <c r="H144" s="13" t="inlineStr">
        <is>
          <t>High</t>
        </is>
      </c>
      <c r="I144" s="13" t="inlineStr">
        <is>
          <t>Acct Dashboard Non-Financing!A16:B16</t>
        </is>
      </c>
      <c r="J144" s="14" t="inlineStr">
        <is>
          <t>Draft</t>
        </is>
      </c>
    </row>
    <row r="145" ht="409.6" customHeight="1" s="2">
      <c r="A145" s="15" t="inlineStr">
        <is>
          <t>TS-B1-144</t>
        </is>
      </c>
      <c r="B145" s="16" t="inlineStr">
        <is>
          <t>Acct Dashboard Non-Financing</t>
        </is>
      </c>
      <c r="C145" s="16" t="inlineStr">
        <is>
          <t>Dashboard — Deposits</t>
        </is>
      </c>
      <c r="D145" s="16" t="inlineStr">
        <is>
          <t>CASA: Regular Savings Account; Current Account (conventional and shariah)</t>
        </is>
      </c>
      <c r="E145" s="16" t="inlineStr">
        <is>
          <t>Validate Step 8 — 1.2.1.5 DormantAccount for CASA: Regular Savings Account; Current Account (conventional and shariah)</t>
        </is>
      </c>
      <c r="F145" s="16" t="inlineStr">
        <is>
          <t>Validate the requirement mapped to Step 8 — 1.2.1.5 DormantAccount: Conditional Step 8 — displayed when account status is Dormant; all Quick Actions and Manage greyed except View Statements and Add/Edit Nickname; dormancy PN+email notifications 1 month prior and on effective date</t>
        </is>
      </c>
      <c r="G145" s="16" t="inlineStr">
        <is>
          <t>UI / Functional</t>
        </is>
      </c>
      <c r="H145" s="16" t="inlineStr">
        <is>
          <t>Medium</t>
        </is>
      </c>
      <c r="I145" s="16" t="inlineStr">
        <is>
          <t>Acct Dashboard Non-Financing!A17:B17</t>
        </is>
      </c>
      <c r="J145" s="17" t="inlineStr">
        <is>
          <t>Draft</t>
        </is>
      </c>
    </row>
    <row r="146" ht="409.6" customHeight="1" s="2">
      <c r="A146" s="12" t="inlineStr">
        <is>
          <t>TS-B1-145</t>
        </is>
      </c>
      <c r="B146" s="13" t="inlineStr">
        <is>
          <t>Acct Dashboard Non-Financing</t>
        </is>
      </c>
      <c r="C146" s="13" t="inlineStr">
        <is>
          <t>Dashboard — Deposits</t>
        </is>
      </c>
      <c r="D146" s="13" t="inlineStr">
        <is>
          <t>CASA: Regular Savings Account; Current Account (conventional and shariah)</t>
        </is>
      </c>
      <c r="E146" s="13" t="inlineStr">
        <is>
          <t>Validate Step 9 — 1.2.1.6 Inactive Account for CASA: Regular Savings Account; Current Account (conventional and shariah)</t>
        </is>
      </c>
      <c r="F146" s="13" t="inlineStr">
        <is>
          <t>Validate the requirement mapped to Step 9 — 1.2.1.6 Inactive Account: Conditional Step 9 — displayed when account status is Inactive; Reactivate button displayed (except excluded product codes 319, 826, 209, 219, 279, 806); Update Personal Details → Confirmation → S2U → Acknowledgement; Account Reactivated / Update Unsuccessful</t>
        </is>
      </c>
      <c r="G146" s="13" t="inlineStr">
        <is>
          <t>Negative</t>
        </is>
      </c>
      <c r="H146" s="13" t="inlineStr">
        <is>
          <t>High</t>
        </is>
      </c>
      <c r="I146" s="13" t="inlineStr">
        <is>
          <t>Acct Dashboard Non-Financing!A18:B18</t>
        </is>
      </c>
      <c r="J146" s="14" t="inlineStr">
        <is>
          <t>Draft</t>
        </is>
      </c>
    </row>
    <row r="147" ht="409.6" customHeight="1" s="2">
      <c r="A147" s="15" t="inlineStr">
        <is>
          <t>TS-B1-146</t>
        </is>
      </c>
      <c r="B147" s="16" t="inlineStr">
        <is>
          <t>Acct Dashboard Non-Financing</t>
        </is>
      </c>
      <c r="C147" s="16" t="inlineStr">
        <is>
          <t>Dashboard — Deposits</t>
        </is>
      </c>
      <c r="D147" s="16" t="inlineStr">
        <is>
          <t>CASA: Regular Savings Account; Current Account (conventional and shariah)</t>
        </is>
      </c>
      <c r="E147" s="16" t="inlineStr">
        <is>
          <t>Validate Step 10 — 1.2.1.7 Closed Account for CASA: Regular Savings Account; Current Account (conventional and shariah)</t>
        </is>
      </c>
      <c r="F147" s="16" t="inlineStr">
        <is>
          <t>Validate the requirement mapped to Step 10 — 1.2.1.7 Closed Account: Conditional Step 10 — displayed up to 90 days after closing date (NGBO-parameterised; 0 = not displayed); View Statements only; all other actions disabled</t>
        </is>
      </c>
      <c r="G147" s="16" t="inlineStr">
        <is>
          <t>Negative</t>
        </is>
      </c>
      <c r="H147" s="16" t="inlineStr">
        <is>
          <t>Medium</t>
        </is>
      </c>
      <c r="I147" s="16" t="inlineStr">
        <is>
          <t>Acct Dashboard Non-Financing!A19:B19</t>
        </is>
      </c>
      <c r="J147" s="17" t="inlineStr">
        <is>
          <t>Draft</t>
        </is>
      </c>
    </row>
    <row r="148" ht="400.2" customHeight="1" s="2">
      <c r="A148" s="12" t="inlineStr">
        <is>
          <t>TS-B1-147</t>
        </is>
      </c>
      <c r="B148" s="13" t="inlineStr">
        <is>
          <t>Acct Dashboard Non-Financing</t>
        </is>
      </c>
      <c r="C148" s="13" t="inlineStr">
        <is>
          <t>Dashboard — Deposits</t>
        </is>
      </c>
      <c r="D148" s="13" t="inlineStr">
        <is>
          <t>CASA: Regular Savings Account; Current Account (conventional and shariah)</t>
        </is>
      </c>
      <c r="E148" s="13" t="inlineStr">
        <is>
          <t>Validate ViewAllTrans — Transaction History Display Rule for CASA: Regular Savings Account; Current Account (conventional and shariah)</t>
        </is>
      </c>
      <c r="F148" s="13" t="inlineStr">
        <is>
          <t>Validate the requirement mapped to ViewAllTrans — Transaction History Display Rule: Transactions tab shows latest 10 (YTD + last 24 months); "View All Transactions" hyperlink shown only if &gt;10 transactions</t>
        </is>
      </c>
      <c r="G148" s="13" t="inlineStr">
        <is>
          <t>UI / Functional</t>
        </is>
      </c>
      <c r="H148" s="13" t="inlineStr">
        <is>
          <t>Medium</t>
        </is>
      </c>
      <c r="I148" s="13" t="inlineStr">
        <is>
          <t>Acct Dashboard Non-Financing!A40:B40</t>
        </is>
      </c>
      <c r="J148" s="14" t="inlineStr">
        <is>
          <t>Draft</t>
        </is>
      </c>
    </row>
    <row r="149" ht="400.2" customHeight="1" s="2">
      <c r="A149" s="15" t="inlineStr">
        <is>
          <t>TS-B1-148</t>
        </is>
      </c>
      <c r="B149" s="16" t="inlineStr">
        <is>
          <t>Acct Dashboard Non-Financing</t>
        </is>
      </c>
      <c r="C149" s="16" t="inlineStr">
        <is>
          <t>Dashboard — Deposits</t>
        </is>
      </c>
      <c r="D149" s="16" t="inlineStr">
        <is>
          <t>CASA: Regular Savings Account; Current Account (conventional and shariah)</t>
        </is>
      </c>
      <c r="E149" s="16" t="inlineStr">
        <is>
          <t>Validate Business Profile / IBO Disclaimer for CASA: Regular Savings Account; Current Account (conventional and shariah)</t>
        </is>
      </c>
      <c r="F149" s="16" t="inlineStr">
        <is>
          <t>Validate the requirement mapped to Business Profile / IBO Disclaimer: Disclaimer box displayed if business profile set up; for this release all accounts shown; upon IBO: only personal accounts displayed</t>
        </is>
      </c>
      <c r="G149" s="16" t="inlineStr">
        <is>
          <t>UI / Functional</t>
        </is>
      </c>
      <c r="H149" s="16" t="inlineStr">
        <is>
          <t>Medium</t>
        </is>
      </c>
      <c r="I149" s="16" t="inlineStr">
        <is>
          <t>Acct Dashboard Non-Financing!A43:B43</t>
        </is>
      </c>
      <c r="J149" s="17" t="inlineStr">
        <is>
          <t>Draft</t>
        </is>
      </c>
    </row>
    <row r="150" ht="409.6" customHeight="1" s="2">
      <c r="A150" s="12" t="inlineStr">
        <is>
          <t>TS-B1-149</t>
        </is>
      </c>
      <c r="B150" s="13" t="inlineStr">
        <is>
          <t>Acct Dashboard Non-Financing</t>
        </is>
      </c>
      <c r="C150" s="13" t="inlineStr">
        <is>
          <t>Dashboard — Deposits</t>
        </is>
      </c>
      <c r="D150" s="13" t="inlineStr">
        <is>
          <t>CASA: Regular Savings Account; Current Account (conventional and shariah)</t>
        </is>
      </c>
      <c r="E150" s="13" t="inlineStr">
        <is>
          <t>Validate External FSD References for CASA: Regular Savings Account; Current Account (conventional and shariah)</t>
        </is>
      </c>
      <c r="F150" s="13" t="inlineStr">
        <is>
          <t>Validate the requirement mapped to External FSD References: Login: refer to A&amp;A FSD; Set as Primary: refer to AD Common FSD; Add/Edit Nickname: refer to AD Common FSD; Tabung: refer to Tabung FSD; Apply Deposit: refer to Apply STP Non Financing FSD; View Statements: refer to Document FSD; Transfer: refer to Local Transfer FSD; Pay Bills: refer to Money Out FSD; Common Authorisation Failed: refer to Common FSD; Common Masking Rules: refer to Common FSD; Edit Function Rules: refer to Common FSD</t>
        </is>
      </c>
      <c r="G150" s="13" t="inlineStr">
        <is>
          <t>Security</t>
        </is>
      </c>
      <c r="H150" s="13" t="inlineStr">
        <is>
          <t>High</t>
        </is>
      </c>
      <c r="I150" s="13" t="inlineStr">
        <is>
          <t>Acct Dashboard Non-Financing!A45:B45</t>
        </is>
      </c>
      <c r="J150" s="14" t="inlineStr">
        <is>
          <t>Draft</t>
        </is>
      </c>
    </row>
    <row r="151" ht="193.2" customHeight="1" s="2">
      <c r="A151" s="15" t="inlineStr">
        <is>
          <t>TS-B1-150</t>
        </is>
      </c>
      <c r="B151" s="16" t="inlineStr">
        <is>
          <t>Acct Dashboard Non-Financing</t>
        </is>
      </c>
      <c r="C151" s="16" t="inlineStr">
        <is>
          <t>Dashboard — Deposits</t>
        </is>
      </c>
      <c r="D151" s="16" t="inlineStr">
        <is>
          <t>CASA: Regular Savings Account; Current Account (conventional and shariah)</t>
        </is>
      </c>
      <c r="E151" s="16" t="inlineStr">
        <is>
          <t>Final status and recovery for CASA: Regular Savings Account; Current Account (conventional and shariah)</t>
        </is>
      </c>
      <c r="F151" s="16" t="inlineStr">
        <is>
          <t>Validate successful completion, failure handling, and final-state integrity for Dashboard — Deposits.</t>
        </is>
      </c>
      <c r="G151" s="16" t="inlineStr">
        <is>
          <t>Functional / Negative</t>
        </is>
      </c>
      <c r="H151" s="16" t="inlineStr">
        <is>
          <t>High</t>
        </is>
      </c>
      <c r="I151" s="16" t="inlineStr">
        <is>
          <t>Acct Dashboard Non-Financing!B1:B45</t>
        </is>
      </c>
      <c r="J151" s="17" t="inlineStr">
        <is>
          <t>Draft</t>
        </is>
      </c>
    </row>
    <row r="152" ht="165.6" customHeight="1" s="2">
      <c r="A152" s="12" t="inlineStr">
        <is>
          <t>TS-B1-151</t>
        </is>
      </c>
      <c r="B152" s="13" t="inlineStr">
        <is>
          <t>Acct Dashboard Non-Financing</t>
        </is>
      </c>
      <c r="C152" s="13" t="inlineStr">
        <is>
          <t>Dashboard — Deposits</t>
        </is>
      </c>
      <c r="D152" s="13" t="inlineStr">
        <is>
          <t>RDN Konvensional (securities nominee account)</t>
        </is>
      </c>
      <c r="E152" s="13" t="inlineStr">
        <is>
          <t>Access and open RDN Konvensional (securities nominee account)</t>
        </is>
      </c>
      <c r="F152" s="13" t="inlineStr">
        <is>
          <t>Validate the configured entry point, customer eligibility, and initial page for Dashboard — Deposits.</t>
        </is>
      </c>
      <c r="G152" s="13" t="inlineStr">
        <is>
          <t>Functional</t>
        </is>
      </c>
      <c r="H152" s="13" t="inlineStr">
        <is>
          <t>Medium</t>
        </is>
      </c>
      <c r="I152" s="13" t="inlineStr">
        <is>
          <t>Acct Dashboard Non-Financing!C1:C45</t>
        </is>
      </c>
      <c r="J152" s="14" t="inlineStr">
        <is>
          <t>Draft</t>
        </is>
      </c>
    </row>
    <row r="153" ht="151.8" customHeight="1" s="2">
      <c r="A153" s="15" t="inlineStr">
        <is>
          <t>TS-B1-152</t>
        </is>
      </c>
      <c r="B153" s="16" t="inlineStr">
        <is>
          <t>Acct Dashboard Non-Financing</t>
        </is>
      </c>
      <c r="C153" s="16" t="inlineStr">
        <is>
          <t>Dashboard — Deposits</t>
        </is>
      </c>
      <c r="D153" s="16" t="inlineStr">
        <is>
          <t>RDN Konvensional (securities nominee account)</t>
        </is>
      </c>
      <c r="E153" s="16" t="inlineStr">
        <is>
          <t>Authentication and authorisation for RDN Konvensional (securities nominee account)</t>
        </is>
      </c>
      <c r="F153" s="16" t="inlineStr">
        <is>
          <t>Validate all authentication requirements stated for Dashboard — Deposits.</t>
        </is>
      </c>
      <c r="G153" s="16" t="inlineStr">
        <is>
          <t>Security</t>
        </is>
      </c>
      <c r="H153" s="16" t="inlineStr">
        <is>
          <t>High</t>
        </is>
      </c>
      <c r="I153" s="16" t="inlineStr">
        <is>
          <t>Acct Dashboard Non-Financing!C1:C45</t>
        </is>
      </c>
      <c r="J153" s="17" t="inlineStr">
        <is>
          <t>Draft</t>
        </is>
      </c>
    </row>
    <row r="154" ht="193.2" customHeight="1" s="2">
      <c r="A154" s="12" t="inlineStr">
        <is>
          <t>TS-B1-153</t>
        </is>
      </c>
      <c r="B154" s="13" t="inlineStr">
        <is>
          <t>Acct Dashboard Non-Financing</t>
        </is>
      </c>
      <c r="C154" s="13" t="inlineStr">
        <is>
          <t>Dashboard — Deposits</t>
        </is>
      </c>
      <c r="D154" s="13" t="inlineStr">
        <is>
          <t>RDN Konvensional (securities nominee account)</t>
        </is>
      </c>
      <c r="E154" s="13" t="inlineStr">
        <is>
          <t>Validate Step 1 — 1.1 Account Dashboard Landing for RDN Konvensional (securities nominee account)</t>
        </is>
      </c>
      <c r="F154" s="13" t="inlineStr">
        <is>
          <t>Validate the requirement mapped to Step 1 — 1.1 Account Dashboard Landing: Step 1</t>
        </is>
      </c>
      <c r="G154" s="13" t="inlineStr">
        <is>
          <t>UI / Functional</t>
        </is>
      </c>
      <c r="H154" s="13" t="inlineStr">
        <is>
          <t>Medium</t>
        </is>
      </c>
      <c r="I154" s="13" t="inlineStr">
        <is>
          <t>Acct Dashboard Non-Financing!A10:C10</t>
        </is>
      </c>
      <c r="J154" s="14" t="inlineStr">
        <is>
          <t>Draft</t>
        </is>
      </c>
    </row>
    <row r="155" ht="262.2" customHeight="1" s="2">
      <c r="A155" s="15" t="inlineStr">
        <is>
          <t>TS-B1-154</t>
        </is>
      </c>
      <c r="B155" s="16" t="inlineStr">
        <is>
          <t>Acct Dashboard Non-Financing</t>
        </is>
      </c>
      <c r="C155" s="16" t="inlineStr">
        <is>
          <t>Dashboard — Deposits</t>
        </is>
      </c>
      <c r="D155" s="16" t="inlineStr">
        <is>
          <t>RDN Konvensional (securities nominee account)</t>
        </is>
      </c>
      <c r="E155" s="16" t="inlineStr">
        <is>
          <t>Validate Step 2 — 1.2 Account Listing (Savings &amp; Current) for RDN Konvensional (securities nominee account)</t>
        </is>
      </c>
      <c r="F155" s="16" t="inlineStr">
        <is>
          <t>Validate the requirement mapped to Step 2 — 1.2 Account Listing (Savings &amp; Current): Step 2 — RDNK card visible in Savings &amp; Current listing</t>
        </is>
      </c>
      <c r="G155" s="16" t="inlineStr">
        <is>
          <t>Functional</t>
        </is>
      </c>
      <c r="H155" s="16" t="inlineStr">
        <is>
          <t>Medium</t>
        </is>
      </c>
      <c r="I155" s="16" t="inlineStr">
        <is>
          <t>Acct Dashboard Non-Financing!A11:C11</t>
        </is>
      </c>
      <c r="J155" s="17" t="inlineStr">
        <is>
          <t>Draft</t>
        </is>
      </c>
    </row>
    <row r="156" ht="409.6" customHeight="1" s="2">
      <c r="A156" s="12" t="inlineStr">
        <is>
          <t>TS-B1-155</t>
        </is>
      </c>
      <c r="B156" s="13" t="inlineStr">
        <is>
          <t>Acct Dashboard Non-Financing</t>
        </is>
      </c>
      <c r="C156" s="13" t="inlineStr">
        <is>
          <t>Dashboard — Deposits</t>
        </is>
      </c>
      <c r="D156" s="13" t="inlineStr">
        <is>
          <t>RDN Konvensional (securities nominee account)</t>
        </is>
      </c>
      <c r="E156" s="13" t="inlineStr">
        <is>
          <t>Validate Step 11 — 1.2.2 RDN Konvensional Account Details for RDN Konvensional (securities nominee account)</t>
        </is>
      </c>
      <c r="F156" s="13" t="inlineStr">
        <is>
          <t>Validate the requirement mapped to Step 11 — 1.2.2 RDN Konvensional Account Details: Step 11 — Transactions / Summary / Manage tabs; Top Up Quick Action navigates to Local Transfer Own Account with RDN as destination; security company displayed; no primary label; no block account eligibility per product code exclusion</t>
        </is>
      </c>
      <c r="G156" s="13" t="inlineStr">
        <is>
          <t>Security</t>
        </is>
      </c>
      <c r="H156" s="13" t="inlineStr">
        <is>
          <t>High</t>
        </is>
      </c>
      <c r="I156" s="13" t="inlineStr">
        <is>
          <t>Acct Dashboard Non-Financing!A20:C20</t>
        </is>
      </c>
      <c r="J156" s="14" t="inlineStr">
        <is>
          <t>Draft</t>
        </is>
      </c>
    </row>
    <row r="157" ht="303.6" customHeight="1" s="2">
      <c r="A157" s="15" t="inlineStr">
        <is>
          <t>TS-B1-156</t>
        </is>
      </c>
      <c r="B157" s="16" t="inlineStr">
        <is>
          <t>Acct Dashboard Non-Financing</t>
        </is>
      </c>
      <c r="C157" s="16" t="inlineStr">
        <is>
          <t>Dashboard — Deposits</t>
        </is>
      </c>
      <c r="D157" s="16" t="inlineStr">
        <is>
          <t>RDN Konvensional (securities nominee account)</t>
        </is>
      </c>
      <c r="E157" s="16" t="inlineStr">
        <is>
          <t>Validate ViewAllTrans — Transaction History Display Rule for RDN Konvensional (securities nominee account)</t>
        </is>
      </c>
      <c r="F157" s="16" t="inlineStr">
        <is>
          <t>Validate the requirement mapped to ViewAllTrans — Transaction History Display Rule: Transactions tab: latest 10; YTD + last 2 years; ViewAllTrans via sticky hyperlink</t>
        </is>
      </c>
      <c r="G157" s="16" t="inlineStr">
        <is>
          <t>UI / Functional</t>
        </is>
      </c>
      <c r="H157" s="16" t="inlineStr">
        <is>
          <t>Medium</t>
        </is>
      </c>
      <c r="I157" s="16" t="inlineStr">
        <is>
          <t>Acct Dashboard Non-Financing!A40:C40</t>
        </is>
      </c>
      <c r="J157" s="17" t="inlineStr">
        <is>
          <t>Draft</t>
        </is>
      </c>
    </row>
    <row r="158" ht="248.4" customHeight="1" s="2">
      <c r="A158" s="12" t="inlineStr">
        <is>
          <t>TS-B1-157</t>
        </is>
      </c>
      <c r="B158" s="13" t="inlineStr">
        <is>
          <t>Acct Dashboard Non-Financing</t>
        </is>
      </c>
      <c r="C158" s="13" t="inlineStr">
        <is>
          <t>Dashboard — Deposits</t>
        </is>
      </c>
      <c r="D158" s="13" t="inlineStr">
        <is>
          <t>RDN Konvensional (securities nominee account)</t>
        </is>
      </c>
      <c r="E158" s="13" t="inlineStr">
        <is>
          <t>Validate Sorting / Display Order for RDN Konvensional (securities nominee account)</t>
        </is>
      </c>
      <c r="F158" s="13" t="inlineStr">
        <is>
          <t>Validate the requirement mapped to Sorting / Display Order: Sorted within Savings &amp; Current by product name then account number</t>
        </is>
      </c>
      <c r="G158" s="13" t="inlineStr">
        <is>
          <t>UI / Functional</t>
        </is>
      </c>
      <c r="H158" s="13" t="inlineStr">
        <is>
          <t>Medium</t>
        </is>
      </c>
      <c r="I158" s="13" t="inlineStr">
        <is>
          <t>Acct Dashboard Non-Financing!A41:C41</t>
        </is>
      </c>
      <c r="J158" s="14" t="inlineStr">
        <is>
          <t>Draft</t>
        </is>
      </c>
    </row>
    <row r="159" ht="193.2" customHeight="1" s="2">
      <c r="A159" s="15" t="inlineStr">
        <is>
          <t>TS-B1-158</t>
        </is>
      </c>
      <c r="B159" s="16" t="inlineStr">
        <is>
          <t>Acct Dashboard Non-Financing</t>
        </is>
      </c>
      <c r="C159" s="16" t="inlineStr">
        <is>
          <t>Dashboard — Deposits</t>
        </is>
      </c>
      <c r="D159" s="16" t="inlineStr">
        <is>
          <t>RDN Konvensional (securities nominee account)</t>
        </is>
      </c>
      <c r="E159" s="16" t="inlineStr">
        <is>
          <t>Validate Joint-AND Account Restrictions for RDN Konvensional (securities nominee account)</t>
        </is>
      </c>
      <c r="F159" s="16" t="inlineStr">
        <is>
          <t>Validate the requirement mapped to Joint-AND Account Restrictions: Not applicable (no joint-AND for RDNK)</t>
        </is>
      </c>
      <c r="G159" s="16" t="inlineStr">
        <is>
          <t>Functional</t>
        </is>
      </c>
      <c r="H159" s="16" t="inlineStr">
        <is>
          <t>Medium</t>
        </is>
      </c>
      <c r="I159" s="16" t="inlineStr">
        <is>
          <t>Acct Dashboard Non-Financing!A42:C42</t>
        </is>
      </c>
      <c r="J159" s="17" t="inlineStr">
        <is>
          <t>Draft</t>
        </is>
      </c>
    </row>
    <row r="160" ht="179.4" customHeight="1" s="2">
      <c r="A160" s="12" t="inlineStr">
        <is>
          <t>TS-B1-159</t>
        </is>
      </c>
      <c r="B160" s="13" t="inlineStr">
        <is>
          <t>Acct Dashboard Non-Financing</t>
        </is>
      </c>
      <c r="C160" s="13" t="inlineStr">
        <is>
          <t>Dashboard — Deposits</t>
        </is>
      </c>
      <c r="D160" s="13" t="inlineStr">
        <is>
          <t>RDN Konvensional (securities nominee account)</t>
        </is>
      </c>
      <c r="E160" s="13" t="inlineStr">
        <is>
          <t>Validate Business Profile / IBO Disclaimer for RDN Konvensional (securities nominee account)</t>
        </is>
      </c>
      <c r="F160" s="13" t="inlineStr">
        <is>
          <t>Validate the requirement mapped to Business Profile / IBO Disclaimer: Not applicable</t>
        </is>
      </c>
      <c r="G160" s="13" t="inlineStr">
        <is>
          <t>Functional</t>
        </is>
      </c>
      <c r="H160" s="13" t="inlineStr">
        <is>
          <t>Medium</t>
        </is>
      </c>
      <c r="I160" s="13" t="inlineStr">
        <is>
          <t>Acct Dashboard Non-Financing!A43:C43</t>
        </is>
      </c>
      <c r="J160" s="14" t="inlineStr">
        <is>
          <t>Draft</t>
        </is>
      </c>
    </row>
    <row r="161" ht="289.8" customHeight="1" s="2">
      <c r="A161" s="15" t="inlineStr">
        <is>
          <t>TS-B1-160</t>
        </is>
      </c>
      <c r="B161" s="16" t="inlineStr">
        <is>
          <t>Acct Dashboard Non-Financing</t>
        </is>
      </c>
      <c r="C161" s="16" t="inlineStr">
        <is>
          <t>Dashboard — Deposits</t>
        </is>
      </c>
      <c r="D161" s="16" t="inlineStr">
        <is>
          <t>RDN Konvensional (securities nominee account)</t>
        </is>
      </c>
      <c r="E161" s="16" t="inlineStr">
        <is>
          <t>Validate External FSD References for RDN Konvensional (securities nominee account)</t>
        </is>
      </c>
      <c r="F161" s="16" t="inlineStr">
        <is>
          <t>Validate the requirement mapped to External FSD References: Add/Edit Nickname: refer to AD Common FSD; Top Up navigates to Local Transfer FSD</t>
        </is>
      </c>
      <c r="G161" s="16" t="inlineStr">
        <is>
          <t>Functional</t>
        </is>
      </c>
      <c r="H161" s="16" t="inlineStr">
        <is>
          <t>High</t>
        </is>
      </c>
      <c r="I161" s="16" t="inlineStr">
        <is>
          <t>Acct Dashboard Non-Financing!A45:C45</t>
        </is>
      </c>
      <c r="J161" s="17" t="inlineStr">
        <is>
          <t>Draft</t>
        </is>
      </c>
    </row>
    <row r="162" ht="193.2" customHeight="1" s="2">
      <c r="A162" s="12" t="inlineStr">
        <is>
          <t>TS-B1-161</t>
        </is>
      </c>
      <c r="B162" s="13" t="inlineStr">
        <is>
          <t>Acct Dashboard Non-Financing</t>
        </is>
      </c>
      <c r="C162" s="13" t="inlineStr">
        <is>
          <t>Dashboard — Deposits</t>
        </is>
      </c>
      <c r="D162" s="13" t="inlineStr">
        <is>
          <t>RDN Konvensional (securities nominee account)</t>
        </is>
      </c>
      <c r="E162" s="13" t="inlineStr">
        <is>
          <t>Final status and recovery for RDN Konvensional (securities nominee account)</t>
        </is>
      </c>
      <c r="F162" s="13" t="inlineStr">
        <is>
          <t>Validate successful completion, failure handling, and final-state integrity for Dashboard — Deposits.</t>
        </is>
      </c>
      <c r="G162" s="13" t="inlineStr">
        <is>
          <t>Functional / Negative</t>
        </is>
      </c>
      <c r="H162" s="13" t="inlineStr">
        <is>
          <t>High</t>
        </is>
      </c>
      <c r="I162" s="13" t="inlineStr">
        <is>
          <t>Acct Dashboard Non-Financing!C1:C45</t>
        </is>
      </c>
      <c r="J162" s="14" t="inlineStr">
        <is>
          <t>Draft</t>
        </is>
      </c>
    </row>
    <row r="163" ht="165.6" customHeight="1" s="2">
      <c r="A163" s="15" t="inlineStr">
        <is>
          <t>TS-B1-162</t>
        </is>
      </c>
      <c r="B163" s="16" t="inlineStr">
        <is>
          <t>Acct Dashboard Non-Financing</t>
        </is>
      </c>
      <c r="C163" s="16" t="inlineStr">
        <is>
          <t>Dashboard — Deposits</t>
        </is>
      </c>
      <c r="D163" s="16" t="inlineStr">
        <is>
          <t>UGoalSaver (term savings with scheduled debit)</t>
        </is>
      </c>
      <c r="E163" s="16" t="inlineStr">
        <is>
          <t>Access and open UGoalSaver (term savings with scheduled debit)</t>
        </is>
      </c>
      <c r="F163" s="16" t="inlineStr">
        <is>
          <t>Validate the configured entry point, customer eligibility, and initial page for Dashboard — Deposits.</t>
        </is>
      </c>
      <c r="G163" s="16" t="inlineStr">
        <is>
          <t>Functional</t>
        </is>
      </c>
      <c r="H163" s="16" t="inlineStr">
        <is>
          <t>Medium</t>
        </is>
      </c>
      <c r="I163" s="16" t="inlineStr">
        <is>
          <t>Acct Dashboard Non-Financing!D1:D45</t>
        </is>
      </c>
      <c r="J163" s="17" t="inlineStr">
        <is>
          <t>Draft</t>
        </is>
      </c>
    </row>
    <row r="164" ht="138" customHeight="1" s="2">
      <c r="A164" s="12" t="inlineStr">
        <is>
          <t>TS-B1-163</t>
        </is>
      </c>
      <c r="B164" s="13" t="inlineStr">
        <is>
          <t>Acct Dashboard Non-Financing</t>
        </is>
      </c>
      <c r="C164" s="13" t="inlineStr">
        <is>
          <t>Dashboard — Deposits</t>
        </is>
      </c>
      <c r="D164" s="13" t="inlineStr">
        <is>
          <t>UGoalSaver (term savings with scheduled debit)</t>
        </is>
      </c>
      <c r="E164" s="13" t="inlineStr">
        <is>
          <t>Authentication and authorisation for UGoalSaver (term savings with scheduled debit)</t>
        </is>
      </c>
      <c r="F164" s="13" t="inlineStr">
        <is>
          <t>Validate all authentication requirements stated for Dashboard — Deposits.</t>
        </is>
      </c>
      <c r="G164" s="13" t="inlineStr">
        <is>
          <t>Security</t>
        </is>
      </c>
      <c r="H164" s="13" t="inlineStr">
        <is>
          <t>High</t>
        </is>
      </c>
      <c r="I164" s="13" t="inlineStr">
        <is>
          <t>Acct Dashboard Non-Financing!D1:D45</t>
        </is>
      </c>
      <c r="J164" s="14" t="inlineStr">
        <is>
          <t>Draft</t>
        </is>
      </c>
    </row>
    <row r="165" ht="193.2" customHeight="1" s="2">
      <c r="A165" s="15" t="inlineStr">
        <is>
          <t>TS-B1-164</t>
        </is>
      </c>
      <c r="B165" s="16" t="inlineStr">
        <is>
          <t>Acct Dashboard Non-Financing</t>
        </is>
      </c>
      <c r="C165" s="16" t="inlineStr">
        <is>
          <t>Dashboard — Deposits</t>
        </is>
      </c>
      <c r="D165" s="16" t="inlineStr">
        <is>
          <t>UGoalSaver (term savings with scheduled debit)</t>
        </is>
      </c>
      <c r="E165" s="16" t="inlineStr">
        <is>
          <t>Validate Step 1 — 1.1 Account Dashboard Landing for UGoalSaver (term savings with scheduled debit)</t>
        </is>
      </c>
      <c r="F165" s="16" t="inlineStr">
        <is>
          <t>Validate the requirement mapped to Step 1 — 1.1 Account Dashboard Landing: Step 1</t>
        </is>
      </c>
      <c r="G165" s="16" t="inlineStr">
        <is>
          <t>UI / Functional</t>
        </is>
      </c>
      <c r="H165" s="16" t="inlineStr">
        <is>
          <t>Medium</t>
        </is>
      </c>
      <c r="I165" s="16" t="inlineStr">
        <is>
          <t>Acct Dashboard Non-Financing!A10:D10</t>
        </is>
      </c>
      <c r="J165" s="17" t="inlineStr">
        <is>
          <t>Draft</t>
        </is>
      </c>
    </row>
    <row r="166" ht="262.2" customHeight="1" s="2">
      <c r="A166" s="12" t="inlineStr">
        <is>
          <t>TS-B1-165</t>
        </is>
      </c>
      <c r="B166" s="13" t="inlineStr">
        <is>
          <t>Acct Dashboard Non-Financing</t>
        </is>
      </c>
      <c r="C166" s="13" t="inlineStr">
        <is>
          <t>Dashboard — Deposits</t>
        </is>
      </c>
      <c r="D166" s="13" t="inlineStr">
        <is>
          <t>UGoalSaver (term savings with scheduled debit)</t>
        </is>
      </c>
      <c r="E166" s="13" t="inlineStr">
        <is>
          <t>Validate Step 2 — 1.2 Account Listing (Savings &amp; Current) for UGoalSaver (term savings with scheduled debit)</t>
        </is>
      </c>
      <c r="F166" s="13" t="inlineStr">
        <is>
          <t>Validate the requirement mapped to Step 2 — 1.2 Account Listing (Savings &amp; Current): Step 2 — UGoalSaver card visible in Savings &amp; Current listing</t>
        </is>
      </c>
      <c r="G166" s="13" t="inlineStr">
        <is>
          <t>Functional</t>
        </is>
      </c>
      <c r="H166" s="13" t="inlineStr">
        <is>
          <t>Medium</t>
        </is>
      </c>
      <c r="I166" s="13" t="inlineStr">
        <is>
          <t>Acct Dashboard Non-Financing!A11:D11</t>
        </is>
      </c>
      <c r="J166" s="14" t="inlineStr">
        <is>
          <t>Draft</t>
        </is>
      </c>
    </row>
    <row r="167" ht="409.6" customHeight="1" s="2">
      <c r="A167" s="15" t="inlineStr">
        <is>
          <t>TS-B1-166</t>
        </is>
      </c>
      <c r="B167" s="16" t="inlineStr">
        <is>
          <t>Acct Dashboard Non-Financing</t>
        </is>
      </c>
      <c r="C167" s="16" t="inlineStr">
        <is>
          <t>Dashboard — Deposits</t>
        </is>
      </c>
      <c r="D167" s="16" t="inlineStr">
        <is>
          <t>UGoalSaver (term savings with scheduled debit)</t>
        </is>
      </c>
      <c r="E167" s="16" t="inlineStr">
        <is>
          <t>Validate Step 12 — 1.2.3 UGoalSaver Account Details for UGoalSaver (term savings with scheduled debit)</t>
        </is>
      </c>
      <c r="F167" s="16" t="inlineStr">
        <is>
          <t>Validate the requirement mapped to Step 12 — 1.2.3 UGoalSaver Account Details: Step 12 — Transactions / Summary / Manage tabs; Summary: term details (tenure, maturity date), scheduled debits (initial deposit, monthly debit, next debit date), returns (interest/indicative rate, accrued interest/profit), linked parent account</t>
        </is>
      </c>
      <c r="G167" s="16" t="inlineStr">
        <is>
          <t>UI / Functional</t>
        </is>
      </c>
      <c r="H167" s="16" t="inlineStr">
        <is>
          <t>Medium</t>
        </is>
      </c>
      <c r="I167" s="16" t="inlineStr">
        <is>
          <t>Acct Dashboard Non-Financing!A21:D21</t>
        </is>
      </c>
      <c r="J167" s="17" t="inlineStr">
        <is>
          <t>Draft</t>
        </is>
      </c>
    </row>
    <row r="168" ht="303.6" customHeight="1" s="2">
      <c r="A168" s="12" t="inlineStr">
        <is>
          <t>TS-B1-167</t>
        </is>
      </c>
      <c r="B168" s="13" t="inlineStr">
        <is>
          <t>Acct Dashboard Non-Financing</t>
        </is>
      </c>
      <c r="C168" s="13" t="inlineStr">
        <is>
          <t>Dashboard — Deposits</t>
        </is>
      </c>
      <c r="D168" s="13" t="inlineStr">
        <is>
          <t>UGoalSaver (term savings with scheduled debit)</t>
        </is>
      </c>
      <c r="E168" s="13" t="inlineStr">
        <is>
          <t>Validate ViewAllTrans — Transaction History Display Rule for UGoalSaver (term savings with scheduled debit)</t>
        </is>
      </c>
      <c r="F168" s="13" t="inlineStr">
        <is>
          <t>Validate the requirement mapped to ViewAllTrans — Transaction History Display Rule: Transactions tab: latest 10; YTD + last 2 years; ViewAllTrans via sticky hyperlink</t>
        </is>
      </c>
      <c r="G168" s="13" t="inlineStr">
        <is>
          <t>UI / Functional</t>
        </is>
      </c>
      <c r="H168" s="13" t="inlineStr">
        <is>
          <t>Medium</t>
        </is>
      </c>
      <c r="I168" s="13" t="inlineStr">
        <is>
          <t>Acct Dashboard Non-Financing!A40:D40</t>
        </is>
      </c>
      <c r="J168" s="14" t="inlineStr">
        <is>
          <t>Draft</t>
        </is>
      </c>
    </row>
    <row r="169" ht="248.4" customHeight="1" s="2">
      <c r="A169" s="15" t="inlineStr">
        <is>
          <t>TS-B1-168</t>
        </is>
      </c>
      <c r="B169" s="16" t="inlineStr">
        <is>
          <t>Acct Dashboard Non-Financing</t>
        </is>
      </c>
      <c r="C169" s="16" t="inlineStr">
        <is>
          <t>Dashboard — Deposits</t>
        </is>
      </c>
      <c r="D169" s="16" t="inlineStr">
        <is>
          <t>UGoalSaver (term savings with scheduled debit)</t>
        </is>
      </c>
      <c r="E169" s="16" t="inlineStr">
        <is>
          <t>Validate Sorting / Display Order for UGoalSaver (term savings with scheduled debit)</t>
        </is>
      </c>
      <c r="F169" s="16" t="inlineStr">
        <is>
          <t>Validate the requirement mapped to Sorting / Display Order: Sorted within Savings &amp; Current by product name then account number</t>
        </is>
      </c>
      <c r="G169" s="16" t="inlineStr">
        <is>
          <t>UI / Functional</t>
        </is>
      </c>
      <c r="H169" s="16" t="inlineStr">
        <is>
          <t>Medium</t>
        </is>
      </c>
      <c r="I169" s="16" t="inlineStr">
        <is>
          <t>Acct Dashboard Non-Financing!A41:D41</t>
        </is>
      </c>
      <c r="J169" s="17" t="inlineStr">
        <is>
          <t>Draft</t>
        </is>
      </c>
    </row>
    <row r="170" ht="220.8" customHeight="1" s="2">
      <c r="A170" s="12" t="inlineStr">
        <is>
          <t>TS-B1-169</t>
        </is>
      </c>
      <c r="B170" s="13" t="inlineStr">
        <is>
          <t>Acct Dashboard Non-Financing</t>
        </is>
      </c>
      <c r="C170" s="13" t="inlineStr">
        <is>
          <t>Dashboard — Deposits</t>
        </is>
      </c>
      <c r="D170" s="13" t="inlineStr">
        <is>
          <t>UGoalSaver (term savings with scheduled debit)</t>
        </is>
      </c>
      <c r="E170" s="13" t="inlineStr">
        <is>
          <t>Validate Joint-AND Account Restrictions for UGoalSaver (term savings with scheduled debit)</t>
        </is>
      </c>
      <c r="F170" s="13" t="inlineStr">
        <is>
          <t>Validate the requirement mapped to Joint-AND Account Restrictions: Not applicable (UGoalSaver cannot be joint)</t>
        </is>
      </c>
      <c r="G170" s="13" t="inlineStr">
        <is>
          <t>Functional</t>
        </is>
      </c>
      <c r="H170" s="13" t="inlineStr">
        <is>
          <t>Medium</t>
        </is>
      </c>
      <c r="I170" s="13" t="inlineStr">
        <is>
          <t>Acct Dashboard Non-Financing!A42:D42</t>
        </is>
      </c>
      <c r="J170" s="14" t="inlineStr">
        <is>
          <t>Draft</t>
        </is>
      </c>
    </row>
    <row r="171" ht="179.4" customHeight="1" s="2">
      <c r="A171" s="15" t="inlineStr">
        <is>
          <t>TS-B1-170</t>
        </is>
      </c>
      <c r="B171" s="16" t="inlineStr">
        <is>
          <t>Acct Dashboard Non-Financing</t>
        </is>
      </c>
      <c r="C171" s="16" t="inlineStr">
        <is>
          <t>Dashboard — Deposits</t>
        </is>
      </c>
      <c r="D171" s="16" t="inlineStr">
        <is>
          <t>UGoalSaver (term savings with scheduled debit)</t>
        </is>
      </c>
      <c r="E171" s="16" t="inlineStr">
        <is>
          <t>Validate Business Profile / IBO Disclaimer for UGoalSaver (term savings with scheduled debit)</t>
        </is>
      </c>
      <c r="F171" s="16" t="inlineStr">
        <is>
          <t>Validate the requirement mapped to Business Profile / IBO Disclaimer: Not applicable</t>
        </is>
      </c>
      <c r="G171" s="16" t="inlineStr">
        <is>
          <t>Functional</t>
        </is>
      </c>
      <c r="H171" s="16" t="inlineStr">
        <is>
          <t>Medium</t>
        </is>
      </c>
      <c r="I171" s="16" t="inlineStr">
        <is>
          <t>Acct Dashboard Non-Financing!A43:D43</t>
        </is>
      </c>
      <c r="J171" s="17" t="inlineStr">
        <is>
          <t>Draft</t>
        </is>
      </c>
    </row>
    <row r="172" ht="220.8" customHeight="1" s="2">
      <c r="A172" s="12" t="inlineStr">
        <is>
          <t>TS-B1-171</t>
        </is>
      </c>
      <c r="B172" s="13" t="inlineStr">
        <is>
          <t>Acct Dashboard Non-Financing</t>
        </is>
      </c>
      <c r="C172" s="13" t="inlineStr">
        <is>
          <t>Dashboard — Deposits</t>
        </is>
      </c>
      <c r="D172" s="13" t="inlineStr">
        <is>
          <t>UGoalSaver (term savings with scheduled debit)</t>
        </is>
      </c>
      <c r="E172" s="13" t="inlineStr">
        <is>
          <t>Validate External FSD References for UGoalSaver (term savings with scheduled debit)</t>
        </is>
      </c>
      <c r="F172" s="13" t="inlineStr">
        <is>
          <t>Validate the requirement mapped to External FSD References: Add/Edit Nickname: refer to AD Common FSD</t>
        </is>
      </c>
      <c r="G172" s="13" t="inlineStr">
        <is>
          <t>Functional</t>
        </is>
      </c>
      <c r="H172" s="13" t="inlineStr">
        <is>
          <t>Medium</t>
        </is>
      </c>
      <c r="I172" s="13" t="inlineStr">
        <is>
          <t>Acct Dashboard Non-Financing!A45:D45</t>
        </is>
      </c>
      <c r="J172" s="14" t="inlineStr">
        <is>
          <t>Draft</t>
        </is>
      </c>
    </row>
    <row r="173" ht="193.2" customHeight="1" s="2">
      <c r="A173" s="15" t="inlineStr">
        <is>
          <t>TS-B1-172</t>
        </is>
      </c>
      <c r="B173" s="16" t="inlineStr">
        <is>
          <t>Acct Dashboard Non-Financing</t>
        </is>
      </c>
      <c r="C173" s="16" t="inlineStr">
        <is>
          <t>Dashboard — Deposits</t>
        </is>
      </c>
      <c r="D173" s="16" t="inlineStr">
        <is>
          <t>UGoalSaver (term savings with scheduled debit)</t>
        </is>
      </c>
      <c r="E173" s="16" t="inlineStr">
        <is>
          <t>Final status and recovery for UGoalSaver (term savings with scheduled debit)</t>
        </is>
      </c>
      <c r="F173" s="16" t="inlineStr">
        <is>
          <t>Validate successful completion, failure handling, and final-state integrity for Dashboard — Deposits.</t>
        </is>
      </c>
      <c r="G173" s="16" t="inlineStr">
        <is>
          <t>Functional / Negative</t>
        </is>
      </c>
      <c r="H173" s="16" t="inlineStr">
        <is>
          <t>High</t>
        </is>
      </c>
      <c r="I173" s="16" t="inlineStr">
        <is>
          <t>Acct Dashboard Non-Financing!D1:D45</t>
        </is>
      </c>
      <c r="J173" s="17" t="inlineStr">
        <is>
          <t>Draft</t>
        </is>
      </c>
    </row>
    <row r="174" ht="165.6" customHeight="1" s="2">
      <c r="A174" s="12" t="inlineStr">
        <is>
          <t>TS-B1-173</t>
        </is>
      </c>
      <c r="B174" s="13" t="inlineStr">
        <is>
          <t>Acct Dashboard Non-Financing</t>
        </is>
      </c>
      <c r="C174" s="13" t="inlineStr">
        <is>
          <t>Dashboard — Deposits</t>
        </is>
      </c>
      <c r="D174" s="13" t="inlineStr">
        <is>
          <t>MyPlan Plus / MaybankGift (term savings with auto-debit and gift campaign)</t>
        </is>
      </c>
      <c r="E174" s="13" t="inlineStr">
        <is>
          <t>Access and open MyPlan Plus / MaybankGift (term savings with auto-debit and gift campaign)</t>
        </is>
      </c>
      <c r="F174" s="13" t="inlineStr">
        <is>
          <t>Validate the configured entry point, customer eligibility, and initial page for Dashboard — Deposits.</t>
        </is>
      </c>
      <c r="G174" s="13" t="inlineStr">
        <is>
          <t>Functional</t>
        </is>
      </c>
      <c r="H174" s="13" t="inlineStr">
        <is>
          <t>Medium</t>
        </is>
      </c>
      <c r="I174" s="13" t="inlineStr">
        <is>
          <t>Acct Dashboard Non-Financing!E1:E45</t>
        </is>
      </c>
      <c r="J174" s="14" t="inlineStr">
        <is>
          <t>Draft</t>
        </is>
      </c>
    </row>
    <row r="175" ht="193.2" customHeight="1" s="2">
      <c r="A175" s="15" t="inlineStr">
        <is>
          <t>TS-B1-174</t>
        </is>
      </c>
      <c r="B175" s="16" t="inlineStr">
        <is>
          <t>Acct Dashboard Non-Financing</t>
        </is>
      </c>
      <c r="C175" s="16" t="inlineStr">
        <is>
          <t>Dashboard — Deposits</t>
        </is>
      </c>
      <c r="D175" s="16" t="inlineStr">
        <is>
          <t>MyPlan Plus / MaybankGift (term savings with auto-debit and gift campaign)</t>
        </is>
      </c>
      <c r="E175" s="16" t="inlineStr">
        <is>
          <t>Authentication and authorisation for MyPlan Plus / MaybankGift (term savings with auto-debit and gift campaign)</t>
        </is>
      </c>
      <c r="F175" s="16" t="inlineStr">
        <is>
          <t>Validate all authentication requirements stated for Dashboard — Deposits.</t>
        </is>
      </c>
      <c r="G175" s="16" t="inlineStr">
        <is>
          <t>Security</t>
        </is>
      </c>
      <c r="H175" s="16" t="inlineStr">
        <is>
          <t>High</t>
        </is>
      </c>
      <c r="I175" s="16" t="inlineStr">
        <is>
          <t>Acct Dashboard Non-Financing!E1:E45</t>
        </is>
      </c>
      <c r="J175" s="17" t="inlineStr">
        <is>
          <t>Draft</t>
        </is>
      </c>
    </row>
    <row r="176" ht="248.4" customHeight="1" s="2">
      <c r="A176" s="12" t="inlineStr">
        <is>
          <t>TS-B1-175</t>
        </is>
      </c>
      <c r="B176" s="13" t="inlineStr">
        <is>
          <t>Acct Dashboard Non-Financing</t>
        </is>
      </c>
      <c r="C176" s="13" t="inlineStr">
        <is>
          <t>Dashboard — Deposits</t>
        </is>
      </c>
      <c r="D176" s="13" t="inlineStr">
        <is>
          <t>MyPlan Plus / MaybankGift (term savings with auto-debit and gift campaign)</t>
        </is>
      </c>
      <c r="E176" s="13" t="inlineStr">
        <is>
          <t>Validate Step 1 — 1.1 Account Dashboard Landing for MyPlan Plus / MaybankGift (term savings with auto-debit and gift campaign)</t>
        </is>
      </c>
      <c r="F176" s="13" t="inlineStr">
        <is>
          <t>Validate the requirement mapped to Step 1 — 1.1 Account Dashboard Landing: Step 1</t>
        </is>
      </c>
      <c r="G176" s="13" t="inlineStr">
        <is>
          <t>UI / Functional</t>
        </is>
      </c>
      <c r="H176" s="13" t="inlineStr">
        <is>
          <t>Medium</t>
        </is>
      </c>
      <c r="I176" s="13" t="inlineStr">
        <is>
          <t>Acct Dashboard Non-Financing!A10:E10</t>
        </is>
      </c>
      <c r="J176" s="14" t="inlineStr">
        <is>
          <t>Draft</t>
        </is>
      </c>
    </row>
    <row r="177" ht="262.2" customHeight="1" s="2">
      <c r="A177" s="15" t="inlineStr">
        <is>
          <t>TS-B1-176</t>
        </is>
      </c>
      <c r="B177" s="16" t="inlineStr">
        <is>
          <t>Acct Dashboard Non-Financing</t>
        </is>
      </c>
      <c r="C177" s="16" t="inlineStr">
        <is>
          <t>Dashboard — Deposits</t>
        </is>
      </c>
      <c r="D177" s="16" t="inlineStr">
        <is>
          <t>MyPlan Plus / MaybankGift (term savings with auto-debit and gift campaign)</t>
        </is>
      </c>
      <c r="E177" s="16" t="inlineStr">
        <is>
          <t>Validate Step 2 — 1.2 Account Listing (Savings &amp; Current) for MyPlan Plus / MaybankGift (term savings with auto-debit and gift campaign)</t>
        </is>
      </c>
      <c r="F177" s="16" t="inlineStr">
        <is>
          <t>Validate the requirement mapped to Step 2 — 1.2 Account Listing (Savings &amp; Current): Step 2 — MyPlan Plus card visible in Savings &amp; Current listing</t>
        </is>
      </c>
      <c r="G177" s="16" t="inlineStr">
        <is>
          <t>Functional</t>
        </is>
      </c>
      <c r="H177" s="16" t="inlineStr">
        <is>
          <t>Medium</t>
        </is>
      </c>
      <c r="I177" s="16" t="inlineStr">
        <is>
          <t>Acct Dashboard Non-Financing!A11:E11</t>
        </is>
      </c>
      <c r="J177" s="17" t="inlineStr">
        <is>
          <t>Draft</t>
        </is>
      </c>
    </row>
    <row r="178" ht="409.6" customHeight="1" s="2">
      <c r="A178" s="12" t="inlineStr">
        <is>
          <t>TS-B1-177</t>
        </is>
      </c>
      <c r="B178" s="13" t="inlineStr">
        <is>
          <t>Acct Dashboard Non-Financing</t>
        </is>
      </c>
      <c r="C178" s="13" t="inlineStr">
        <is>
          <t>Dashboard — Deposits</t>
        </is>
      </c>
      <c r="D178" s="13" t="inlineStr">
        <is>
          <t>MyPlan Plus / MaybankGift (term savings with auto-debit and gift campaign)</t>
        </is>
      </c>
      <c r="E178" s="13" t="inlineStr">
        <is>
          <t>Validate Step 13 — 1.2.4 MyPlan Plus (MaybankGift) Account Details for MyPlan Plus / MaybankGift (term savings with auto-debit and gift campaign)</t>
        </is>
      </c>
      <c r="F178" s="13" t="inlineStr">
        <is>
          <t>Validate the requirement mapped to Step 13 — 1.2.4 MyPlan Plus (MaybankGift) Account Details: Step 13 — Transactions / Summary / Manage tabs; Summary: term details, scheduled debits, failed auto-debit attempts (tooltip drawer), returns, MaybankGift banner (in-app webview), penalty/cancellation charge, linked parent account; &gt;3 failed debits closes account — Needs PO/BA clarification (post sign-off item)</t>
        </is>
      </c>
      <c r="G178" s="13" t="inlineStr">
        <is>
          <t>Negative</t>
        </is>
      </c>
      <c r="H178" s="13" t="inlineStr">
        <is>
          <t>High</t>
        </is>
      </c>
      <c r="I178" s="13" t="inlineStr">
        <is>
          <t>Acct Dashboard Non-Financing!A22:E22</t>
        </is>
      </c>
      <c r="J178" s="14" t="inlineStr">
        <is>
          <t>Draft</t>
        </is>
      </c>
    </row>
    <row r="179" ht="303.6" customHeight="1" s="2">
      <c r="A179" s="15" t="inlineStr">
        <is>
          <t>TS-B1-178</t>
        </is>
      </c>
      <c r="B179" s="16" t="inlineStr">
        <is>
          <t>Acct Dashboard Non-Financing</t>
        </is>
      </c>
      <c r="C179" s="16" t="inlineStr">
        <is>
          <t>Dashboard — Deposits</t>
        </is>
      </c>
      <c r="D179" s="16" t="inlineStr">
        <is>
          <t>MyPlan Plus / MaybankGift (term savings with auto-debit and gift campaign)</t>
        </is>
      </c>
      <c r="E179" s="16" t="inlineStr">
        <is>
          <t>Validate ViewAllTrans — Transaction History Display Rule for MyPlan Plus / MaybankGift (term savings with auto-debit and gift campaign)</t>
        </is>
      </c>
      <c r="F179" s="16" t="inlineStr">
        <is>
          <t>Validate the requirement mapped to ViewAllTrans — Transaction History Display Rule: Transactions tab: latest 10; YTD + last 2 years; ViewAllTrans via sticky hyperlink</t>
        </is>
      </c>
      <c r="G179" s="16" t="inlineStr">
        <is>
          <t>UI / Functional</t>
        </is>
      </c>
      <c r="H179" s="16" t="inlineStr">
        <is>
          <t>Medium</t>
        </is>
      </c>
      <c r="I179" s="16" t="inlineStr">
        <is>
          <t>Acct Dashboard Non-Financing!A40:E40</t>
        </is>
      </c>
      <c r="J179" s="17" t="inlineStr">
        <is>
          <t>Draft</t>
        </is>
      </c>
    </row>
    <row r="180" ht="248.4" customHeight="1" s="2">
      <c r="A180" s="12" t="inlineStr">
        <is>
          <t>TS-B1-179</t>
        </is>
      </c>
      <c r="B180" s="13" t="inlineStr">
        <is>
          <t>Acct Dashboard Non-Financing</t>
        </is>
      </c>
      <c r="C180" s="13" t="inlineStr">
        <is>
          <t>Dashboard — Deposits</t>
        </is>
      </c>
      <c r="D180" s="13" t="inlineStr">
        <is>
          <t>MyPlan Plus / MaybankGift (term savings with auto-debit and gift campaign)</t>
        </is>
      </c>
      <c r="E180" s="13" t="inlineStr">
        <is>
          <t>Validate Sorting / Display Order for MyPlan Plus / MaybankGift (term savings with auto-debit and gift campaign)</t>
        </is>
      </c>
      <c r="F180" s="13" t="inlineStr">
        <is>
          <t>Validate the requirement mapped to Sorting / Display Order: Sorted within Savings &amp; Current by product name then account number</t>
        </is>
      </c>
      <c r="G180" s="13" t="inlineStr">
        <is>
          <t>UI / Functional</t>
        </is>
      </c>
      <c r="H180" s="13" t="inlineStr">
        <is>
          <t>Medium</t>
        </is>
      </c>
      <c r="I180" s="13" t="inlineStr">
        <is>
          <t>Acct Dashboard Non-Financing!A41:E41</t>
        </is>
      </c>
      <c r="J180" s="14" t="inlineStr">
        <is>
          <t>Draft</t>
        </is>
      </c>
    </row>
    <row r="181" ht="220.8" customHeight="1" s="2">
      <c r="A181" s="15" t="inlineStr">
        <is>
          <t>TS-B1-180</t>
        </is>
      </c>
      <c r="B181" s="16" t="inlineStr">
        <is>
          <t>Acct Dashboard Non-Financing</t>
        </is>
      </c>
      <c r="C181" s="16" t="inlineStr">
        <is>
          <t>Dashboard — Deposits</t>
        </is>
      </c>
      <c r="D181" s="16" t="inlineStr">
        <is>
          <t>MyPlan Plus / MaybankGift (term savings with auto-debit and gift campaign)</t>
        </is>
      </c>
      <c r="E181" s="16" t="inlineStr">
        <is>
          <t>Validate Joint-AND Account Restrictions for MyPlan Plus / MaybankGift (term savings with auto-debit and gift campaign)</t>
        </is>
      </c>
      <c r="F181" s="16" t="inlineStr">
        <is>
          <t>Validate the requirement mapped to Joint-AND Account Restrictions: Not applicable (MyPlan Plus cannot be joint)</t>
        </is>
      </c>
      <c r="G181" s="16" t="inlineStr">
        <is>
          <t>Functional</t>
        </is>
      </c>
      <c r="H181" s="16" t="inlineStr">
        <is>
          <t>Medium</t>
        </is>
      </c>
      <c r="I181" s="16" t="inlineStr">
        <is>
          <t>Acct Dashboard Non-Financing!A42:E42</t>
        </is>
      </c>
      <c r="J181" s="17" t="inlineStr">
        <is>
          <t>Draft</t>
        </is>
      </c>
    </row>
    <row r="182" ht="220.8" customHeight="1" s="2">
      <c r="A182" s="12" t="inlineStr">
        <is>
          <t>TS-B1-181</t>
        </is>
      </c>
      <c r="B182" s="13" t="inlineStr">
        <is>
          <t>Acct Dashboard Non-Financing</t>
        </is>
      </c>
      <c r="C182" s="13" t="inlineStr">
        <is>
          <t>Dashboard — Deposits</t>
        </is>
      </c>
      <c r="D182" s="13" t="inlineStr">
        <is>
          <t>MyPlan Plus / MaybankGift (term savings with auto-debit and gift campaign)</t>
        </is>
      </c>
      <c r="E182" s="13" t="inlineStr">
        <is>
          <t>Validate Business Profile / IBO Disclaimer for MyPlan Plus / MaybankGift (term savings with auto-debit and gift campaign)</t>
        </is>
      </c>
      <c r="F182" s="13" t="inlineStr">
        <is>
          <t>Validate the requirement mapped to Business Profile / IBO Disclaimer: Not applicable</t>
        </is>
      </c>
      <c r="G182" s="13" t="inlineStr">
        <is>
          <t>Functional</t>
        </is>
      </c>
      <c r="H182" s="13" t="inlineStr">
        <is>
          <t>Medium</t>
        </is>
      </c>
      <c r="I182" s="13" t="inlineStr">
        <is>
          <t>Acct Dashboard Non-Financing!A43:E43</t>
        </is>
      </c>
      <c r="J182" s="14" t="inlineStr">
        <is>
          <t>Draft</t>
        </is>
      </c>
    </row>
    <row r="183" ht="220.8" customHeight="1" s="2">
      <c r="A183" s="15" t="inlineStr">
        <is>
          <t>TS-B1-182</t>
        </is>
      </c>
      <c r="B183" s="16" t="inlineStr">
        <is>
          <t>Acct Dashboard Non-Financing</t>
        </is>
      </c>
      <c r="C183" s="16" t="inlineStr">
        <is>
          <t>Dashboard — Deposits</t>
        </is>
      </c>
      <c r="D183" s="16" t="inlineStr">
        <is>
          <t>MyPlan Plus / MaybankGift (term savings with auto-debit and gift campaign)</t>
        </is>
      </c>
      <c r="E183" s="16" t="inlineStr">
        <is>
          <t>Validate External FSD References for MyPlan Plus / MaybankGift (term savings with auto-debit and gift campaign)</t>
        </is>
      </c>
      <c r="F183" s="16" t="inlineStr">
        <is>
          <t>Validate the requirement mapped to External FSD References: Add/Edit Nickname: refer to AD Common FSD</t>
        </is>
      </c>
      <c r="G183" s="16" t="inlineStr">
        <is>
          <t>Functional</t>
        </is>
      </c>
      <c r="H183" s="16" t="inlineStr">
        <is>
          <t>Medium</t>
        </is>
      </c>
      <c r="I183" s="16" t="inlineStr">
        <is>
          <t>Acct Dashboard Non-Financing!A45:E45</t>
        </is>
      </c>
      <c r="J183" s="17" t="inlineStr">
        <is>
          <t>Draft</t>
        </is>
      </c>
    </row>
    <row r="184" ht="207" customHeight="1" s="2">
      <c r="A184" s="12" t="inlineStr">
        <is>
          <t>TS-B1-183</t>
        </is>
      </c>
      <c r="B184" s="13" t="inlineStr">
        <is>
          <t>Acct Dashboard Non-Financing</t>
        </is>
      </c>
      <c r="C184" s="13" t="inlineStr">
        <is>
          <t>Dashboard — Deposits</t>
        </is>
      </c>
      <c r="D184" s="13" t="inlineStr">
        <is>
          <t>MyPlan Plus / MaybankGift (term savings with auto-debit and gift campaign)</t>
        </is>
      </c>
      <c r="E184" s="13" t="inlineStr">
        <is>
          <t>Final status and recovery for MyPlan Plus / MaybankGift (term savings with auto-debit and gift campaign)</t>
        </is>
      </c>
      <c r="F184" s="13" t="inlineStr">
        <is>
          <t>Validate successful completion, failure handling, and final-state integrity for Dashboard — Deposits.</t>
        </is>
      </c>
      <c r="G184" s="13" t="inlineStr">
        <is>
          <t>Functional / Negative</t>
        </is>
      </c>
      <c r="H184" s="13" t="inlineStr">
        <is>
          <t>High</t>
        </is>
      </c>
      <c r="I184" s="13" t="inlineStr">
        <is>
          <t>Acct Dashboard Non-Financing!E1:E45</t>
        </is>
      </c>
      <c r="J184" s="14" t="inlineStr">
        <is>
          <t>Draft</t>
        </is>
      </c>
    </row>
    <row r="185" ht="165.6" customHeight="1" s="2">
      <c r="A185" s="15" t="inlineStr">
        <is>
          <t>TS-B1-184</t>
        </is>
      </c>
      <c r="B185" s="16" t="inlineStr">
        <is>
          <t>Acct Dashboard Non-Financing</t>
        </is>
      </c>
      <c r="C185" s="16" t="inlineStr">
        <is>
          <t>Dashboard — Deposits</t>
        </is>
      </c>
      <c r="D185" s="16" t="inlineStr">
        <is>
          <t>MyPlan Term Savings (term savings with auto-debit)</t>
        </is>
      </c>
      <c r="E185" s="16" t="inlineStr">
        <is>
          <t>Access and open MyPlan Term Savings (term savings with auto-debit)</t>
        </is>
      </c>
      <c r="F185" s="16" t="inlineStr">
        <is>
          <t>Validate the configured entry point, customer eligibility, and initial page for Dashboard — Deposits.</t>
        </is>
      </c>
      <c r="G185" s="16" t="inlineStr">
        <is>
          <t>Functional</t>
        </is>
      </c>
      <c r="H185" s="16" t="inlineStr">
        <is>
          <t>Medium</t>
        </is>
      </c>
      <c r="I185" s="16" t="inlineStr">
        <is>
          <t>Acct Dashboard Non-Financing!F1:F45</t>
        </is>
      </c>
      <c r="J185" s="17" t="inlineStr">
        <is>
          <t>Draft</t>
        </is>
      </c>
    </row>
    <row r="186" ht="151.8" customHeight="1" s="2">
      <c r="A186" s="12" t="inlineStr">
        <is>
          <t>TS-B1-185</t>
        </is>
      </c>
      <c r="B186" s="13" t="inlineStr">
        <is>
          <t>Acct Dashboard Non-Financing</t>
        </is>
      </c>
      <c r="C186" s="13" t="inlineStr">
        <is>
          <t>Dashboard — Deposits</t>
        </is>
      </c>
      <c r="D186" s="13" t="inlineStr">
        <is>
          <t>MyPlan Term Savings (term savings with auto-debit)</t>
        </is>
      </c>
      <c r="E186" s="13" t="inlineStr">
        <is>
          <t>Authentication and authorisation for MyPlan Term Savings (term savings with auto-debit)</t>
        </is>
      </c>
      <c r="F186" s="13" t="inlineStr">
        <is>
          <t>Validate all authentication requirements stated for Dashboard — Deposits.</t>
        </is>
      </c>
      <c r="G186" s="13" t="inlineStr">
        <is>
          <t>Security</t>
        </is>
      </c>
      <c r="H186" s="13" t="inlineStr">
        <is>
          <t>High</t>
        </is>
      </c>
      <c r="I186" s="13" t="inlineStr">
        <is>
          <t>Acct Dashboard Non-Financing!F1:F45</t>
        </is>
      </c>
      <c r="J186" s="14" t="inlineStr">
        <is>
          <t>Draft</t>
        </is>
      </c>
    </row>
    <row r="187" ht="207" customHeight="1" s="2">
      <c r="A187" s="15" t="inlineStr">
        <is>
          <t>TS-B1-186</t>
        </is>
      </c>
      <c r="B187" s="16" t="inlineStr">
        <is>
          <t>Acct Dashboard Non-Financing</t>
        </is>
      </c>
      <c r="C187" s="16" t="inlineStr">
        <is>
          <t>Dashboard — Deposits</t>
        </is>
      </c>
      <c r="D187" s="16" t="inlineStr">
        <is>
          <t>MyPlan Term Savings (term savings with auto-debit)</t>
        </is>
      </c>
      <c r="E187" s="16" t="inlineStr">
        <is>
          <t>Validate Step 1 — 1.1 Account Dashboard Landing for MyPlan Term Savings (term savings with auto-debit)</t>
        </is>
      </c>
      <c r="F187" s="16" t="inlineStr">
        <is>
          <t>Validate the requirement mapped to Step 1 — 1.1 Account Dashboard Landing: Step 1</t>
        </is>
      </c>
      <c r="G187" s="16" t="inlineStr">
        <is>
          <t>UI / Functional</t>
        </is>
      </c>
      <c r="H187" s="16" t="inlineStr">
        <is>
          <t>Medium</t>
        </is>
      </c>
      <c r="I187" s="16" t="inlineStr">
        <is>
          <t>Acct Dashboard Non-Financing!A10:F10</t>
        </is>
      </c>
      <c r="J187" s="17" t="inlineStr">
        <is>
          <t>Draft</t>
        </is>
      </c>
    </row>
    <row r="188" ht="289.8" customHeight="1" s="2">
      <c r="A188" s="12" t="inlineStr">
        <is>
          <t>TS-B1-187</t>
        </is>
      </c>
      <c r="B188" s="13" t="inlineStr">
        <is>
          <t>Acct Dashboard Non-Financing</t>
        </is>
      </c>
      <c r="C188" s="13" t="inlineStr">
        <is>
          <t>Dashboard — Deposits</t>
        </is>
      </c>
      <c r="D188" s="13" t="inlineStr">
        <is>
          <t>MyPlan Term Savings (term savings with auto-debit)</t>
        </is>
      </c>
      <c r="E188" s="13" t="inlineStr">
        <is>
          <t>Validate Step 2 — 1.2 Account Listing (Savings &amp; Current) for MyPlan Term Savings (term savings with auto-debit)</t>
        </is>
      </c>
      <c r="F188" s="13" t="inlineStr">
        <is>
          <t>Validate the requirement mapped to Step 2 — 1.2 Account Listing (Savings &amp; Current): Step 2 — MyPlan Term Savings card visible in Savings &amp; Current listing</t>
        </is>
      </c>
      <c r="G188" s="13" t="inlineStr">
        <is>
          <t>Functional</t>
        </is>
      </c>
      <c r="H188" s="13" t="inlineStr">
        <is>
          <t>Medium</t>
        </is>
      </c>
      <c r="I188" s="13" t="inlineStr">
        <is>
          <t>Acct Dashboard Non-Financing!A11:F11</t>
        </is>
      </c>
      <c r="J188" s="14" t="inlineStr">
        <is>
          <t>Draft</t>
        </is>
      </c>
    </row>
    <row r="189" ht="165.6" customHeight="1" s="2">
      <c r="A189" s="15" t="inlineStr">
        <is>
          <t>TS-B1-188</t>
        </is>
      </c>
      <c r="B189" s="16" t="inlineStr">
        <is>
          <t>Acct Dashboard Non-Financing</t>
        </is>
      </c>
      <c r="C189" s="16" t="inlineStr">
        <is>
          <t>Dashboard — Deposits</t>
        </is>
      </c>
      <c r="D189" s="16" t="inlineStr">
        <is>
          <t>MyPlan Term Savings (term savings with auto-debit)</t>
        </is>
      </c>
      <c r="E189" s="16" t="inlineStr">
        <is>
          <t>Validate Step 5 — 1.2.1.2 ViewAllTrans for MyPlan Term Savings (term savings with auto-debit)</t>
        </is>
      </c>
      <c r="F189" s="16" t="inlineStr">
        <is>
          <t>Validate the requirement mapped to Step 5 — 1.2.1.2 ViewAllTrans: Step 5</t>
        </is>
      </c>
      <c r="G189" s="16" t="inlineStr">
        <is>
          <t>Functional</t>
        </is>
      </c>
      <c r="H189" s="16" t="inlineStr">
        <is>
          <t>Medium</t>
        </is>
      </c>
      <c r="I189" s="16" t="inlineStr">
        <is>
          <t>Acct Dashboard Non-Financing!A14:F14</t>
        </is>
      </c>
      <c r="J189" s="17" t="inlineStr">
        <is>
          <t>Draft</t>
        </is>
      </c>
    </row>
    <row r="190" ht="409.6" customHeight="1" s="2">
      <c r="A190" s="12" t="inlineStr">
        <is>
          <t>TS-B1-189</t>
        </is>
      </c>
      <c r="B190" s="13" t="inlineStr">
        <is>
          <t>Acct Dashboard Non-Financing</t>
        </is>
      </c>
      <c r="C190" s="13" t="inlineStr">
        <is>
          <t>Dashboard — Deposits</t>
        </is>
      </c>
      <c r="D190" s="13" t="inlineStr">
        <is>
          <t>MyPlan Term Savings (term savings with auto-debit)</t>
        </is>
      </c>
      <c r="E190" s="13" t="inlineStr">
        <is>
          <t>Validate Step 14 — 1.2.5 MyPlan Term Savings Account Details for MyPlan Term Savings (term savings with auto-debit)</t>
        </is>
      </c>
      <c r="F190" s="13" t="inlineStr">
        <is>
          <t>Validate the requirement mapped to Step 14 — 1.2.5 MyPlan Term Savings Account Details: Step 14 — Transactions / Summary / Manage tabs; Summary: term details, scheduled debits, failed auto-debit attempts (tooltip drawer), returns, penalty/cancellation charge, linked parent account; &gt;3 failed debits closes account — Needs PO/BA clarification (post sign-off item)</t>
        </is>
      </c>
      <c r="G190" s="13" t="inlineStr">
        <is>
          <t>Negative</t>
        </is>
      </c>
      <c r="H190" s="13" t="inlineStr">
        <is>
          <t>High</t>
        </is>
      </c>
      <c r="I190" s="13" t="inlineStr">
        <is>
          <t>Acct Dashboard Non-Financing!A23:F23</t>
        </is>
      </c>
      <c r="J190" s="14" t="inlineStr">
        <is>
          <t>Draft</t>
        </is>
      </c>
    </row>
    <row r="191" ht="303.6" customHeight="1" s="2">
      <c r="A191" s="15" t="inlineStr">
        <is>
          <t>TS-B1-190</t>
        </is>
      </c>
      <c r="B191" s="16" t="inlineStr">
        <is>
          <t>Acct Dashboard Non-Financing</t>
        </is>
      </c>
      <c r="C191" s="16" t="inlineStr">
        <is>
          <t>Dashboard — Deposits</t>
        </is>
      </c>
      <c r="D191" s="16" t="inlineStr">
        <is>
          <t>MyPlan Term Savings (term savings with auto-debit)</t>
        </is>
      </c>
      <c r="E191" s="16" t="inlineStr">
        <is>
          <t>Validate ViewAllTrans — Transaction History Display Rule for MyPlan Term Savings (term savings with auto-debit)</t>
        </is>
      </c>
      <c r="F191" s="16" t="inlineStr">
        <is>
          <t>Validate the requirement mapped to ViewAllTrans — Transaction History Display Rule: Transactions tab: latest 10; YTD + last 2 years; ViewAllTrans via sticky hyperlink</t>
        </is>
      </c>
      <c r="G191" s="16" t="inlineStr">
        <is>
          <t>UI / Functional</t>
        </is>
      </c>
      <c r="H191" s="16" t="inlineStr">
        <is>
          <t>Medium</t>
        </is>
      </c>
      <c r="I191" s="16" t="inlineStr">
        <is>
          <t>Acct Dashboard Non-Financing!A40:F40</t>
        </is>
      </c>
      <c r="J191" s="17" t="inlineStr">
        <is>
          <t>Draft</t>
        </is>
      </c>
    </row>
    <row r="192" ht="248.4" customHeight="1" s="2">
      <c r="A192" s="12" t="inlineStr">
        <is>
          <t>TS-B1-191</t>
        </is>
      </c>
      <c r="B192" s="13" t="inlineStr">
        <is>
          <t>Acct Dashboard Non-Financing</t>
        </is>
      </c>
      <c r="C192" s="13" t="inlineStr">
        <is>
          <t>Dashboard — Deposits</t>
        </is>
      </c>
      <c r="D192" s="13" t="inlineStr">
        <is>
          <t>MyPlan Term Savings (term savings with auto-debit)</t>
        </is>
      </c>
      <c r="E192" s="13" t="inlineStr">
        <is>
          <t>Validate Sorting / Display Order for MyPlan Term Savings (term savings with auto-debit)</t>
        </is>
      </c>
      <c r="F192" s="13" t="inlineStr">
        <is>
          <t>Validate the requirement mapped to Sorting / Display Order: Sorted within Savings &amp; Current by product name then account number</t>
        </is>
      </c>
      <c r="G192" s="13" t="inlineStr">
        <is>
          <t>UI / Functional</t>
        </is>
      </c>
      <c r="H192" s="13" t="inlineStr">
        <is>
          <t>Medium</t>
        </is>
      </c>
      <c r="I192" s="13" t="inlineStr">
        <is>
          <t>Acct Dashboard Non-Financing!A41:F41</t>
        </is>
      </c>
      <c r="J192" s="14" t="inlineStr">
        <is>
          <t>Draft</t>
        </is>
      </c>
    </row>
    <row r="193" ht="220.8" customHeight="1" s="2">
      <c r="A193" s="15" t="inlineStr">
        <is>
          <t>TS-B1-192</t>
        </is>
      </c>
      <c r="B193" s="16" t="inlineStr">
        <is>
          <t>Acct Dashboard Non-Financing</t>
        </is>
      </c>
      <c r="C193" s="16" t="inlineStr">
        <is>
          <t>Dashboard — Deposits</t>
        </is>
      </c>
      <c r="D193" s="16" t="inlineStr">
        <is>
          <t>MyPlan Term Savings (term savings with auto-debit)</t>
        </is>
      </c>
      <c r="E193" s="16" t="inlineStr">
        <is>
          <t>Validate Joint-AND Account Restrictions for MyPlan Term Savings (term savings with auto-debit)</t>
        </is>
      </c>
      <c r="F193" s="16" t="inlineStr">
        <is>
          <t>Validate the requirement mapped to Joint-AND Account Restrictions: Not applicable (MyPlan Term Savings cannot be joint)</t>
        </is>
      </c>
      <c r="G193" s="16" t="inlineStr">
        <is>
          <t>Functional</t>
        </is>
      </c>
      <c r="H193" s="16" t="inlineStr">
        <is>
          <t>Medium</t>
        </is>
      </c>
      <c r="I193" s="16" t="inlineStr">
        <is>
          <t>Acct Dashboard Non-Financing!A42:F42</t>
        </is>
      </c>
      <c r="J193" s="17" t="inlineStr">
        <is>
          <t>Draft</t>
        </is>
      </c>
    </row>
    <row r="194" ht="179.4" customHeight="1" s="2">
      <c r="A194" s="12" t="inlineStr">
        <is>
          <t>TS-B1-193</t>
        </is>
      </c>
      <c r="B194" s="13" t="inlineStr">
        <is>
          <t>Acct Dashboard Non-Financing</t>
        </is>
      </c>
      <c r="C194" s="13" t="inlineStr">
        <is>
          <t>Dashboard — Deposits</t>
        </is>
      </c>
      <c r="D194" s="13" t="inlineStr">
        <is>
          <t>MyPlan Term Savings (term savings with auto-debit)</t>
        </is>
      </c>
      <c r="E194" s="13" t="inlineStr">
        <is>
          <t>Validate Business Profile / IBO Disclaimer for MyPlan Term Savings (term savings with auto-debit)</t>
        </is>
      </c>
      <c r="F194" s="13" t="inlineStr">
        <is>
          <t>Validate the requirement mapped to Business Profile / IBO Disclaimer: Not applicable</t>
        </is>
      </c>
      <c r="G194" s="13" t="inlineStr">
        <is>
          <t>Functional</t>
        </is>
      </c>
      <c r="H194" s="13" t="inlineStr">
        <is>
          <t>Medium</t>
        </is>
      </c>
      <c r="I194" s="13" t="inlineStr">
        <is>
          <t>Acct Dashboard Non-Financing!A43:F43</t>
        </is>
      </c>
      <c r="J194" s="14" t="inlineStr">
        <is>
          <t>Draft</t>
        </is>
      </c>
    </row>
    <row r="195" ht="220.8" customHeight="1" s="2">
      <c r="A195" s="15" t="inlineStr">
        <is>
          <t>TS-B1-194</t>
        </is>
      </c>
      <c r="B195" s="16" t="inlineStr">
        <is>
          <t>Acct Dashboard Non-Financing</t>
        </is>
      </c>
      <c r="C195" s="16" t="inlineStr">
        <is>
          <t>Dashboard — Deposits</t>
        </is>
      </c>
      <c r="D195" s="16" t="inlineStr">
        <is>
          <t>MyPlan Term Savings (term savings with auto-debit)</t>
        </is>
      </c>
      <c r="E195" s="16" t="inlineStr">
        <is>
          <t>Validate External FSD References for MyPlan Term Savings (term savings with auto-debit)</t>
        </is>
      </c>
      <c r="F195" s="16" t="inlineStr">
        <is>
          <t>Validate the requirement mapped to External FSD References: Add/Edit Nickname: refer to AD Common FSD</t>
        </is>
      </c>
      <c r="G195" s="16" t="inlineStr">
        <is>
          <t>Functional</t>
        </is>
      </c>
      <c r="H195" s="16" t="inlineStr">
        <is>
          <t>Medium</t>
        </is>
      </c>
      <c r="I195" s="16" t="inlineStr">
        <is>
          <t>Acct Dashboard Non-Financing!A45:F45</t>
        </is>
      </c>
      <c r="J195" s="17" t="inlineStr">
        <is>
          <t>Draft</t>
        </is>
      </c>
    </row>
    <row r="196" ht="193.2" customHeight="1" s="2">
      <c r="A196" s="12" t="inlineStr">
        <is>
          <t>TS-B1-195</t>
        </is>
      </c>
      <c r="B196" s="13" t="inlineStr">
        <is>
          <t>Acct Dashboard Non-Financing</t>
        </is>
      </c>
      <c r="C196" s="13" t="inlineStr">
        <is>
          <t>Dashboard — Deposits</t>
        </is>
      </c>
      <c r="D196" s="13" t="inlineStr">
        <is>
          <t>MyPlan Term Savings (term savings with auto-debit)</t>
        </is>
      </c>
      <c r="E196" s="13" t="inlineStr">
        <is>
          <t>Final status and recovery for MyPlan Term Savings (term savings with auto-debit)</t>
        </is>
      </c>
      <c r="F196" s="13" t="inlineStr">
        <is>
          <t>Validate successful completion, failure handling, and final-state integrity for Dashboard — Deposits.</t>
        </is>
      </c>
      <c r="G196" s="13" t="inlineStr">
        <is>
          <t>Functional / Negative</t>
        </is>
      </c>
      <c r="H196" s="13" t="inlineStr">
        <is>
          <t>High</t>
        </is>
      </c>
      <c r="I196" s="13" t="inlineStr">
        <is>
          <t>Acct Dashboard Non-Financing!F1:F45</t>
        </is>
      </c>
      <c r="J196" s="14" t="inlineStr">
        <is>
          <t>Draft</t>
        </is>
      </c>
    </row>
    <row r="197" ht="165.6" customHeight="1" s="2">
      <c r="A197" s="15" t="inlineStr">
        <is>
          <t>TS-B1-196</t>
        </is>
      </c>
      <c r="B197" s="16" t="inlineStr">
        <is>
          <t>Acct Dashboard Non-Financing</t>
        </is>
      </c>
      <c r="C197" s="16" t="inlineStr">
        <is>
          <t>Dashboard — Deposits</t>
        </is>
      </c>
      <c r="D197" s="16" t="inlineStr">
        <is>
          <t>Global Access Account — multicurrency IDR-base</t>
        </is>
      </c>
      <c r="E197" s="16" t="inlineStr">
        <is>
          <t>Access and open Global Access Account — multicurrency IDR-base</t>
        </is>
      </c>
      <c r="F197" s="16" t="inlineStr">
        <is>
          <t>Validate the configured entry point, customer eligibility, and initial page for Dashboard — Deposits.</t>
        </is>
      </c>
      <c r="G197" s="16" t="inlineStr">
        <is>
          <t>Functional</t>
        </is>
      </c>
      <c r="H197" s="16" t="inlineStr">
        <is>
          <t>Medium</t>
        </is>
      </c>
      <c r="I197" s="16" t="inlineStr">
        <is>
          <t>Acct Dashboard Non-Financing!G1:G45</t>
        </is>
      </c>
      <c r="J197" s="17" t="inlineStr">
        <is>
          <t>Draft</t>
        </is>
      </c>
    </row>
    <row r="198" ht="151.8" customHeight="1" s="2">
      <c r="A198" s="12" t="inlineStr">
        <is>
          <t>TS-B1-197</t>
        </is>
      </c>
      <c r="B198" s="13" t="inlineStr">
        <is>
          <t>Acct Dashboard Non-Financing</t>
        </is>
      </c>
      <c r="C198" s="13" t="inlineStr">
        <is>
          <t>Dashboard — Deposits</t>
        </is>
      </c>
      <c r="D198" s="13" t="inlineStr">
        <is>
          <t>Global Access Account — multicurrency IDR-base</t>
        </is>
      </c>
      <c r="E198" s="13" t="inlineStr">
        <is>
          <t>Authentication and authorisation for Global Access Account — multicurrency IDR-base</t>
        </is>
      </c>
      <c r="F198" s="13" t="inlineStr">
        <is>
          <t>Validate all authentication requirements stated for Dashboard — Deposits.</t>
        </is>
      </c>
      <c r="G198" s="13" t="inlineStr">
        <is>
          <t>Security</t>
        </is>
      </c>
      <c r="H198" s="13" t="inlineStr">
        <is>
          <t>High</t>
        </is>
      </c>
      <c r="I198" s="13" t="inlineStr">
        <is>
          <t>Acct Dashboard Non-Financing!G1:G45</t>
        </is>
      </c>
      <c r="J198" s="14" t="inlineStr">
        <is>
          <t>Draft</t>
        </is>
      </c>
    </row>
    <row r="199" ht="193.2" customHeight="1" s="2">
      <c r="A199" s="15" t="inlineStr">
        <is>
          <t>TS-B1-198</t>
        </is>
      </c>
      <c r="B199" s="16" t="inlineStr">
        <is>
          <t>Acct Dashboard Non-Financing</t>
        </is>
      </c>
      <c r="C199" s="16" t="inlineStr">
        <is>
          <t>Dashboard — Deposits</t>
        </is>
      </c>
      <c r="D199" s="16" t="inlineStr">
        <is>
          <t>Global Access Account — multicurrency IDR-base</t>
        </is>
      </c>
      <c r="E199" s="16" t="inlineStr">
        <is>
          <t>Validate Step 1 — 1.1 Account Dashboard Landing for Global Access Account — multicurrency IDR-base</t>
        </is>
      </c>
      <c r="F199" s="16" t="inlineStr">
        <is>
          <t>Validate the requirement mapped to Step 1 — 1.1 Account Dashboard Landing: Step 1</t>
        </is>
      </c>
      <c r="G199" s="16" t="inlineStr">
        <is>
          <t>UI / Functional</t>
        </is>
      </c>
      <c r="H199" s="16" t="inlineStr">
        <is>
          <t>Medium</t>
        </is>
      </c>
      <c r="I199" s="16" t="inlineStr">
        <is>
          <t>Acct Dashboard Non-Financing!A10:G10</t>
        </is>
      </c>
      <c r="J199" s="17" t="inlineStr">
        <is>
          <t>Draft</t>
        </is>
      </c>
    </row>
    <row r="200" ht="317.4" customHeight="1" s="2">
      <c r="A200" s="12" t="inlineStr">
        <is>
          <t>TS-B1-199</t>
        </is>
      </c>
      <c r="B200" s="13" t="inlineStr">
        <is>
          <t>Acct Dashboard Non-Financing</t>
        </is>
      </c>
      <c r="C200" s="13" t="inlineStr">
        <is>
          <t>Dashboard — Deposits</t>
        </is>
      </c>
      <c r="D200" s="13" t="inlineStr">
        <is>
          <t>Global Access Account — multicurrency IDR-base</t>
        </is>
      </c>
      <c r="E200" s="13" t="inlineStr">
        <is>
          <t>Validate Step 2 — 1.2 Account Listing (Savings &amp; Current) for Global Access Account — multicurrency IDR-base</t>
        </is>
      </c>
      <c r="F200" s="13" t="inlineStr">
        <is>
          <t>Validate the requirement mapped to Step 2 — 1.2 Account Listing (Savings &amp; Current): Step 2 — GAA card visible in Savings &amp; Current listing; balance shown with '≈' if FCY present</t>
        </is>
      </c>
      <c r="G200" s="13" t="inlineStr">
        <is>
          <t>Functional</t>
        </is>
      </c>
      <c r="H200" s="13" t="inlineStr">
        <is>
          <t>Medium</t>
        </is>
      </c>
      <c r="I200" s="13" t="inlineStr">
        <is>
          <t>Acct Dashboard Non-Financing!A11:G11</t>
        </is>
      </c>
      <c r="J200" s="14" t="inlineStr">
        <is>
          <t>Draft</t>
        </is>
      </c>
    </row>
    <row r="201" ht="220.8" customHeight="1" s="2">
      <c r="A201" s="15" t="inlineStr">
        <is>
          <t>TS-B1-200</t>
        </is>
      </c>
      <c r="B201" s="16" t="inlineStr">
        <is>
          <t>Acct Dashboard Non-Financing</t>
        </is>
      </c>
      <c r="C201" s="16" t="inlineStr">
        <is>
          <t>Dashboard — Deposits</t>
        </is>
      </c>
      <c r="D201" s="16" t="inlineStr">
        <is>
          <t>Global Access Account — multicurrency IDR-base</t>
        </is>
      </c>
      <c r="E201" s="16" t="inlineStr">
        <is>
          <t>Validate Step 5 — 1.2.1.2 ViewAllTrans for Global Access Account — multicurrency IDR-base</t>
        </is>
      </c>
      <c r="F201" s="16" t="inlineStr">
        <is>
          <t>Validate the requirement mapped to Step 5 — 1.2.1.2 ViewAllTrans: Step 5 — Transaction Currency filter applicable</t>
        </is>
      </c>
      <c r="G201" s="16" t="inlineStr">
        <is>
          <t>Functional</t>
        </is>
      </c>
      <c r="H201" s="16" t="inlineStr">
        <is>
          <t>Medium</t>
        </is>
      </c>
      <c r="I201" s="16" t="inlineStr">
        <is>
          <t>Acct Dashboard Non-Financing!A14:G14</t>
        </is>
      </c>
      <c r="J201" s="17" t="inlineStr">
        <is>
          <t>Draft</t>
        </is>
      </c>
    </row>
    <row r="202" ht="207" customHeight="1" s="2">
      <c r="A202" s="12" t="inlineStr">
        <is>
          <t>TS-B1-201</t>
        </is>
      </c>
      <c r="B202" s="13" t="inlineStr">
        <is>
          <t>Acct Dashboard Non-Financing</t>
        </is>
      </c>
      <c r="C202" s="13" t="inlineStr">
        <is>
          <t>Dashboard — Deposits</t>
        </is>
      </c>
      <c r="D202" s="13" t="inlineStr">
        <is>
          <t>Global Access Account — multicurrency IDR-base</t>
        </is>
      </c>
      <c r="E202" s="13" t="inlineStr">
        <is>
          <t>Validate Step 6 — 1.2.1.3 ManageLinkedCard for Global Access Account — multicurrency IDR-base</t>
        </is>
      </c>
      <c r="F202" s="13" t="inlineStr">
        <is>
          <t>Validate the requirement mapped to Step 6 — 1.2.1.3 ManageLinkedCard: Step 6 — only GAA debit cards eligible</t>
        </is>
      </c>
      <c r="G202" s="13" t="inlineStr">
        <is>
          <t>Functional</t>
        </is>
      </c>
      <c r="H202" s="13" t="inlineStr">
        <is>
          <t>Medium</t>
        </is>
      </c>
      <c r="I202" s="13" t="inlineStr">
        <is>
          <t>Acct Dashboard Non-Financing!A15:G15</t>
        </is>
      </c>
      <c r="J202" s="14" t="inlineStr">
        <is>
          <t>Draft</t>
        </is>
      </c>
    </row>
    <row r="203" ht="165.6" customHeight="1" s="2">
      <c r="A203" s="15" t="inlineStr">
        <is>
          <t>TS-B1-202</t>
        </is>
      </c>
      <c r="B203" s="16" t="inlineStr">
        <is>
          <t>Acct Dashboard Non-Financing</t>
        </is>
      </c>
      <c r="C203" s="16" t="inlineStr">
        <is>
          <t>Dashboard — Deposits</t>
        </is>
      </c>
      <c r="D203" s="16" t="inlineStr">
        <is>
          <t>Global Access Account — multicurrency IDR-base</t>
        </is>
      </c>
      <c r="E203" s="16" t="inlineStr">
        <is>
          <t>Validate Step 7 — 1.2.1.4 BlockAccount for Global Access Account — multicurrency IDR-base</t>
        </is>
      </c>
      <c r="F203" s="16" t="inlineStr">
        <is>
          <t>Validate the requirement mapped to Step 7 — 1.2.1.4 BlockAccount: Step 7</t>
        </is>
      </c>
      <c r="G203" s="16" t="inlineStr">
        <is>
          <t>Functional</t>
        </is>
      </c>
      <c r="H203" s="16" t="inlineStr">
        <is>
          <t>High</t>
        </is>
      </c>
      <c r="I203" s="16" t="inlineStr">
        <is>
          <t>Acct Dashboard Non-Financing!A16:G16</t>
        </is>
      </c>
      <c r="J203" s="17" t="inlineStr">
        <is>
          <t>Draft</t>
        </is>
      </c>
    </row>
    <row r="204" ht="409.6" customHeight="1" s="2">
      <c r="A204" s="12" t="inlineStr">
        <is>
          <t>TS-B1-203</t>
        </is>
      </c>
      <c r="B204" s="13" t="inlineStr">
        <is>
          <t>Acct Dashboard Non-Financing</t>
        </is>
      </c>
      <c r="C204" s="13" t="inlineStr">
        <is>
          <t>Dashboard — Deposits</t>
        </is>
      </c>
      <c r="D204" s="13" t="inlineStr">
        <is>
          <t>Global Access Account — multicurrency IDR-base</t>
        </is>
      </c>
      <c r="E204" s="13" t="inlineStr">
        <is>
          <t>Validate Step 15 — 1.2.6 Global Access Account Details for Global Access Account — multicurrency IDR-base</t>
        </is>
      </c>
      <c r="F204" s="13" t="inlineStr">
        <is>
          <t>Validate the requirement mapped to Step 15 — 1.2.6 Global Access Account Details: Step 15 — Transactions / Manage tabs (no Summary tab); My Currencies section (IDR base, FCY buckets sorted by IDR first then latest transacted); Add New Currency; View All if &gt;5 currencies; Quick Actions: Convert Currency, Transfer (local/overseas), Currency Calculator, Exchange Rates, View Statements; Manage: Add/Edit Nickname, Set as Primary, Auto Sweep, Manage Linked Card, Block Account</t>
        </is>
      </c>
      <c r="G204" s="13" t="inlineStr">
        <is>
          <t>UI / Functional</t>
        </is>
      </c>
      <c r="H204" s="13" t="inlineStr">
        <is>
          <t>High</t>
        </is>
      </c>
      <c r="I204" s="13" t="inlineStr">
        <is>
          <t>Acct Dashboard Non-Financing!A24:G24</t>
        </is>
      </c>
      <c r="J204" s="14" t="inlineStr">
        <is>
          <t>Draft</t>
        </is>
      </c>
    </row>
    <row r="205" ht="409.6" customHeight="1" s="2">
      <c r="A205" s="15" t="inlineStr">
        <is>
          <t>TS-B1-204</t>
        </is>
      </c>
      <c r="B205" s="16" t="inlineStr">
        <is>
          <t>Acct Dashboard Non-Financing</t>
        </is>
      </c>
      <c r="C205" s="16" t="inlineStr">
        <is>
          <t>Dashboard — Deposits</t>
        </is>
      </c>
      <c r="D205" s="16" t="inlineStr">
        <is>
          <t>Global Access Account — multicurrency IDR-base</t>
        </is>
      </c>
      <c r="E205" s="16" t="inlineStr">
        <is>
          <t>Validate Step 16 — 1.2.6.1 Add Currency for Global Access Account — multicurrency IDR-base</t>
        </is>
      </c>
      <c r="F205" s="16" t="inlineStr">
        <is>
          <t>Validate the requirement mapped to Step 16 — 1.2.6.1 Add Currency: Step 16 — Add Currency drawer from GAA Account Details; search by currency code/name/alias (min 2 chars); top 5 traded displayed first; only unadded currencies shown; on selection: currency added at end of My Currencies list, snackbar "Currency added"</t>
        </is>
      </c>
      <c r="G205" s="16" t="inlineStr">
        <is>
          <t>UI / Functional</t>
        </is>
      </c>
      <c r="H205" s="16" t="inlineStr">
        <is>
          <t>Medium</t>
        </is>
      </c>
      <c r="I205" s="16" t="inlineStr">
        <is>
          <t>Acct Dashboard Non-Financing!A25:G25</t>
        </is>
      </c>
      <c r="J205" s="17" t="inlineStr">
        <is>
          <t>Draft</t>
        </is>
      </c>
    </row>
    <row r="206" ht="409.6" customHeight="1" s="2">
      <c r="A206" s="12" t="inlineStr">
        <is>
          <t>TS-B1-205</t>
        </is>
      </c>
      <c r="B206" s="13" t="inlineStr">
        <is>
          <t>Acct Dashboard Non-Financing</t>
        </is>
      </c>
      <c r="C206" s="13" t="inlineStr">
        <is>
          <t>Dashboard — Deposits</t>
        </is>
      </c>
      <c r="D206" s="13" t="inlineStr">
        <is>
          <t>Global Access Account — multicurrency IDR-base</t>
        </is>
      </c>
      <c r="E206" s="13" t="inlineStr">
        <is>
          <t>Validate Step 17 — 1.2.6.2 View Currency Details for Global Access Account — multicurrency IDR-base</t>
        </is>
      </c>
      <c r="F206" s="13" t="inlineStr">
        <is>
          <t>Validate the requirement mapped to Step 17 — 1.2.6.2 View Currency Details: Step 17 — Currency Details screen per currency; currency chevron to switch; Transactions / Summary tabs (IDR: no Manage tab; FCY: Transactions / Summary / Manage tabs); Balance per currency; Account Balance drawer; Quick Actions per currency</t>
        </is>
      </c>
      <c r="G206" s="13" t="inlineStr">
        <is>
          <t>UI / Functional</t>
        </is>
      </c>
      <c r="H206" s="13" t="inlineStr">
        <is>
          <t>Medium</t>
        </is>
      </c>
      <c r="I206" s="13" t="inlineStr">
        <is>
          <t>Acct Dashboard Non-Financing!A26:G26</t>
        </is>
      </c>
      <c r="J206" s="14" t="inlineStr">
        <is>
          <t>Draft</t>
        </is>
      </c>
    </row>
    <row r="207" ht="409.6" customHeight="1" s="2">
      <c r="A207" s="15" t="inlineStr">
        <is>
          <t>TS-B1-206</t>
        </is>
      </c>
      <c r="B207" s="16" t="inlineStr">
        <is>
          <t>Acct Dashboard Non-Financing</t>
        </is>
      </c>
      <c r="C207" s="16" t="inlineStr">
        <is>
          <t>Dashboard — Deposits</t>
        </is>
      </c>
      <c r="D207" s="16" t="inlineStr">
        <is>
          <t>Global Access Account — multicurrency IDR-base</t>
        </is>
      </c>
      <c r="E207" s="16" t="inlineStr">
        <is>
          <t>Validate Step 18 — 1.2.6.3 Remove Currency for Global Access Account — multicurrency IDR-base</t>
        </is>
      </c>
      <c r="F207" s="16" t="inlineStr">
        <is>
          <t>Validate the requirement mapped to Step 18 — 1.2.6.3 Remove Currency: Step 18 — applicable for non-IDR currencies only; if zero balance: remove directly (no S2U); if non-zero balance: Convert Currency flow (S2U required); if linked to Term Savings: blocked with snackbar; currency removal hides bucket (not deleted); conversion fee per RFX module</t>
        </is>
      </c>
      <c r="G207" s="16" t="inlineStr">
        <is>
          <t>Negative</t>
        </is>
      </c>
      <c r="H207" s="16" t="inlineStr">
        <is>
          <t>High</t>
        </is>
      </c>
      <c r="I207" s="16" t="inlineStr">
        <is>
          <t>Acct Dashboard Non-Financing!A27:G27</t>
        </is>
      </c>
      <c r="J207" s="17" t="inlineStr">
        <is>
          <t>Draft</t>
        </is>
      </c>
    </row>
    <row r="208" ht="409.6" customHeight="1" s="2">
      <c r="A208" s="12" t="inlineStr">
        <is>
          <t>TS-B1-207</t>
        </is>
      </c>
      <c r="B208" s="13" t="inlineStr">
        <is>
          <t>Acct Dashboard Non-Financing</t>
        </is>
      </c>
      <c r="C208" s="13" t="inlineStr">
        <is>
          <t>Dashboard — Deposits</t>
        </is>
      </c>
      <c r="D208" s="13" t="inlineStr">
        <is>
          <t>Global Access Account — multicurrency IDR-base</t>
        </is>
      </c>
      <c r="E208" s="13" t="inlineStr">
        <is>
          <t>Validate ViewAllTrans — Transaction History Display Rule for Global Access Account — multicurrency IDR-base</t>
        </is>
      </c>
      <c r="F208" s="13" t="inlineStr">
        <is>
          <t>Validate the requirement mapped to ViewAllTrans — Transaction History Display Rule: Transactions tab: latest 10; YTD + last 2 years; all currencies shown regardless of currency; ViewAllTrans via sticky hyperlink (appears after first scroll)</t>
        </is>
      </c>
      <c r="G208" s="13" t="inlineStr">
        <is>
          <t>UI / Functional</t>
        </is>
      </c>
      <c r="H208" s="13" t="inlineStr">
        <is>
          <t>Medium</t>
        </is>
      </c>
      <c r="I208" s="13" t="inlineStr">
        <is>
          <t>Acct Dashboard Non-Financing!A40:G40</t>
        </is>
      </c>
      <c r="J208" s="14" t="inlineStr">
        <is>
          <t>Draft</t>
        </is>
      </c>
    </row>
    <row r="209" ht="234.6" customHeight="1" s="2">
      <c r="A209" s="15" t="inlineStr">
        <is>
          <t>TS-B1-208</t>
        </is>
      </c>
      <c r="B209" s="16" t="inlineStr">
        <is>
          <t>Acct Dashboard Non-Financing</t>
        </is>
      </c>
      <c r="C209" s="16" t="inlineStr">
        <is>
          <t>Dashboard — Deposits</t>
        </is>
      </c>
      <c r="D209" s="16" t="inlineStr">
        <is>
          <t>Global Access Account — multicurrency IDR-base</t>
        </is>
      </c>
      <c r="E209" s="16" t="inlineStr">
        <is>
          <t>Validate Joint-AND Account Restrictions for Global Access Account — multicurrency IDR-base</t>
        </is>
      </c>
      <c r="F209" s="16" t="inlineStr">
        <is>
          <t>Validate the requirement mapped to Joint-AND Account Restrictions: Joint-AND restrictions apply same as CASA per NGBO config</t>
        </is>
      </c>
      <c r="G209" s="16" t="inlineStr">
        <is>
          <t>Functional</t>
        </is>
      </c>
      <c r="H209" s="16" t="inlineStr">
        <is>
          <t>Medium</t>
        </is>
      </c>
      <c r="I209" s="16" t="inlineStr">
        <is>
          <t>Acct Dashboard Non-Financing!A42:G42</t>
        </is>
      </c>
      <c r="J209" s="17" t="inlineStr">
        <is>
          <t>Draft</t>
        </is>
      </c>
    </row>
    <row r="210" ht="179.4" customHeight="1" s="2">
      <c r="A210" s="12" t="inlineStr">
        <is>
          <t>TS-B1-209</t>
        </is>
      </c>
      <c r="B210" s="13" t="inlineStr">
        <is>
          <t>Acct Dashboard Non-Financing</t>
        </is>
      </c>
      <c r="C210" s="13" t="inlineStr">
        <is>
          <t>Dashboard — Deposits</t>
        </is>
      </c>
      <c r="D210" s="13" t="inlineStr">
        <is>
          <t>Global Access Account — multicurrency IDR-base</t>
        </is>
      </c>
      <c r="E210" s="13" t="inlineStr">
        <is>
          <t>Validate Business Profile / IBO Disclaimer for Global Access Account — multicurrency IDR-base</t>
        </is>
      </c>
      <c r="F210" s="13" t="inlineStr">
        <is>
          <t>Validate the requirement mapped to Business Profile / IBO Disclaimer: Not applicable</t>
        </is>
      </c>
      <c r="G210" s="13" t="inlineStr">
        <is>
          <t>Functional</t>
        </is>
      </c>
      <c r="H210" s="13" t="inlineStr">
        <is>
          <t>Medium</t>
        </is>
      </c>
      <c r="I210" s="13" t="inlineStr">
        <is>
          <t>Acct Dashboard Non-Financing!A43:G43</t>
        </is>
      </c>
      <c r="J210" s="14" t="inlineStr">
        <is>
          <t>Draft</t>
        </is>
      </c>
    </row>
    <row r="211" ht="409.6" customHeight="1" s="2">
      <c r="A211" s="15" t="inlineStr">
        <is>
          <t>TS-B1-210</t>
        </is>
      </c>
      <c r="B211" s="16" t="inlineStr">
        <is>
          <t>Acct Dashboard Non-Financing</t>
        </is>
      </c>
      <c r="C211" s="16" t="inlineStr">
        <is>
          <t>Dashboard — Deposits</t>
        </is>
      </c>
      <c r="D211" s="16" t="inlineStr">
        <is>
          <t>Global Access Account — multicurrency IDR-base</t>
        </is>
      </c>
      <c r="E211" s="16" t="inlineStr">
        <is>
          <t>Validate External FSD References for Global Access Account — multicurrency IDR-base</t>
        </is>
      </c>
      <c r="F211" s="16" t="inlineStr">
        <is>
          <t>Validate the requirement mapped to External FSD References: Add/Edit Nickname: refer to AD Common FSD; Set as Primary: refer to AD Common FSD; Auto Sweep: refer to AD Common FSD; Manage Linked Card: refer to 1.2.1.3; Block Account: refer to 1.2.1.4; View Statements: refer to Document FSD</t>
        </is>
      </c>
      <c r="G211" s="16" t="inlineStr">
        <is>
          <t>Functional</t>
        </is>
      </c>
      <c r="H211" s="16" t="inlineStr">
        <is>
          <t>High</t>
        </is>
      </c>
      <c r="I211" s="16" t="inlineStr">
        <is>
          <t>Acct Dashboard Non-Financing!A45:G45</t>
        </is>
      </c>
      <c r="J211" s="17" t="inlineStr">
        <is>
          <t>Draft</t>
        </is>
      </c>
    </row>
    <row r="212" ht="193.2" customHeight="1" s="2">
      <c r="A212" s="12" t="inlineStr">
        <is>
          <t>TS-B1-211</t>
        </is>
      </c>
      <c r="B212" s="13" t="inlineStr">
        <is>
          <t>Acct Dashboard Non-Financing</t>
        </is>
      </c>
      <c r="C212" s="13" t="inlineStr">
        <is>
          <t>Dashboard — Deposits</t>
        </is>
      </c>
      <c r="D212" s="13" t="inlineStr">
        <is>
          <t>Global Access Account — multicurrency IDR-base</t>
        </is>
      </c>
      <c r="E212" s="13" t="inlineStr">
        <is>
          <t>Final status and recovery for Global Access Account — multicurrency IDR-base</t>
        </is>
      </c>
      <c r="F212" s="13" t="inlineStr">
        <is>
          <t>Validate successful completion, failure handling, and final-state integrity for Dashboard — Deposits.</t>
        </is>
      </c>
      <c r="G212" s="13" t="inlineStr">
        <is>
          <t>Functional / Negative</t>
        </is>
      </c>
      <c r="H212" s="13" t="inlineStr">
        <is>
          <t>High</t>
        </is>
      </c>
      <c r="I212" s="13" t="inlineStr">
        <is>
          <t>Acct Dashboard Non-Financing!G1:G45</t>
        </is>
      </c>
      <c r="J212" s="14" t="inlineStr">
        <is>
          <t>Draft</t>
        </is>
      </c>
    </row>
    <row r="213" ht="165.6" customHeight="1" s="2">
      <c r="A213" s="15" t="inlineStr">
        <is>
          <t>TS-B1-212</t>
        </is>
      </c>
      <c r="B213" s="16" t="inlineStr">
        <is>
          <t>Acct Dashboard Non-Financing</t>
        </is>
      </c>
      <c r="C213" s="16" t="inlineStr">
        <is>
          <t>Dashboard — Deposits</t>
        </is>
      </c>
      <c r="D213" s="16" t="inlineStr">
        <is>
          <t>Giro Multicurrency Account — USD-base</t>
        </is>
      </c>
      <c r="E213" s="16" t="inlineStr">
        <is>
          <t>Access and open Giro Multicurrency Account — USD-base</t>
        </is>
      </c>
      <c r="F213" s="16" t="inlineStr">
        <is>
          <t>Validate the configured entry point, customer eligibility, and initial page for Dashboard — Deposits.</t>
        </is>
      </c>
      <c r="G213" s="16" t="inlineStr">
        <is>
          <t>Functional</t>
        </is>
      </c>
      <c r="H213" s="16" t="inlineStr">
        <is>
          <t>Medium</t>
        </is>
      </c>
      <c r="I213" s="16" t="inlineStr">
        <is>
          <t>Acct Dashboard Non-Financing!H1:H45</t>
        </is>
      </c>
      <c r="J213" s="17" t="inlineStr">
        <is>
          <t>Draft</t>
        </is>
      </c>
    </row>
    <row r="214" ht="138" customHeight="1" s="2">
      <c r="A214" s="12" t="inlineStr">
        <is>
          <t>TS-B1-213</t>
        </is>
      </c>
      <c r="B214" s="13" t="inlineStr">
        <is>
          <t>Acct Dashboard Non-Financing</t>
        </is>
      </c>
      <c r="C214" s="13" t="inlineStr">
        <is>
          <t>Dashboard — Deposits</t>
        </is>
      </c>
      <c r="D214" s="13" t="inlineStr">
        <is>
          <t>Giro Multicurrency Account — USD-base</t>
        </is>
      </c>
      <c r="E214" s="13" t="inlineStr">
        <is>
          <t>Authentication and authorisation for Giro Multicurrency Account — USD-base</t>
        </is>
      </c>
      <c r="F214" s="13" t="inlineStr">
        <is>
          <t>Validate all authentication requirements stated for Dashboard — Deposits.</t>
        </is>
      </c>
      <c r="G214" s="13" t="inlineStr">
        <is>
          <t>Security</t>
        </is>
      </c>
      <c r="H214" s="13" t="inlineStr">
        <is>
          <t>High</t>
        </is>
      </c>
      <c r="I214" s="13" t="inlineStr">
        <is>
          <t>Acct Dashboard Non-Financing!H1:H45</t>
        </is>
      </c>
      <c r="J214" s="14" t="inlineStr">
        <is>
          <t>Draft</t>
        </is>
      </c>
    </row>
    <row r="215" ht="179.4" customHeight="1" s="2">
      <c r="A215" s="15" t="inlineStr">
        <is>
          <t>TS-B1-214</t>
        </is>
      </c>
      <c r="B215" s="16" t="inlineStr">
        <is>
          <t>Acct Dashboard Non-Financing</t>
        </is>
      </c>
      <c r="C215" s="16" t="inlineStr">
        <is>
          <t>Dashboard — Deposits</t>
        </is>
      </c>
      <c r="D215" s="16" t="inlineStr">
        <is>
          <t>Giro Multicurrency Account — USD-base</t>
        </is>
      </c>
      <c r="E215" s="16" t="inlineStr">
        <is>
          <t>Validate Step 1 — 1.1 Account Dashboard Landing for Giro Multicurrency Account — USD-base</t>
        </is>
      </c>
      <c r="F215" s="16" t="inlineStr">
        <is>
          <t>Validate the requirement mapped to Step 1 — 1.1 Account Dashboard Landing: Step 1</t>
        </is>
      </c>
      <c r="G215" s="16" t="inlineStr">
        <is>
          <t>UI / Functional</t>
        </is>
      </c>
      <c r="H215" s="16" t="inlineStr">
        <is>
          <t>Medium</t>
        </is>
      </c>
      <c r="I215" s="16" t="inlineStr">
        <is>
          <t>Acct Dashboard Non-Financing!A10:H10</t>
        </is>
      </c>
      <c r="J215" s="17" t="inlineStr">
        <is>
          <t>Draft</t>
        </is>
      </c>
    </row>
    <row r="216" ht="289.8" customHeight="1" s="2">
      <c r="A216" s="12" t="inlineStr">
        <is>
          <t>TS-B1-215</t>
        </is>
      </c>
      <c r="B216" s="13" t="inlineStr">
        <is>
          <t>Acct Dashboard Non-Financing</t>
        </is>
      </c>
      <c r="C216" s="13" t="inlineStr">
        <is>
          <t>Dashboard — Deposits</t>
        </is>
      </c>
      <c r="D216" s="13" t="inlineStr">
        <is>
          <t>Giro Multicurrency Account — USD-base</t>
        </is>
      </c>
      <c r="E216" s="13" t="inlineStr">
        <is>
          <t>Validate Step 2 — 1.2 Account Listing (Savings &amp; Current) for Giro Multicurrency Account — USD-base</t>
        </is>
      </c>
      <c r="F216" s="13" t="inlineStr">
        <is>
          <t>Validate the requirement mapped to Step 2 — 1.2 Account Listing (Savings &amp; Current): Step 2 — Giro MCA card visible in Savings &amp; Current listing; balance in USD</t>
        </is>
      </c>
      <c r="G216" s="13" t="inlineStr">
        <is>
          <t>Functional</t>
        </is>
      </c>
      <c r="H216" s="13" t="inlineStr">
        <is>
          <t>Medium</t>
        </is>
      </c>
      <c r="I216" s="13" t="inlineStr">
        <is>
          <t>Acct Dashboard Non-Financing!A11:H11</t>
        </is>
      </c>
      <c r="J216" s="14" t="inlineStr">
        <is>
          <t>Draft</t>
        </is>
      </c>
    </row>
    <row r="217" ht="220.8" customHeight="1" s="2">
      <c r="A217" s="15" t="inlineStr">
        <is>
          <t>TS-B1-216</t>
        </is>
      </c>
      <c r="B217" s="16" t="inlineStr">
        <is>
          <t>Acct Dashboard Non-Financing</t>
        </is>
      </c>
      <c r="C217" s="16" t="inlineStr">
        <is>
          <t>Dashboard — Deposits</t>
        </is>
      </c>
      <c r="D217" s="16" t="inlineStr">
        <is>
          <t>Giro Multicurrency Account — USD-base</t>
        </is>
      </c>
      <c r="E217" s="16" t="inlineStr">
        <is>
          <t>Validate Step 5 — 1.2.1.2 ViewAllTrans for Giro Multicurrency Account — USD-base</t>
        </is>
      </c>
      <c r="F217" s="16" t="inlineStr">
        <is>
          <t>Validate the requirement mapped to Step 5 — 1.2.1.2 ViewAllTrans: Step 5 — Transaction Currency filter applicable</t>
        </is>
      </c>
      <c r="G217" s="16" t="inlineStr">
        <is>
          <t>Functional</t>
        </is>
      </c>
      <c r="H217" s="16" t="inlineStr">
        <is>
          <t>Medium</t>
        </is>
      </c>
      <c r="I217" s="16" t="inlineStr">
        <is>
          <t>Acct Dashboard Non-Financing!A14:H14</t>
        </is>
      </c>
      <c r="J217" s="17" t="inlineStr">
        <is>
          <t>Draft</t>
        </is>
      </c>
    </row>
    <row r="218" ht="207" customHeight="1" s="2">
      <c r="A218" s="12" t="inlineStr">
        <is>
          <t>TS-B1-217</t>
        </is>
      </c>
      <c r="B218" s="13" t="inlineStr">
        <is>
          <t>Acct Dashboard Non-Financing</t>
        </is>
      </c>
      <c r="C218" s="13" t="inlineStr">
        <is>
          <t>Dashboard — Deposits</t>
        </is>
      </c>
      <c r="D218" s="13" t="inlineStr">
        <is>
          <t>Giro Multicurrency Account — USD-base</t>
        </is>
      </c>
      <c r="E218" s="13" t="inlineStr">
        <is>
          <t>Validate Step 6 — 1.2.1.3 ManageLinkedCard for Giro Multicurrency Account — USD-base</t>
        </is>
      </c>
      <c r="F218" s="13" t="inlineStr">
        <is>
          <t>Validate the requirement mapped to Step 6 — 1.2.1.3 ManageLinkedCard: Step 6 — applicable per business rules</t>
        </is>
      </c>
      <c r="G218" s="13" t="inlineStr">
        <is>
          <t>Functional</t>
        </is>
      </c>
      <c r="H218" s="13" t="inlineStr">
        <is>
          <t>Medium</t>
        </is>
      </c>
      <c r="I218" s="13" t="inlineStr">
        <is>
          <t>Acct Dashboard Non-Financing!A15:H15</t>
        </is>
      </c>
      <c r="J218" s="14" t="inlineStr">
        <is>
          <t>Draft</t>
        </is>
      </c>
    </row>
    <row r="219" ht="151.8" customHeight="1" s="2">
      <c r="A219" s="15" t="inlineStr">
        <is>
          <t>TS-B1-218</t>
        </is>
      </c>
      <c r="B219" s="16" t="inlineStr">
        <is>
          <t>Acct Dashboard Non-Financing</t>
        </is>
      </c>
      <c r="C219" s="16" t="inlineStr">
        <is>
          <t>Dashboard — Deposits</t>
        </is>
      </c>
      <c r="D219" s="16" t="inlineStr">
        <is>
          <t>Giro Multicurrency Account — USD-base</t>
        </is>
      </c>
      <c r="E219" s="16" t="inlineStr">
        <is>
          <t>Validate Step 7 — 1.2.1.4 BlockAccount for Giro Multicurrency Account — USD-base</t>
        </is>
      </c>
      <c r="F219" s="16" t="inlineStr">
        <is>
          <t>Validate the requirement mapped to Step 7 — 1.2.1.4 BlockAccount: Step 7</t>
        </is>
      </c>
      <c r="G219" s="16" t="inlineStr">
        <is>
          <t>Functional</t>
        </is>
      </c>
      <c r="H219" s="16" t="inlineStr">
        <is>
          <t>High</t>
        </is>
      </c>
      <c r="I219" s="16" t="inlineStr">
        <is>
          <t>Acct Dashboard Non-Financing!A16:H16</t>
        </is>
      </c>
      <c r="J219" s="17" t="inlineStr">
        <is>
          <t>Draft</t>
        </is>
      </c>
    </row>
    <row r="220" ht="409.6" customHeight="1" s="2">
      <c r="A220" s="12" t="inlineStr">
        <is>
          <t>TS-B1-219</t>
        </is>
      </c>
      <c r="B220" s="13" t="inlineStr">
        <is>
          <t>Acct Dashboard Non-Financing</t>
        </is>
      </c>
      <c r="C220" s="13" t="inlineStr">
        <is>
          <t>Dashboard — Deposits</t>
        </is>
      </c>
      <c r="D220" s="13" t="inlineStr">
        <is>
          <t>Giro Multicurrency Account — USD-base</t>
        </is>
      </c>
      <c r="E220" s="13" t="inlineStr">
        <is>
          <t>Validate Step 17 — 1.2.6.2 View Currency Details for Giro Multicurrency Account — USD-base</t>
        </is>
      </c>
      <c r="F220" s="13" t="inlineStr">
        <is>
          <t>Validate the requirement mapped to Step 17 — 1.2.6.2 View Currency Details: Step 17 — Currency Details reused per 1.2.6.2; USD base has no Manage tab; FCY buckets have Transactions / Summary only (Needs PO/BA clarification — MCA Manage tab scope)</t>
        </is>
      </c>
      <c r="G220" s="13" t="inlineStr">
        <is>
          <t>UI / Functional</t>
        </is>
      </c>
      <c r="H220" s="13" t="inlineStr">
        <is>
          <t>Medium</t>
        </is>
      </c>
      <c r="I220" s="13" t="inlineStr">
        <is>
          <t>Acct Dashboard Non-Financing!A26:H26</t>
        </is>
      </c>
      <c r="J220" s="14" t="inlineStr">
        <is>
          <t>Draft</t>
        </is>
      </c>
    </row>
    <row r="221" ht="409.6" customHeight="1" s="2">
      <c r="A221" s="15" t="inlineStr">
        <is>
          <t>TS-B1-220</t>
        </is>
      </c>
      <c r="B221" s="16" t="inlineStr">
        <is>
          <t>Acct Dashboard Non-Financing</t>
        </is>
      </c>
      <c r="C221" s="16" t="inlineStr">
        <is>
          <t>Dashboard — Deposits</t>
        </is>
      </c>
      <c r="D221" s="16" t="inlineStr">
        <is>
          <t>Giro Multicurrency Account — USD-base</t>
        </is>
      </c>
      <c r="E221" s="16" t="inlineStr">
        <is>
          <t>Validate Step 19 — 1.2.7 Giro Multicurrency Account Details for Giro Multicurrency Account — USD-base</t>
        </is>
      </c>
      <c r="F221" s="16" t="inlineStr">
        <is>
          <t>Validate the requirement mapped to Step 19 — 1.2.7 Giro Multicurrency Account Details: Step 19 — Transactions / Manage tabs; USD base currency; My Currencies (USD first, then latest transacted, then newly added; allowed: USD, SGD, AUD, GBP, EUR, JPY, CNH); overdraft applicable; Manage: Add/Edit Nickname, Set as Primary, Manage Linked Card, Block Account; FCY deposit via branch/ATM auto-displays bucket</t>
        </is>
      </c>
      <c r="G221" s="16" t="inlineStr">
        <is>
          <t>UI / Functional</t>
        </is>
      </c>
      <c r="H221" s="16" t="inlineStr">
        <is>
          <t>High</t>
        </is>
      </c>
      <c r="I221" s="16" t="inlineStr">
        <is>
          <t>Acct Dashboard Non-Financing!A28:H28</t>
        </is>
      </c>
      <c r="J221" s="17" t="inlineStr">
        <is>
          <t>Draft</t>
        </is>
      </c>
    </row>
    <row r="222" ht="303.6" customHeight="1" s="2">
      <c r="A222" s="12" t="inlineStr">
        <is>
          <t>TS-B1-221</t>
        </is>
      </c>
      <c r="B222" s="13" t="inlineStr">
        <is>
          <t>Acct Dashboard Non-Financing</t>
        </is>
      </c>
      <c r="C222" s="13" t="inlineStr">
        <is>
          <t>Dashboard — Deposits</t>
        </is>
      </c>
      <c r="D222" s="13" t="inlineStr">
        <is>
          <t>Giro Multicurrency Account — USD-base</t>
        </is>
      </c>
      <c r="E222" s="13" t="inlineStr">
        <is>
          <t>Validate ViewAllTrans — Transaction History Display Rule for Giro Multicurrency Account — USD-base</t>
        </is>
      </c>
      <c r="F222" s="13" t="inlineStr">
        <is>
          <t>Validate the requirement mapped to ViewAllTrans — Transaction History Display Rule: Transactions tab: latest 10; YTD + last 2 years; ViewAllTrans via sticky hyperlink</t>
        </is>
      </c>
      <c r="G222" s="13" t="inlineStr">
        <is>
          <t>UI / Functional</t>
        </is>
      </c>
      <c r="H222" s="13" t="inlineStr">
        <is>
          <t>Medium</t>
        </is>
      </c>
      <c r="I222" s="13" t="inlineStr">
        <is>
          <t>Acct Dashboard Non-Financing!A40:H40</t>
        </is>
      </c>
      <c r="J222" s="14" t="inlineStr">
        <is>
          <t>Draft</t>
        </is>
      </c>
    </row>
    <row r="223" ht="234.6" customHeight="1" s="2">
      <c r="A223" s="15" t="inlineStr">
        <is>
          <t>TS-B1-222</t>
        </is>
      </c>
      <c r="B223" s="16" t="inlineStr">
        <is>
          <t>Acct Dashboard Non-Financing</t>
        </is>
      </c>
      <c r="C223" s="16" t="inlineStr">
        <is>
          <t>Dashboard — Deposits</t>
        </is>
      </c>
      <c r="D223" s="16" t="inlineStr">
        <is>
          <t>Giro Multicurrency Account — USD-base</t>
        </is>
      </c>
      <c r="E223" s="16" t="inlineStr">
        <is>
          <t>Validate Joint-AND Account Restrictions for Giro Multicurrency Account — USD-base</t>
        </is>
      </c>
      <c r="F223" s="16" t="inlineStr">
        <is>
          <t>Validate the requirement mapped to Joint-AND Account Restrictions: Joint-AND restrictions apply same as CASA per NGBO config</t>
        </is>
      </c>
      <c r="G223" s="16" t="inlineStr">
        <is>
          <t>Functional</t>
        </is>
      </c>
      <c r="H223" s="16" t="inlineStr">
        <is>
          <t>Medium</t>
        </is>
      </c>
      <c r="I223" s="16" t="inlineStr">
        <is>
          <t>Acct Dashboard Non-Financing!A42:H42</t>
        </is>
      </c>
      <c r="J223" s="17" t="inlineStr">
        <is>
          <t>Draft</t>
        </is>
      </c>
    </row>
    <row r="224" ht="179.4" customHeight="1" s="2">
      <c r="A224" s="12" t="inlineStr">
        <is>
          <t>TS-B1-223</t>
        </is>
      </c>
      <c r="B224" s="13" t="inlineStr">
        <is>
          <t>Acct Dashboard Non-Financing</t>
        </is>
      </c>
      <c r="C224" s="13" t="inlineStr">
        <is>
          <t>Dashboard — Deposits</t>
        </is>
      </c>
      <c r="D224" s="13" t="inlineStr">
        <is>
          <t>Giro Multicurrency Account — USD-base</t>
        </is>
      </c>
      <c r="E224" s="13" t="inlineStr">
        <is>
          <t>Validate Business Profile / IBO Disclaimer for Giro Multicurrency Account — USD-base</t>
        </is>
      </c>
      <c r="F224" s="13" t="inlineStr">
        <is>
          <t>Validate the requirement mapped to Business Profile / IBO Disclaimer: Not applicable</t>
        </is>
      </c>
      <c r="G224" s="13" t="inlineStr">
        <is>
          <t>Functional</t>
        </is>
      </c>
      <c r="H224" s="13" t="inlineStr">
        <is>
          <t>Medium</t>
        </is>
      </c>
      <c r="I224" s="13" t="inlineStr">
        <is>
          <t>Acct Dashboard Non-Financing!A43:H43</t>
        </is>
      </c>
      <c r="J224" s="14" t="inlineStr">
        <is>
          <t>Draft</t>
        </is>
      </c>
    </row>
    <row r="225" ht="409.6" customHeight="1" s="2">
      <c r="A225" s="15" t="inlineStr">
        <is>
          <t>TS-B1-224</t>
        </is>
      </c>
      <c r="B225" s="16" t="inlineStr">
        <is>
          <t>Acct Dashboard Non-Financing</t>
        </is>
      </c>
      <c r="C225" s="16" t="inlineStr">
        <is>
          <t>Dashboard — Deposits</t>
        </is>
      </c>
      <c r="D225" s="16" t="inlineStr">
        <is>
          <t>Giro Multicurrency Account — USD-base</t>
        </is>
      </c>
      <c r="E225" s="16" t="inlineStr">
        <is>
          <t>Validate External FSD References for Giro Multicurrency Account — USD-base</t>
        </is>
      </c>
      <c r="F225" s="16" t="inlineStr">
        <is>
          <t>Validate the requirement mapped to External FSD References: Add/Edit Nickname: refer to AD Common FSD; Set as Primary: refer to AD Common FSD; Manage Linked Card: refer to 1.2.1.3; Block Account: refer to 1.2.1.4; View Statements: refer to Document FSD</t>
        </is>
      </c>
      <c r="G225" s="16" t="inlineStr">
        <is>
          <t>Functional</t>
        </is>
      </c>
      <c r="H225" s="16" t="inlineStr">
        <is>
          <t>High</t>
        </is>
      </c>
      <c r="I225" s="16" t="inlineStr">
        <is>
          <t>Acct Dashboard Non-Financing!A45:H45</t>
        </is>
      </c>
      <c r="J225" s="17" t="inlineStr">
        <is>
          <t>Draft</t>
        </is>
      </c>
    </row>
    <row r="226" ht="193.2" customHeight="1" s="2">
      <c r="A226" s="12" t="inlineStr">
        <is>
          <t>TS-B1-225</t>
        </is>
      </c>
      <c r="B226" s="13" t="inlineStr">
        <is>
          <t>Acct Dashboard Non-Financing</t>
        </is>
      </c>
      <c r="C226" s="13" t="inlineStr">
        <is>
          <t>Dashboard — Deposits</t>
        </is>
      </c>
      <c r="D226" s="13" t="inlineStr">
        <is>
          <t>Giro Multicurrency Account — USD-base</t>
        </is>
      </c>
      <c r="E226" s="13" t="inlineStr">
        <is>
          <t>Final status and recovery for Giro Multicurrency Account — USD-base</t>
        </is>
      </c>
      <c r="F226" s="13" t="inlineStr">
        <is>
          <t>Validate successful completion, failure handling, and final-state integrity for Dashboard — Deposits.</t>
        </is>
      </c>
      <c r="G226" s="13" t="inlineStr">
        <is>
          <t>Functional / Negative</t>
        </is>
      </c>
      <c r="H226" s="13" t="inlineStr">
        <is>
          <t>High</t>
        </is>
      </c>
      <c r="I226" s="13" t="inlineStr">
        <is>
          <t>Acct Dashboard Non-Financing!H1:H45</t>
        </is>
      </c>
      <c r="J226" s="14" t="inlineStr">
        <is>
          <t>Draft</t>
        </is>
      </c>
    </row>
    <row r="227" ht="165.6" customHeight="1" s="2">
      <c r="A227" s="15" t="inlineStr">
        <is>
          <t>TS-B1-226</t>
        </is>
      </c>
      <c r="B227" s="16" t="inlineStr">
        <is>
          <t>Acct Dashboard Non-Financing</t>
        </is>
      </c>
      <c r="C227" s="16" t="inlineStr">
        <is>
          <t>Dashboard — Cards</t>
        </is>
      </c>
      <c r="D227" s="16" t="inlineStr">
        <is>
          <t>Debit Card (all product codes per NGBO BIN-PAN mapping)</t>
        </is>
      </c>
      <c r="E227" s="16" t="inlineStr">
        <is>
          <t>Access and open Debit Card (all product codes per NGBO BIN-PAN mapping)</t>
        </is>
      </c>
      <c r="F227" s="16" t="inlineStr">
        <is>
          <t>Validate the configured entry point, customer eligibility, and initial page for Dashboard — Cards.</t>
        </is>
      </c>
      <c r="G227" s="16" t="inlineStr">
        <is>
          <t>Functional</t>
        </is>
      </c>
      <c r="H227" s="16" t="inlineStr">
        <is>
          <t>Medium</t>
        </is>
      </c>
      <c r="I227" s="16" t="inlineStr">
        <is>
          <t>Acct Dashboard Non-Financing!I1:I45</t>
        </is>
      </c>
      <c r="J227" s="17" t="inlineStr">
        <is>
          <t>Draft</t>
        </is>
      </c>
    </row>
    <row r="228" ht="165.6" customHeight="1" s="2">
      <c r="A228" s="12" t="inlineStr">
        <is>
          <t>TS-B1-227</t>
        </is>
      </c>
      <c r="B228" s="13" t="inlineStr">
        <is>
          <t>Acct Dashboard Non-Financing</t>
        </is>
      </c>
      <c r="C228" s="13" t="inlineStr">
        <is>
          <t>Dashboard — Cards</t>
        </is>
      </c>
      <c r="D228" s="13" t="inlineStr">
        <is>
          <t>Debit Card (all product codes per NGBO BIN-PAN mapping)</t>
        </is>
      </c>
      <c r="E228" s="13" t="inlineStr">
        <is>
          <t>Authentication and authorisation for Debit Card (all product codes per NGBO BIN-PAN mapping)</t>
        </is>
      </c>
      <c r="F228" s="13" t="inlineStr">
        <is>
          <t>Validate all authentication requirements stated for Dashboard — Cards.</t>
        </is>
      </c>
      <c r="G228" s="13" t="inlineStr">
        <is>
          <t>Security</t>
        </is>
      </c>
      <c r="H228" s="13" t="inlineStr">
        <is>
          <t>High</t>
        </is>
      </c>
      <c r="I228" s="13" t="inlineStr">
        <is>
          <t>Acct Dashboard Non-Financing!I1:I45</t>
        </is>
      </c>
      <c r="J228" s="14" t="inlineStr">
        <is>
          <t>Draft</t>
        </is>
      </c>
    </row>
    <row r="229" ht="262.2" customHeight="1" s="2">
      <c r="A229" s="15" t="inlineStr">
        <is>
          <t>TS-B1-228</t>
        </is>
      </c>
      <c r="B229" s="16" t="inlineStr">
        <is>
          <t>Acct Dashboard Non-Financing</t>
        </is>
      </c>
      <c r="C229" s="16" t="inlineStr">
        <is>
          <t>Dashboard — Cards</t>
        </is>
      </c>
      <c r="D229" s="16" t="inlineStr">
        <is>
          <t>Debit Card (all product codes per NGBO BIN-PAN mapping)</t>
        </is>
      </c>
      <c r="E229" s="16" t="inlineStr">
        <is>
          <t>Validate Step 1 — 1.1 Account Dashboard Landing for Debit Card (all product codes per NGBO BIN-PAN mapping)</t>
        </is>
      </c>
      <c r="F229" s="16" t="inlineStr">
        <is>
          <t>Validate the requirement mapped to Step 1 — 1.1 Account Dashboard Landing: Step 1 — Cards tab selected (Credit default; inverted if no CC)</t>
        </is>
      </c>
      <c r="G229" s="16" t="inlineStr">
        <is>
          <t>UI / Functional</t>
        </is>
      </c>
      <c r="H229" s="16" t="inlineStr">
        <is>
          <t>Medium</t>
        </is>
      </c>
      <c r="I229" s="16" t="inlineStr">
        <is>
          <t>Acct Dashboard Non-Financing!A10:I10</t>
        </is>
      </c>
      <c r="J229" s="17" t="inlineStr">
        <is>
          <t>Draft</t>
        </is>
      </c>
    </row>
    <row r="230" ht="409.6" customHeight="1" s="2">
      <c r="A230" s="12" t="inlineStr">
        <is>
          <t>TS-B1-229</t>
        </is>
      </c>
      <c r="B230" s="13" t="inlineStr">
        <is>
          <t>Acct Dashboard Non-Financing</t>
        </is>
      </c>
      <c r="C230" s="13" t="inlineStr">
        <is>
          <t>Dashboard — Cards</t>
        </is>
      </c>
      <c r="D230" s="13" t="inlineStr">
        <is>
          <t>Debit Card (all product codes per NGBO BIN-PAN mapping)</t>
        </is>
      </c>
      <c r="E230" s="13" t="inlineStr">
        <is>
          <t>Validate Step 20 — 1.3 Debit Card Dashboard for Debit Card (all product codes per NGBO BIN-PAN mapping)</t>
        </is>
      </c>
      <c r="F230" s="13" t="inlineStr">
        <is>
          <t>Validate the requirement mapped to Step 20 — 1.3 Debit Card Dashboard: Step 20 — Cards tab → Debit Card sub-tab; card listing with image, product name, masked card number, cardholder name, status label; Activate Now button for Pending Activation cards (not clickable otherwise); upsell banner; business profile disclaimer</t>
        </is>
      </c>
      <c r="G230" s="13" t="inlineStr">
        <is>
          <t>UI / Functional</t>
        </is>
      </c>
      <c r="H230" s="13" t="inlineStr">
        <is>
          <t>High</t>
        </is>
      </c>
      <c r="I230" s="13" t="inlineStr">
        <is>
          <t>Acct Dashboard Non-Financing!A29:I29</t>
        </is>
      </c>
      <c r="J230" s="14" t="inlineStr">
        <is>
          <t>Draft</t>
        </is>
      </c>
    </row>
    <row r="231" ht="409.6" customHeight="1" s="2">
      <c r="A231" s="15" t="inlineStr">
        <is>
          <t>TS-B1-230</t>
        </is>
      </c>
      <c r="B231" s="16" t="inlineStr">
        <is>
          <t>Acct Dashboard Non-Financing</t>
        </is>
      </c>
      <c r="C231" s="16" t="inlineStr">
        <is>
          <t>Dashboard — Cards</t>
        </is>
      </c>
      <c r="D231" s="16" t="inlineStr">
        <is>
          <t>Debit Card (all product codes per NGBO BIN-PAN mapping)</t>
        </is>
      </c>
      <c r="E231" s="16" t="inlineStr">
        <is>
          <t>Validate Step 21 — 1.3.1 Card Activation for Debit Card (all product codes per NGBO BIN-PAN mapping)</t>
        </is>
      </c>
      <c r="F231" s="16" t="inlineStr">
        <is>
          <t>Validate the requirement mapped to Step 21 — 1.3.1 Card Activation: Conditional Step 21 — only for Pending Activation cards; Activate Debit Card screen → declaration → Set Debit Card PIN (6-digit, PIN rules) → S2U → Acknowledgement (Activation Successful / Request Unsuccessful / Authorisation Failed)</t>
        </is>
      </c>
      <c r="G231" s="16" t="inlineStr">
        <is>
          <t>Security</t>
        </is>
      </c>
      <c r="H231" s="16" t="inlineStr">
        <is>
          <t>High</t>
        </is>
      </c>
      <c r="I231" s="16" t="inlineStr">
        <is>
          <t>Acct Dashboard Non-Financing!A30:I30</t>
        </is>
      </c>
      <c r="J231" s="17" t="inlineStr">
        <is>
          <t>Draft</t>
        </is>
      </c>
    </row>
    <row r="232" ht="409.6" customHeight="1" s="2">
      <c r="A232" s="12" t="inlineStr">
        <is>
          <t>TS-B1-231</t>
        </is>
      </c>
      <c r="B232" s="13" t="inlineStr">
        <is>
          <t>Acct Dashboard Non-Financing</t>
        </is>
      </c>
      <c r="C232" s="13" t="inlineStr">
        <is>
          <t>Dashboard — Cards</t>
        </is>
      </c>
      <c r="D232" s="13" t="inlineStr">
        <is>
          <t>Debit Card (all product codes per NGBO BIN-PAN mapping)</t>
        </is>
      </c>
      <c r="E232" s="13" t="inlineStr">
        <is>
          <t>Validate Step 22 — 1.3.2 Card Details for Debit Card (all product codes per NGBO BIN-PAN mapping)</t>
        </is>
      </c>
      <c r="F232" s="13" t="inlineStr">
        <is>
          <t>Validate the requirement mapped to Step 22 — 1.3.2 Card Details: Step 22 — card image with status overlay; card product name, number (masked last 4 unmasked), cardholder name, nickname; Add/Edit Nickname; Manage Linked Accounts; Security: Temporarily Block / Unblock, Reset Card PIN, Replace Card; Card Details Quick Action (S2U → 30s countdown drawer with cardholder name, card number, expiry, CVV/CVC — copy to clipboard)</t>
        </is>
      </c>
      <c r="G232" s="13" t="inlineStr">
        <is>
          <t>Security</t>
        </is>
      </c>
      <c r="H232" s="13" t="inlineStr">
        <is>
          <t>High</t>
        </is>
      </c>
      <c r="I232" s="13" t="inlineStr">
        <is>
          <t>Acct Dashboard Non-Financing!A31:I31</t>
        </is>
      </c>
      <c r="J232" s="14" t="inlineStr">
        <is>
          <t>Draft</t>
        </is>
      </c>
    </row>
    <row r="233" ht="409.6" customHeight="1" s="2">
      <c r="A233" s="15" t="inlineStr">
        <is>
          <t>TS-B1-232</t>
        </is>
      </c>
      <c r="B233" s="16" t="inlineStr">
        <is>
          <t>Acct Dashboard Non-Financing</t>
        </is>
      </c>
      <c r="C233" s="16" t="inlineStr">
        <is>
          <t>Dashboard — Cards</t>
        </is>
      </c>
      <c r="D233" s="16" t="inlineStr">
        <is>
          <t>Debit Card (all product codes per NGBO BIN-PAN mapping)</t>
        </is>
      </c>
      <c r="E233" s="16" t="inlineStr">
        <is>
          <t>Validate Step 23 — 1.3.2.1 Linked Accounts for Debit Card (all product codes per NGBO BIN-PAN mapping)</t>
        </is>
      </c>
      <c r="F233" s="16" t="inlineStr">
        <is>
          <t>Validate the requirement mapped to Step 23 — 1.3.2.1 Linked Accounts: Step 23 — view / add / remove linked accounts (max 8); set default account (IDR accounts only; S2U required for default change); Available Accounts filtered by BIN-PAN NGBO mapping; GAA card shows only GAA accounts; non-GAA card excludes GAA accounts; Confirmation → S2U → Acknowledgement (Linked Accounts Updated / Unsuccessful / Auth Failed)</t>
        </is>
      </c>
      <c r="G233" s="16" t="inlineStr">
        <is>
          <t>Negative</t>
        </is>
      </c>
      <c r="H233" s="16" t="inlineStr">
        <is>
          <t>High</t>
        </is>
      </c>
      <c r="I233" s="16" t="inlineStr">
        <is>
          <t>Acct Dashboard Non-Financing!A32:I32</t>
        </is>
      </c>
      <c r="J233" s="17" t="inlineStr">
        <is>
          <t>Draft</t>
        </is>
      </c>
    </row>
    <row r="234" ht="409.6" customHeight="1" s="2">
      <c r="A234" s="12" t="inlineStr">
        <is>
          <t>TS-B1-233</t>
        </is>
      </c>
      <c r="B234" s="13" t="inlineStr">
        <is>
          <t>Acct Dashboard Non-Financing</t>
        </is>
      </c>
      <c r="C234" s="13" t="inlineStr">
        <is>
          <t>Dashboard — Cards</t>
        </is>
      </c>
      <c r="D234" s="13" t="inlineStr">
        <is>
          <t>Debit Card (all product codes per NGBO BIN-PAN mapping)</t>
        </is>
      </c>
      <c r="E234" s="13" t="inlineStr">
        <is>
          <t>Validate Step 24 — 1.3.2.2 Reset Card PIN for Debit Card (all product codes per NGBO BIN-PAN mapping)</t>
        </is>
      </c>
      <c r="F234" s="13" t="inlineStr">
        <is>
          <t>Validate the requirement mapped to Step 24 — 1.3.2.2 Reset Card PIN: Step 24 — New PIN + Confirm PIN (6-digit, PIN rules); S2U → Acknowledgement (Card PIN Updated / Request Unsuccessful / Auth Failed); max 3 resets per day (NGBO-configurable)</t>
        </is>
      </c>
      <c r="G234" s="13" t="inlineStr">
        <is>
          <t>Negative</t>
        </is>
      </c>
      <c r="H234" s="13" t="inlineStr">
        <is>
          <t>High</t>
        </is>
      </c>
      <c r="I234" s="13" t="inlineStr">
        <is>
          <t>Acct Dashboard Non-Financing!A33:I33</t>
        </is>
      </c>
      <c r="J234" s="14" t="inlineStr">
        <is>
          <t>Draft</t>
        </is>
      </c>
    </row>
    <row r="235" ht="409.6" customHeight="1" s="2">
      <c r="A235" s="15" t="inlineStr">
        <is>
          <t>TS-B1-234</t>
        </is>
      </c>
      <c r="B235" s="16" t="inlineStr">
        <is>
          <t>Acct Dashboard Non-Financing</t>
        </is>
      </c>
      <c r="C235" s="16" t="inlineStr">
        <is>
          <t>Dashboard — Cards</t>
        </is>
      </c>
      <c r="D235" s="16" t="inlineStr">
        <is>
          <t>Debit Card (all product codes per NGBO BIN-PAN mapping)</t>
        </is>
      </c>
      <c r="E235" s="16" t="inlineStr">
        <is>
          <t>Validate Step 25 — 1.3.2.3 Block &amp; Unblock Card for Debit Card (all product codes per NGBO BIN-PAN mapping)</t>
        </is>
      </c>
      <c r="F235" s="16" t="inlineStr">
        <is>
          <t>Validate the requirement mapped to Step 25 — 1.3.2.3 Block &amp; Unblock Card: Step 25 — Temporarily Block: pop-up → S2U → Card Temporarily Blocked / Unsuccessful / Auth Failed; Unblock Card: direct S2U → Card Unblocked / Unsuccessful / Auth Failed; Blocked (bank-blocked) card: Temporarily Block greyed and disabled</t>
        </is>
      </c>
      <c r="G235" s="16" t="inlineStr">
        <is>
          <t>Negative</t>
        </is>
      </c>
      <c r="H235" s="16" t="inlineStr">
        <is>
          <t>High</t>
        </is>
      </c>
      <c r="I235" s="16" t="inlineStr">
        <is>
          <t>Acct Dashboard Non-Financing!A34:I34</t>
        </is>
      </c>
      <c r="J235" s="17" t="inlineStr">
        <is>
          <t>Draft</t>
        </is>
      </c>
    </row>
    <row r="236" ht="409.6" customHeight="1" s="2">
      <c r="A236" s="12" t="inlineStr">
        <is>
          <t>TS-B1-235</t>
        </is>
      </c>
      <c r="B236" s="13" t="inlineStr">
        <is>
          <t>Acct Dashboard Non-Financing</t>
        </is>
      </c>
      <c r="C236" s="13" t="inlineStr">
        <is>
          <t>Dashboard — Cards</t>
        </is>
      </c>
      <c r="D236" s="13" t="inlineStr">
        <is>
          <t>Debit Card (all product codes per NGBO BIN-PAN mapping)</t>
        </is>
      </c>
      <c r="E236" s="13" t="inlineStr">
        <is>
          <t>Validate Step 26 — 1.3.2.4 Replace Card for Debit Card (all product codes per NGBO BIN-PAN mapping)</t>
        </is>
      </c>
      <c r="F236" s="13" t="inlineStr">
        <is>
          <t>Validate the requirement mapped to Step 26 — 1.3.2.4 Replace Card: Step 26 — Select Replacement Method (Deliver to address / Collect at branch) → Replace Card screen (disclaimer, mailing address) → Optional Change Mailing Address → Confirmation → S2U → Acknowledgement; charge rule: free if expiring within 3 months; replacement fee otherwise; Collect at branch: QR code generated (UUID v4, 24h expiry, invalidated on branch scan); card remains active until new card activated</t>
        </is>
      </c>
      <c r="G236" s="13" t="inlineStr">
        <is>
          <t>Negative</t>
        </is>
      </c>
      <c r="H236" s="13" t="inlineStr">
        <is>
          <t>Medium</t>
        </is>
      </c>
      <c r="I236" s="13" t="inlineStr">
        <is>
          <t>Acct Dashboard Non-Financing!A35:I35</t>
        </is>
      </c>
      <c r="J236" s="14" t="inlineStr">
        <is>
          <t>Draft</t>
        </is>
      </c>
    </row>
    <row r="237" ht="220.8" customHeight="1" s="2">
      <c r="A237" s="15" t="inlineStr">
        <is>
          <t>TS-B1-236</t>
        </is>
      </c>
      <c r="B237" s="16" t="inlineStr">
        <is>
          <t>Acct Dashboard Non-Financing</t>
        </is>
      </c>
      <c r="C237" s="16" t="inlineStr">
        <is>
          <t>Dashboard — Cards</t>
        </is>
      </c>
      <c r="D237" s="16" t="inlineStr">
        <is>
          <t>Debit Card (all product codes per NGBO BIN-PAN mapping)</t>
        </is>
      </c>
      <c r="E237" s="16" t="inlineStr">
        <is>
          <t>Validate ViewAllTrans — Transaction History Display Rule for Debit Card (all product codes per NGBO BIN-PAN mapping)</t>
        </is>
      </c>
      <c r="F237" s="16" t="inlineStr">
        <is>
          <t>Validate the requirement mapped to ViewAllTrans — Transaction History Display Rule: Not applicable</t>
        </is>
      </c>
      <c r="G237" s="16" t="inlineStr">
        <is>
          <t>UI / Functional</t>
        </is>
      </c>
      <c r="H237" s="16" t="inlineStr">
        <is>
          <t>Medium</t>
        </is>
      </c>
      <c r="I237" s="16" t="inlineStr">
        <is>
          <t>Acct Dashboard Non-Financing!A40:I40</t>
        </is>
      </c>
      <c r="J237" s="17" t="inlineStr">
        <is>
          <t>Draft</t>
        </is>
      </c>
    </row>
    <row r="238" ht="234.6" customHeight="1" s="2">
      <c r="A238" s="12" t="inlineStr">
        <is>
          <t>TS-B1-237</t>
        </is>
      </c>
      <c r="B238" s="13" t="inlineStr">
        <is>
          <t>Acct Dashboard Non-Financing</t>
        </is>
      </c>
      <c r="C238" s="13" t="inlineStr">
        <is>
          <t>Dashboard — Cards</t>
        </is>
      </c>
      <c r="D238" s="13" t="inlineStr">
        <is>
          <t>Debit Card (all product codes per NGBO BIN-PAN mapping)</t>
        </is>
      </c>
      <c r="E238" s="13" t="inlineStr">
        <is>
          <t>Validate Sorting / Display Order for Debit Card (all product codes per NGBO BIN-PAN mapping)</t>
        </is>
      </c>
      <c r="F238" s="13" t="inlineStr">
        <is>
          <t>Validate the requirement mapped to Sorting / Display Order: Debit cards sorted per Common worksheet (refer to Common FSD)</t>
        </is>
      </c>
      <c r="G238" s="13" t="inlineStr">
        <is>
          <t>UI / Functional</t>
        </is>
      </c>
      <c r="H238" s="13" t="inlineStr">
        <is>
          <t>Medium</t>
        </is>
      </c>
      <c r="I238" s="13" t="inlineStr">
        <is>
          <t>Acct Dashboard Non-Financing!A41:I41</t>
        </is>
      </c>
      <c r="J238" s="14" t="inlineStr">
        <is>
          <t>Draft</t>
        </is>
      </c>
    </row>
    <row r="239" ht="193.2" customHeight="1" s="2">
      <c r="A239" s="15" t="inlineStr">
        <is>
          <t>TS-B1-238</t>
        </is>
      </c>
      <c r="B239" s="16" t="inlineStr">
        <is>
          <t>Acct Dashboard Non-Financing</t>
        </is>
      </c>
      <c r="C239" s="16" t="inlineStr">
        <is>
          <t>Dashboard — Cards</t>
        </is>
      </c>
      <c r="D239" s="16" t="inlineStr">
        <is>
          <t>Debit Card (all product codes per NGBO BIN-PAN mapping)</t>
        </is>
      </c>
      <c r="E239" s="16" t="inlineStr">
        <is>
          <t>Validate Joint-AND Account Restrictions for Debit Card (all product codes per NGBO BIN-PAN mapping)</t>
        </is>
      </c>
      <c r="F239" s="16" t="inlineStr">
        <is>
          <t>Validate the requirement mapped to Joint-AND Account Restrictions: Not applicable at card level</t>
        </is>
      </c>
      <c r="G239" s="16" t="inlineStr">
        <is>
          <t>Functional</t>
        </is>
      </c>
      <c r="H239" s="16" t="inlineStr">
        <is>
          <t>Medium</t>
        </is>
      </c>
      <c r="I239" s="16" t="inlineStr">
        <is>
          <t>Acct Dashboard Non-Financing!A42:I42</t>
        </is>
      </c>
      <c r="J239" s="17" t="inlineStr">
        <is>
          <t>Draft</t>
        </is>
      </c>
    </row>
    <row r="240" ht="331.2" customHeight="1" s="2">
      <c r="A240" s="12" t="inlineStr">
        <is>
          <t>TS-B1-239</t>
        </is>
      </c>
      <c r="B240" s="13" t="inlineStr">
        <is>
          <t>Acct Dashboard Non-Financing</t>
        </is>
      </c>
      <c r="C240" s="13" t="inlineStr">
        <is>
          <t>Dashboard — Cards</t>
        </is>
      </c>
      <c r="D240" s="13" t="inlineStr">
        <is>
          <t>Debit Card (all product codes per NGBO BIN-PAN mapping)</t>
        </is>
      </c>
      <c r="E240" s="13" t="inlineStr">
        <is>
          <t>Validate Business Profile / IBO Disclaimer for Debit Card (all product codes per NGBO BIN-PAN mapping)</t>
        </is>
      </c>
      <c r="F240" s="13" t="inlineStr">
        <is>
          <t>Validate the requirement mapped to Business Profile / IBO Disclaimer: Disclaimer box displayed if business profile set up; upon IBO: only personal cards displayed</t>
        </is>
      </c>
      <c r="G240" s="13" t="inlineStr">
        <is>
          <t>UI / Functional</t>
        </is>
      </c>
      <c r="H240" s="13" t="inlineStr">
        <is>
          <t>Medium</t>
        </is>
      </c>
      <c r="I240" s="13" t="inlineStr">
        <is>
          <t>Acct Dashboard Non-Financing!A43:I43</t>
        </is>
      </c>
      <c r="J240" s="14" t="inlineStr">
        <is>
          <t>Draft</t>
        </is>
      </c>
    </row>
    <row r="241" ht="409.6" customHeight="1" s="2">
      <c r="A241" s="15" t="inlineStr">
        <is>
          <t>TS-B1-240</t>
        </is>
      </c>
      <c r="B241" s="16" t="inlineStr">
        <is>
          <t>Acct Dashboard Non-Financing</t>
        </is>
      </c>
      <c r="C241" s="16" t="inlineStr">
        <is>
          <t>Dashboard — Cards</t>
        </is>
      </c>
      <c r="D241" s="16" t="inlineStr">
        <is>
          <t>Debit Card (all product codes per NGBO BIN-PAN mapping)</t>
        </is>
      </c>
      <c r="E241" s="16" t="inlineStr">
        <is>
          <t>Validate Notification Triggers for Debit Card (all product codes per NGBO BIN-PAN mapping)</t>
        </is>
      </c>
      <c r="F241" s="16" t="inlineStr">
        <is>
          <t>Validate the requirement mapped to Notification Triggers: Card Activation: SMS + Email + PN (success only, no failure notification); Reset Card PIN: success → SMS + Email + PN; failure → Email + PN; Block/Unblock Card: success → SMS + Email + PN; failure → Email only; Replace Card: SMS + Email + PN; Linked Accounts: Email + PN</t>
        </is>
      </c>
      <c r="G241" s="16" t="inlineStr">
        <is>
          <t>Functional</t>
        </is>
      </c>
      <c r="H241" s="16" t="inlineStr">
        <is>
          <t>High</t>
        </is>
      </c>
      <c r="I241" s="16" t="inlineStr">
        <is>
          <t>Acct Dashboard Non-Financing!A44:I44</t>
        </is>
      </c>
      <c r="J241" s="17" t="inlineStr">
        <is>
          <t>Draft</t>
        </is>
      </c>
    </row>
    <row r="242" ht="409.6" customHeight="1" s="2">
      <c r="A242" s="12" t="inlineStr">
        <is>
          <t>TS-B1-241</t>
        </is>
      </c>
      <c r="B242" s="13" t="inlineStr">
        <is>
          <t>Acct Dashboard Non-Financing</t>
        </is>
      </c>
      <c r="C242" s="13" t="inlineStr">
        <is>
          <t>Dashboard — Cards</t>
        </is>
      </c>
      <c r="D242" s="13" t="inlineStr">
        <is>
          <t>Debit Card (all product codes per NGBO BIN-PAN mapping)</t>
        </is>
      </c>
      <c r="E242" s="13" t="inlineStr">
        <is>
          <t>Validate External FSD References for Debit Card (all product codes per NGBO BIN-PAN mapping)</t>
        </is>
      </c>
      <c r="F242" s="13" t="inlineStr">
        <is>
          <t>Validate the requirement mapped to External FSD References: Card Activation declaration: refer to NGBO; Apply Debit Card: refer to Apply STP Non Financing FSD; Card Replacement — QR branch collection: refer to Apply NF FSD; S2U: refer to A&amp;A FSD; Authorisation Failed: refer to Common FSD; Masking: refer to Common FSD; CTA Share &amp; Done: refer to Common FSD; Edit Function: refer to Common FSD</t>
        </is>
      </c>
      <c r="G242" s="13" t="inlineStr">
        <is>
          <t>Security</t>
        </is>
      </c>
      <c r="H242" s="13" t="inlineStr">
        <is>
          <t>High</t>
        </is>
      </c>
      <c r="I242" s="13" t="inlineStr">
        <is>
          <t>Acct Dashboard Non-Financing!A45:I45</t>
        </is>
      </c>
      <c r="J242" s="14" t="inlineStr">
        <is>
          <t>Draft</t>
        </is>
      </c>
    </row>
    <row r="243" ht="193.2" customHeight="1" s="2">
      <c r="A243" s="15" t="inlineStr">
        <is>
          <t>TS-B1-242</t>
        </is>
      </c>
      <c r="B243" s="16" t="inlineStr">
        <is>
          <t>Acct Dashboard Non-Financing</t>
        </is>
      </c>
      <c r="C243" s="16" t="inlineStr">
        <is>
          <t>Dashboard — Cards</t>
        </is>
      </c>
      <c r="D243" s="16" t="inlineStr">
        <is>
          <t>Debit Card (all product codes per NGBO BIN-PAN mapping)</t>
        </is>
      </c>
      <c r="E243" s="16" t="inlineStr">
        <is>
          <t>Final status and recovery for Debit Card (all product codes per NGBO BIN-PAN mapping)</t>
        </is>
      </c>
      <c r="F243" s="16" t="inlineStr">
        <is>
          <t>Validate successful completion, failure handling, and final-state integrity for Dashboard — Cards.</t>
        </is>
      </c>
      <c r="G243" s="16" t="inlineStr">
        <is>
          <t>Functional / Negative</t>
        </is>
      </c>
      <c r="H243" s="16" t="inlineStr">
        <is>
          <t>High</t>
        </is>
      </c>
      <c r="I243" s="16" t="inlineStr">
        <is>
          <t>Acct Dashboard Non-Financing!I1:I45</t>
        </is>
      </c>
      <c r="J243" s="17" t="inlineStr">
        <is>
          <t>Draft</t>
        </is>
      </c>
    </row>
    <row r="244" ht="179.4" customHeight="1" s="2">
      <c r="A244" s="12" t="inlineStr">
        <is>
          <t>TS-B1-243</t>
        </is>
      </c>
      <c r="B244" s="13" t="inlineStr">
        <is>
          <t>Acct Dashboard Non-Financing</t>
        </is>
      </c>
      <c r="C244" s="13" t="inlineStr">
        <is>
          <t>Dashboard — Insurance</t>
        </is>
      </c>
      <c r="D244" s="13" t="inlineStr">
        <is>
          <t>Health insurance; Life with Unit Link; Life Traditional (Takaful inclusive)</t>
        </is>
      </c>
      <c r="E244" s="13" t="inlineStr">
        <is>
          <t>Access and open Health insurance; Life with Unit Link; Life Traditional (Takaful inclusive)</t>
        </is>
      </c>
      <c r="F244" s="13" t="inlineStr">
        <is>
          <t>Validate the configured entry point, customer eligibility, and initial page for Dashboard — Insurance.</t>
        </is>
      </c>
      <c r="G244" s="13" t="inlineStr">
        <is>
          <t>Functional</t>
        </is>
      </c>
      <c r="H244" s="13" t="inlineStr">
        <is>
          <t>Medium</t>
        </is>
      </c>
      <c r="I244" s="13" t="inlineStr">
        <is>
          <t>Acct Dashboard Non-Financing!J1:J45</t>
        </is>
      </c>
      <c r="J244" s="14" t="inlineStr">
        <is>
          <t>Draft</t>
        </is>
      </c>
    </row>
    <row r="245" ht="179.4" customHeight="1" s="2">
      <c r="A245" s="15" t="inlineStr">
        <is>
          <t>TS-B1-244</t>
        </is>
      </c>
      <c r="B245" s="16" t="inlineStr">
        <is>
          <t>Acct Dashboard Non-Financing</t>
        </is>
      </c>
      <c r="C245" s="16" t="inlineStr">
        <is>
          <t>Dashboard — Insurance</t>
        </is>
      </c>
      <c r="D245" s="16" t="inlineStr">
        <is>
          <t>Health insurance; Life with Unit Link; Life Traditional (Takaful inclusive)</t>
        </is>
      </c>
      <c r="E245" s="16" t="inlineStr">
        <is>
          <t>Authentication and authorisation for Health insurance; Life with Unit Link; Life Traditional (Takaful inclusive)</t>
        </is>
      </c>
      <c r="F245" s="16" t="inlineStr">
        <is>
          <t>Validate all authentication requirements stated for Dashboard — Insurance.</t>
        </is>
      </c>
      <c r="G245" s="16" t="inlineStr">
        <is>
          <t>Security</t>
        </is>
      </c>
      <c r="H245" s="16" t="inlineStr">
        <is>
          <t>High</t>
        </is>
      </c>
      <c r="I245" s="16" t="inlineStr">
        <is>
          <t>Acct Dashboard Non-Financing!J1:J45</t>
        </is>
      </c>
      <c r="J245" s="17" t="inlineStr">
        <is>
          <t>Draft</t>
        </is>
      </c>
    </row>
    <row r="246" ht="220.8" customHeight="1" s="2">
      <c r="A246" s="12" t="inlineStr">
        <is>
          <t>TS-B1-245</t>
        </is>
      </c>
      <c r="B246" s="13" t="inlineStr">
        <is>
          <t>Acct Dashboard Non-Financing</t>
        </is>
      </c>
      <c r="C246" s="13" t="inlineStr">
        <is>
          <t>Dashboard — Insurance</t>
        </is>
      </c>
      <c r="D246" s="13" t="inlineStr">
        <is>
          <t>Health insurance; Life with Unit Link; Life Traditional (Takaful inclusive)</t>
        </is>
      </c>
      <c r="E246" s="13" t="inlineStr">
        <is>
          <t>Validate Step 1 — 1.1 Account Dashboard Landing for Health insurance; Life with Unit Link; Life Traditional (Takaful inclusive)</t>
        </is>
      </c>
      <c r="F246" s="13" t="inlineStr">
        <is>
          <t>Validate the requirement mapped to Step 1 — 1.1 Account Dashboard Landing: Step 1 — Insurance/Takaful tab selected</t>
        </is>
      </c>
      <c r="G246" s="13" t="inlineStr">
        <is>
          <t>UI / Functional</t>
        </is>
      </c>
      <c r="H246" s="13" t="inlineStr">
        <is>
          <t>Medium</t>
        </is>
      </c>
      <c r="I246" s="13" t="inlineStr">
        <is>
          <t>Acct Dashboard Non-Financing!A10:J10</t>
        </is>
      </c>
      <c r="J246" s="14" t="inlineStr">
        <is>
          <t>Draft</t>
        </is>
      </c>
    </row>
    <row r="247" ht="409.6" customHeight="1" s="2">
      <c r="A247" s="15" t="inlineStr">
        <is>
          <t>TS-B1-246</t>
        </is>
      </c>
      <c r="B247" s="16" t="inlineStr">
        <is>
          <t>Acct Dashboard Non-Financing</t>
        </is>
      </c>
      <c r="C247" s="16" t="inlineStr">
        <is>
          <t>Dashboard — Insurance</t>
        </is>
      </c>
      <c r="D247" s="16" t="inlineStr">
        <is>
          <t>Health insurance; Life with Unit Link; Life Traditional (Takaful inclusive)</t>
        </is>
      </c>
      <c r="E247" s="16" t="inlineStr">
        <is>
          <t>Validate Step 27 — 1.4 Insurance Dashboard for Health insurance; Life with Unit Link; Life Traditional (Takaful inclusive)</t>
        </is>
      </c>
      <c r="F247" s="16" t="inlineStr">
        <is>
          <t>Validate the requirement mapped to Step 27 — 1.4 Insurance Dashboard: Step 27 — Insurance/Takaful tab; policy cards (product name, nickname defaulting to policyholder name, policy number, status label, type label Traditional/Unit Link); Total Investment-linked Value displayed only if Unit Link products present (with/without '≈' per IDR/FCY); Eye Icon to mask/unmask investment values; upsell banner</t>
        </is>
      </c>
      <c r="G247" s="16" t="inlineStr">
        <is>
          <t>UI / Functional</t>
        </is>
      </c>
      <c r="H247" s="16" t="inlineStr">
        <is>
          <t>Medium</t>
        </is>
      </c>
      <c r="I247" s="16" t="inlineStr">
        <is>
          <t>Acct Dashboard Non-Financing!A36:J36</t>
        </is>
      </c>
      <c r="J247" s="17" t="inlineStr">
        <is>
          <t>Draft</t>
        </is>
      </c>
    </row>
    <row r="248" ht="409.6" customHeight="1" s="2">
      <c r="A248" s="12" t="inlineStr">
        <is>
          <t>TS-B1-247</t>
        </is>
      </c>
      <c r="B248" s="13" t="inlineStr">
        <is>
          <t>Acct Dashboard Non-Financing</t>
        </is>
      </c>
      <c r="C248" s="13" t="inlineStr">
        <is>
          <t>Dashboard — Insurance</t>
        </is>
      </c>
      <c r="D248" s="13" t="inlineStr">
        <is>
          <t>Health insurance; Life with Unit Link; Life Traditional (Takaful inclusive)</t>
        </is>
      </c>
      <c r="E248" s="13" t="inlineStr">
        <is>
          <t>Validate Step 28 — 1.4.1 Health for Health insurance; Life with Unit Link; Life Traditional (Takaful inclusive)</t>
        </is>
      </c>
      <c r="F248" s="13" t="inlineStr">
        <is>
          <t>Validate the requirement mapped to Step 28 — 1.4.1 Health: Conditional Step 28 — for Health policies; Summary / Manage tabs; policy identification, coverage period, premium details (sum assured, basic premium, payment frequency), next payment date, claim procedure (PDF viewer / in-app webview), product and service information summary; Policy Status Guide drawer; Edit Nickname (Manage tab)</t>
        </is>
      </c>
      <c r="G248" s="13" t="inlineStr">
        <is>
          <t>UI / Functional</t>
        </is>
      </c>
      <c r="H248" s="13" t="inlineStr">
        <is>
          <t>High</t>
        </is>
      </c>
      <c r="I248" s="13" t="inlineStr">
        <is>
          <t>Acct Dashboard Non-Financing!A37:J37</t>
        </is>
      </c>
      <c r="J248" s="14" t="inlineStr">
        <is>
          <t>Draft</t>
        </is>
      </c>
    </row>
    <row r="249" ht="409.6" customHeight="1" s="2">
      <c r="A249" s="15" t="inlineStr">
        <is>
          <t>TS-B1-248</t>
        </is>
      </c>
      <c r="B249" s="16" t="inlineStr">
        <is>
          <t>Acct Dashboard Non-Financing</t>
        </is>
      </c>
      <c r="C249" s="16" t="inlineStr">
        <is>
          <t>Dashboard — Insurance</t>
        </is>
      </c>
      <c r="D249" s="16" t="inlineStr">
        <is>
          <t>Health insurance; Life with Unit Link; Life Traditional (Takaful inclusive)</t>
        </is>
      </c>
      <c r="E249" s="16" t="inlineStr">
        <is>
          <t>Validate Step 29 — 1.4.2 Life with UnitLink for Health insurance; Life with Unit Link; Life Traditional (Takaful inclusive)</t>
        </is>
      </c>
      <c r="F249" s="16" t="inlineStr">
        <is>
          <t>Validate the requirement mapped to Step 29 — 1.4.2 Life with UnitLink: Conditional Step 29 — for Life Unit Link policies; Summary / Manage tabs; Fund Holdings section (Show all n &gt;; fund name, units, NAV as of today, investment value per fund; max 2 shown on main screen); policy identification, coverage period, premium details, total premium paid, next/last payment dates, claim procedure, product info summary; Edit Nickname (Manage tab)</t>
        </is>
      </c>
      <c r="G249" s="16" t="inlineStr">
        <is>
          <t>UI / Functional</t>
        </is>
      </c>
      <c r="H249" s="16" t="inlineStr">
        <is>
          <t>High</t>
        </is>
      </c>
      <c r="I249" s="16" t="inlineStr">
        <is>
          <t>Acct Dashboard Non-Financing!A38:J38</t>
        </is>
      </c>
      <c r="J249" s="17" t="inlineStr">
        <is>
          <t>Draft</t>
        </is>
      </c>
    </row>
    <row r="250" ht="409.6" customHeight="1" s="2">
      <c r="A250" s="12" t="inlineStr">
        <is>
          <t>TS-B1-249</t>
        </is>
      </c>
      <c r="B250" s="13" t="inlineStr">
        <is>
          <t>Acct Dashboard Non-Financing</t>
        </is>
      </c>
      <c r="C250" s="13" t="inlineStr">
        <is>
          <t>Dashboard — Insurance</t>
        </is>
      </c>
      <c r="D250" s="13" t="inlineStr">
        <is>
          <t>Health insurance; Life with Unit Link; Life Traditional (Takaful inclusive)</t>
        </is>
      </c>
      <c r="E250" s="13" t="inlineStr">
        <is>
          <t>Validate Step 30 — 1.4.3 Life Traditional for Health insurance; Life with Unit Link; Life Traditional (Takaful inclusive)</t>
        </is>
      </c>
      <c r="F250" s="13" t="inlineStr">
        <is>
          <t>Validate the requirement mapped to Step 30 — 1.4.3 Life Traditional: Conditional Step 30 — for Life Traditional policies; Summary / Manage tabs; policy identification, coverage period, premium details, total premium paid, next/last payment dates, claim procedure, product info summary; Edit Nickname (Manage tab); no fund holdings section</t>
        </is>
      </c>
      <c r="G250" s="13" t="inlineStr">
        <is>
          <t>UI / Functional</t>
        </is>
      </c>
      <c r="H250" s="13" t="inlineStr">
        <is>
          <t>High</t>
        </is>
      </c>
      <c r="I250" s="13" t="inlineStr">
        <is>
          <t>Acct Dashboard Non-Financing!A39:J39</t>
        </is>
      </c>
      <c r="J250" s="14" t="inlineStr">
        <is>
          <t>Draft</t>
        </is>
      </c>
    </row>
    <row r="251" ht="234.6" customHeight="1" s="2">
      <c r="A251" s="15" t="inlineStr">
        <is>
          <t>TS-B1-250</t>
        </is>
      </c>
      <c r="B251" s="16" t="inlineStr">
        <is>
          <t>Acct Dashboard Non-Financing</t>
        </is>
      </c>
      <c r="C251" s="16" t="inlineStr">
        <is>
          <t>Dashboard — Insurance</t>
        </is>
      </c>
      <c r="D251" s="16" t="inlineStr">
        <is>
          <t>Health insurance; Life with Unit Link; Life Traditional (Takaful inclusive)</t>
        </is>
      </c>
      <c r="E251" s="16" t="inlineStr">
        <is>
          <t>Validate ViewAllTrans — Transaction History Display Rule for Health insurance; Life with Unit Link; Life Traditional (Takaful inclusive)</t>
        </is>
      </c>
      <c r="F251" s="16" t="inlineStr">
        <is>
          <t>Validate the requirement mapped to ViewAllTrans — Transaction History Display Rule: Not applicable</t>
        </is>
      </c>
      <c r="G251" s="16" t="inlineStr">
        <is>
          <t>UI / Functional</t>
        </is>
      </c>
      <c r="H251" s="16" t="inlineStr">
        <is>
          <t>Medium</t>
        </is>
      </c>
      <c r="I251" s="16" t="inlineStr">
        <is>
          <t>Acct Dashboard Non-Financing!A40:J40</t>
        </is>
      </c>
      <c r="J251" s="17" t="inlineStr">
        <is>
          <t>Draft</t>
        </is>
      </c>
    </row>
    <row r="252" ht="317.4" customHeight="1" s="2">
      <c r="A252" s="12" t="inlineStr">
        <is>
          <t>TS-B1-251</t>
        </is>
      </c>
      <c r="B252" s="13" t="inlineStr">
        <is>
          <t>Acct Dashboard Non-Financing</t>
        </is>
      </c>
      <c r="C252" s="13" t="inlineStr">
        <is>
          <t>Dashboard — Insurance</t>
        </is>
      </c>
      <c r="D252" s="13" t="inlineStr">
        <is>
          <t>Health insurance; Life with Unit Link; Life Traditional (Takaful inclusive)</t>
        </is>
      </c>
      <c r="E252" s="13" t="inlineStr">
        <is>
          <t>Validate Sorting / Display Order for Health insurance; Life with Unit Link; Life Traditional (Takaful inclusive)</t>
        </is>
      </c>
      <c r="F252" s="13" t="inlineStr">
        <is>
          <t>Validate the requirement mapped to Sorting / Display Order: Policies sorted per Insurance Dashboard rules — Needs PO/BA clarification (no explicit sort rule stated in this FSD)</t>
        </is>
      </c>
      <c r="G252" s="13" t="inlineStr">
        <is>
          <t>UI / Functional</t>
        </is>
      </c>
      <c r="H252" s="13" t="inlineStr">
        <is>
          <t>Medium</t>
        </is>
      </c>
      <c r="I252" s="13" t="inlineStr">
        <is>
          <t>Acct Dashboard Non-Financing!A41:J41</t>
        </is>
      </c>
      <c r="J252" s="14" t="inlineStr">
        <is>
          <t>Draft</t>
        </is>
      </c>
    </row>
    <row r="253" ht="207" customHeight="1" s="2">
      <c r="A253" s="15" t="inlineStr">
        <is>
          <t>TS-B1-252</t>
        </is>
      </c>
      <c r="B253" s="16" t="inlineStr">
        <is>
          <t>Acct Dashboard Non-Financing</t>
        </is>
      </c>
      <c r="C253" s="16" t="inlineStr">
        <is>
          <t>Dashboard — Insurance</t>
        </is>
      </c>
      <c r="D253" s="16" t="inlineStr">
        <is>
          <t>Health insurance; Life with Unit Link; Life Traditional (Takaful inclusive)</t>
        </is>
      </c>
      <c r="E253" s="16" t="inlineStr">
        <is>
          <t>Validate Joint-AND Account Restrictions for Health insurance; Life with Unit Link; Life Traditional (Takaful inclusive)</t>
        </is>
      </c>
      <c r="F253" s="16" t="inlineStr">
        <is>
          <t>Validate the requirement mapped to Joint-AND Account Restrictions: Not applicable</t>
        </is>
      </c>
      <c r="G253" s="16" t="inlineStr">
        <is>
          <t>Functional</t>
        </is>
      </c>
      <c r="H253" s="16" t="inlineStr">
        <is>
          <t>Medium</t>
        </is>
      </c>
      <c r="I253" s="16" t="inlineStr">
        <is>
          <t>Acct Dashboard Non-Financing!A42:J42</t>
        </is>
      </c>
      <c r="J253" s="17" t="inlineStr">
        <is>
          <t>Draft</t>
        </is>
      </c>
    </row>
    <row r="254" ht="207" customHeight="1" s="2">
      <c r="A254" s="12" t="inlineStr">
        <is>
          <t>TS-B1-253</t>
        </is>
      </c>
      <c r="B254" s="13" t="inlineStr">
        <is>
          <t>Acct Dashboard Non-Financing</t>
        </is>
      </c>
      <c r="C254" s="13" t="inlineStr">
        <is>
          <t>Dashboard — Insurance</t>
        </is>
      </c>
      <c r="D254" s="13" t="inlineStr">
        <is>
          <t>Health insurance; Life with Unit Link; Life Traditional (Takaful inclusive)</t>
        </is>
      </c>
      <c r="E254" s="13" t="inlineStr">
        <is>
          <t>Validate Business Profile / IBO Disclaimer for Health insurance; Life with Unit Link; Life Traditional (Takaful inclusive)</t>
        </is>
      </c>
      <c r="F254" s="13" t="inlineStr">
        <is>
          <t>Validate the requirement mapped to Business Profile / IBO Disclaimer: Not applicable</t>
        </is>
      </c>
      <c r="G254" s="13" t="inlineStr">
        <is>
          <t>Functional</t>
        </is>
      </c>
      <c r="H254" s="13" t="inlineStr">
        <is>
          <t>Medium</t>
        </is>
      </c>
      <c r="I254" s="13" t="inlineStr">
        <is>
          <t>Acct Dashboard Non-Financing!A43:J43</t>
        </is>
      </c>
      <c r="J254" s="14" t="inlineStr">
        <is>
          <t>Draft</t>
        </is>
      </c>
    </row>
    <row r="255" ht="409.6" customHeight="1" s="2">
      <c r="A255" s="15" t="inlineStr">
        <is>
          <t>TS-B1-254</t>
        </is>
      </c>
      <c r="B255" s="16" t="inlineStr">
        <is>
          <t>Acct Dashboard Non-Financing</t>
        </is>
      </c>
      <c r="C255" s="16" t="inlineStr">
        <is>
          <t>Dashboard — Insurance</t>
        </is>
      </c>
      <c r="D255" s="16" t="inlineStr">
        <is>
          <t>Health insurance; Life with Unit Link; Life Traditional (Takaful inclusive)</t>
        </is>
      </c>
      <c r="E255" s="16" t="inlineStr">
        <is>
          <t>Validate External FSD References for Health insurance; Life with Unit Link; Life Traditional (Takaful inclusive)</t>
        </is>
      </c>
      <c r="F255" s="16" t="inlineStr">
        <is>
          <t>Validate the requirement mapped to External FSD References: Claim Procedure / Product Info Summary: managed via CMS (PDF or webview); refer to respective insurance sub-FSD for transactional actions; Policy Status mapping: refer to Common worksheet</t>
        </is>
      </c>
      <c r="G255" s="16" t="inlineStr">
        <is>
          <t>UI / Functional</t>
        </is>
      </c>
      <c r="H255" s="16" t="inlineStr">
        <is>
          <t>Medium</t>
        </is>
      </c>
      <c r="I255" s="16" t="inlineStr">
        <is>
          <t>Acct Dashboard Non-Financing!A45:J45</t>
        </is>
      </c>
      <c r="J255" s="17" t="inlineStr">
        <is>
          <t>Draft</t>
        </is>
      </c>
    </row>
    <row r="256" ht="207" customHeight="1" s="2">
      <c r="A256" s="12" t="inlineStr">
        <is>
          <t>TS-B1-255</t>
        </is>
      </c>
      <c r="B256" s="13" t="inlineStr">
        <is>
          <t>Acct Dashboard Non-Financing</t>
        </is>
      </c>
      <c r="C256" s="13" t="inlineStr">
        <is>
          <t>Dashboard — Insurance</t>
        </is>
      </c>
      <c r="D256" s="13" t="inlineStr">
        <is>
          <t>Health insurance; Life with Unit Link; Life Traditional (Takaful inclusive)</t>
        </is>
      </c>
      <c r="E256" s="13" t="inlineStr">
        <is>
          <t>Final status and recovery for Health insurance; Life with Unit Link; Life Traditional (Takaful inclusive)</t>
        </is>
      </c>
      <c r="F256" s="13" t="inlineStr">
        <is>
          <t>Validate successful completion, failure handling, and final-state integrity for Dashboard — Insurance.</t>
        </is>
      </c>
      <c r="G256" s="13" t="inlineStr">
        <is>
          <t>Functional / Negative</t>
        </is>
      </c>
      <c r="H256" s="13" t="inlineStr">
        <is>
          <t>High</t>
        </is>
      </c>
      <c r="I256" s="13" t="inlineStr">
        <is>
          <t>Acct Dashboard Non-Financing!J1:J45</t>
        </is>
      </c>
      <c r="J256" s="14" t="inlineStr">
        <is>
          <t>Draft</t>
        </is>
      </c>
    </row>
  </sheetData>
  <dataValidations count="1">
    <dataValidation sqref="J2:J256" showDropDown="0" showInputMessage="0" showErrorMessage="0" allowBlank="0" type="list">
      <formula1>"Draft,Ready,Approved,Deprecated"</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D307"/>
  <sheetViews>
    <sheetView workbookViewId="0">
      <pane ySplit="1" topLeftCell="A2" activePane="bottomLeft" state="frozen"/>
      <selection pane="bottomLeft" activeCell="A1" sqref="A1:R307"/>
    </sheetView>
  </sheetViews>
  <sheetFormatPr baseColWidth="8" defaultRowHeight="13.8"/>
  <cols>
    <col width="26" customWidth="1" style="2" min="19" max="19"/>
    <col width="30" customWidth="1" style="2" min="20" max="20"/>
    <col width="12" customWidth="1" style="2" min="21" max="21"/>
    <col width="48" customWidth="1" style="2" min="22" max="22"/>
    <col width="24" customWidth="1" style="2" min="23" max="23"/>
    <col width="55" customWidth="1" style="2" min="24" max="24"/>
    <col width="28" customWidth="1" style="2" min="25" max="25"/>
    <col width="30" customWidth="1" style="2" min="26" max="26"/>
    <col width="18" customWidth="1" style="2" min="27" max="27"/>
    <col width="58" customWidth="1" style="2" min="28" max="28"/>
    <col width="18" customWidth="1" style="2" min="29" max="29"/>
    <col width="65" customWidth="1" style="2" min="30" max="30"/>
  </cols>
  <sheetData>
    <row r="1" ht="57.6" customHeight="1" s="2">
      <c r="A1" s="9" t="inlineStr">
        <is>
          <t>Test Case ID</t>
        </is>
      </c>
      <c r="B1" s="10" t="inlineStr">
        <is>
          <t>Scenario ID</t>
        </is>
      </c>
      <c r="C1" s="10" t="inlineStr">
        <is>
          <t>Module</t>
        </is>
      </c>
      <c r="D1" s="10" t="inlineStr">
        <is>
          <t>Journey</t>
        </is>
      </c>
      <c r="E1" s="10" t="inlineStr">
        <is>
          <t>Test Case Title</t>
        </is>
      </c>
      <c r="F1" s="10" t="inlineStr">
        <is>
          <t>Test Type</t>
        </is>
      </c>
      <c r="G1" s="10" t="inlineStr">
        <is>
          <t>Priority</t>
        </is>
      </c>
      <c r="H1" s="10" t="inlineStr">
        <is>
          <t>Preconditions</t>
        </is>
      </c>
      <c r="I1" s="10" t="inlineStr">
        <is>
          <t>Test Data / Variants</t>
        </is>
      </c>
      <c r="J1" s="10" t="inlineStr">
        <is>
          <t>Test Steps</t>
        </is>
      </c>
      <c r="K1" s="10" t="inlineStr">
        <is>
          <t>Expected Result</t>
        </is>
      </c>
      <c r="L1" s="10" t="inlineStr">
        <is>
          <t>Authentication Requirement</t>
        </is>
      </c>
      <c r="M1" s="10" t="inlineStr">
        <is>
          <t>Possible Final Status</t>
        </is>
      </c>
      <c r="N1" s="10" t="inlineStr">
        <is>
          <t>Source Reference</t>
        </is>
      </c>
      <c r="O1" s="10" t="inlineStr">
        <is>
          <t>Execution Status</t>
        </is>
      </c>
      <c r="P1" s="10" t="inlineStr">
        <is>
          <t>Actual Result</t>
        </is>
      </c>
      <c r="Q1" s="10" t="inlineStr">
        <is>
          <t>Defect ID</t>
        </is>
      </c>
      <c r="R1" s="11" t="inlineStr">
        <is>
          <t>Notes</t>
        </is>
      </c>
      <c r="S1" s="21" t="inlineStr">
        <is>
          <t>API Source Priority</t>
        </is>
      </c>
      <c r="T1" s="21" t="inlineStr">
        <is>
          <t>API Name</t>
        </is>
      </c>
      <c r="U1" s="21" t="inlineStr">
        <is>
          <t>HTTP Method</t>
        </is>
      </c>
      <c r="V1" s="21" t="inlineStr">
        <is>
          <t>Endpoint</t>
        </is>
      </c>
      <c r="W1" s="21" t="inlineStr">
        <is>
          <t>Microservice Ownership</t>
        </is>
      </c>
      <c r="X1" s="21" t="inlineStr">
        <is>
          <t>API Source Workbook</t>
        </is>
      </c>
      <c r="Y1" s="21" t="inlineStr">
        <is>
          <t>API Source Sheet</t>
        </is>
      </c>
      <c r="Z1" s="21" t="inlineStr">
        <is>
          <t>API Source Reference</t>
        </is>
      </c>
      <c r="AA1" s="21" t="inlineStr">
        <is>
          <t>Traceability Link</t>
        </is>
      </c>
      <c r="AB1" s="21" t="inlineStr">
        <is>
          <t>Mapping Rationale</t>
        </is>
      </c>
      <c r="AC1" s="21" t="inlineStr">
        <is>
          <t>Mapping Confidence</t>
        </is>
      </c>
      <c r="AD1" s="21" t="inlineStr">
        <is>
          <t>API Validation / Notes</t>
        </is>
      </c>
    </row>
    <row r="2" ht="234.6" customHeight="1" s="2">
      <c r="A2" s="12" t="inlineStr">
        <is>
          <t>TC-B1-0001</t>
        </is>
      </c>
      <c r="B2" s="13" t="inlineStr">
        <is>
          <t>TS-B1-001</t>
        </is>
      </c>
      <c r="C2" s="13" t="inlineStr">
        <is>
          <t>Acct Dashboard Financing</t>
        </is>
      </c>
      <c r="D2" s="13" t="inlineStr">
        <is>
          <t>Dashboard - Loan</t>
        </is>
      </c>
      <c r="E2" s="13" t="inlineStr">
        <is>
          <t>Open Personal Loan (Conventional) from valid entry point</t>
        </is>
      </c>
      <c r="F2" s="13" t="inlineStr">
        <is>
          <t>Positive</t>
        </is>
      </c>
      <c r="G2" s="13" t="inlineStr">
        <is>
          <t>Medium</t>
        </is>
      </c>
      <c r="H2" s="13" t="inlineStr">
        <is>
          <t>Eligible user: Loan account holder</t>
        </is>
      </c>
      <c r="I2" s="13" t="inlineStr">
        <is>
          <t>Personal Loan (Conventional)</t>
        </is>
      </c>
      <c r="J2" s="13" t="inlineStr">
        <is>
          <t>1. Sign in at the required access level.
2. Navigate using: Loan Dashboard - Landing.
3. Select Personal Loan (Conventional).</t>
        </is>
      </c>
      <c r="K2" s="13" t="inlineStr">
        <is>
          <t>The correct Dashboard - Loan page opens and relevant product information is displayed without error.</t>
        </is>
      </c>
      <c r="L2" s="13" t="inlineStr">
        <is>
          <t>Not specified in FSD</t>
        </is>
      </c>
      <c r="M2" s="13" t="inlineStr">
        <is>
          <t>Active / Overdue / Closed</t>
        </is>
      </c>
      <c r="N2" s="13" t="inlineStr">
        <is>
          <t>Acct Dashboard Financing!B1:B62</t>
        </is>
      </c>
      <c r="O2" s="13" t="inlineStr">
        <is>
          <t>Not Run</t>
        </is>
      </c>
      <c r="P2" s="13" t="n"/>
      <c r="Q2" s="13" t="n"/>
      <c r="R2" s="14" t="n"/>
      <c r="S2" s="19" t="inlineStr">
        <is>
          <t>Loan API Design</t>
        </is>
      </c>
      <c r="T2" s="19" t="inlineStr">
        <is>
          <t>Loan dashboard</t>
        </is>
      </c>
      <c r="U2" s="19" t="inlineStr">
        <is>
          <t>GET</t>
        </is>
      </c>
      <c r="V2" s="19" t="inlineStr">
        <is>
          <t>/v1/external/accounts?accountGroup={accountGroup}</t>
        </is>
      </c>
      <c r="W2" s="19" t="inlineStr">
        <is>
          <t>dep-dashboard</t>
        </is>
      </c>
      <c r="X2" s="19" t="inlineStr">
        <is>
          <t>ECLIPSE_Account Dashboard_Loan_DDD_API_Design_v1_Workshop.xlsx</t>
        </is>
      </c>
      <c r="Y2" s="19" t="inlineStr">
        <is>
          <t>1.1 Loan Dashboard - Landing</t>
        </is>
      </c>
      <c r="Z2" s="19" t="inlineStr">
        <is>
          <t>API_Specs_Index!A2:H2</t>
        </is>
      </c>
      <c r="AA2" s="22" t="inlineStr">
        <is>
          <t>API-026</t>
        </is>
      </c>
      <c r="AB2" s="19" t="inlineStr">
        <is>
          <t>Mapped to Loan dashboard because the test case terms align with the 1.1 Loan Dashboard - Landing journey in the applicable API specification.</t>
        </is>
      </c>
      <c r="AC2" s="19" t="inlineStr">
        <is>
          <t>High</t>
        </is>
      </c>
      <c r="AD2" s="19" t="inlineStr">
        <is>
          <t>When user tap "Loan/Financing" tab and screen is loaded getDashboard dep-dashboard GET /v1/external/accounts?featureType={featureType} example : /v1/external/accounts?featureType=DASHBOARD_LOAN { "status": 200, "message": "Request processed succes...</t>
        </is>
      </c>
    </row>
    <row r="3" ht="345" customHeight="1" s="2">
      <c r="A3" s="15" t="inlineStr">
        <is>
          <t>TC-B1-0002</t>
        </is>
      </c>
      <c r="B3" s="16" t="inlineStr">
        <is>
          <t>TS-B1-001</t>
        </is>
      </c>
      <c r="C3" s="16" t="inlineStr">
        <is>
          <t>Acct Dashboard Financing</t>
        </is>
      </c>
      <c r="D3" s="16" t="inlineStr">
        <is>
          <t>Dashboard - Loan</t>
        </is>
      </c>
      <c r="E3" s="16" t="inlineStr">
        <is>
          <t>Validate ineligible or unavailable state for Personal Loan (Conventional)</t>
        </is>
      </c>
      <c r="F3" s="16" t="inlineStr">
        <is>
          <t>Negative</t>
        </is>
      </c>
      <c r="G3" s="16" t="inlineStr">
        <is>
          <t>High</t>
        </is>
      </c>
      <c r="H3" s="16" t="inlineStr">
        <is>
          <t>User or product does not meet one configured eligibility condition. Eligible baseline: Loan account holder</t>
        </is>
      </c>
      <c r="I3" s="16" t="inlineStr">
        <is>
          <t>Personal Loan (Conventional)</t>
        </is>
      </c>
      <c r="J3" s="16" t="inlineStr">
        <is>
          <t>1. Prepare an ineligible, unsupported, blocked, or unavailable test profile.
2. Navigate using: Loan Dashboard - Landing.
3. Attempt to open Personal Loan (Conventional).</t>
        </is>
      </c>
      <c r="K3" s="16" t="inlineStr">
        <is>
          <t>Access is prevented or the feature is hidden/disabled. A clear message is shown and no unauthorised data or action is exposed.</t>
        </is>
      </c>
      <c r="L3" s="16" t="inlineStr">
        <is>
          <t>Not specified in FSD</t>
        </is>
      </c>
      <c r="M3" s="16" t="inlineStr">
        <is>
          <t>Active / Overdue / Closed</t>
        </is>
      </c>
      <c r="N3" s="16" t="inlineStr">
        <is>
          <t>Acct Dashboard Financing!B1:B62</t>
        </is>
      </c>
      <c r="O3" s="16" t="inlineStr">
        <is>
          <t>Not Run</t>
        </is>
      </c>
      <c r="P3" s="16" t="n"/>
      <c r="Q3" s="16" t="n"/>
      <c r="R3" s="17" t="n"/>
      <c r="S3" s="19" t="inlineStr">
        <is>
          <t>Loan API Design</t>
        </is>
      </c>
      <c r="T3" s="19" t="inlineStr">
        <is>
          <t>Loan dashboard</t>
        </is>
      </c>
      <c r="U3" s="19" t="inlineStr">
        <is>
          <t>GET</t>
        </is>
      </c>
      <c r="V3" s="19" t="inlineStr">
        <is>
          <t>/v1/external/accounts?accountGroup={accountGroup}</t>
        </is>
      </c>
      <c r="W3" s="19" t="inlineStr">
        <is>
          <t>dep-dashboard</t>
        </is>
      </c>
      <c r="X3" s="19" t="inlineStr">
        <is>
          <t>ECLIPSE_Account Dashboard_Loan_DDD_API_Design_v1_Workshop.xlsx</t>
        </is>
      </c>
      <c r="Y3" s="19" t="inlineStr">
        <is>
          <t>1.1 Loan Dashboard - Landing</t>
        </is>
      </c>
      <c r="Z3" s="19" t="inlineStr">
        <is>
          <t>API_Specs_Index!A2:H2</t>
        </is>
      </c>
      <c r="AA3" s="22" t="inlineStr">
        <is>
          <t>API-026</t>
        </is>
      </c>
      <c r="AB3" s="19" t="inlineStr">
        <is>
          <t>Mapped to Loan dashboard because the test case terms align with the 1.1 Loan Dashboard - Landing journey in the applicable API specification.</t>
        </is>
      </c>
      <c r="AC3" s="19" t="inlineStr">
        <is>
          <t>High</t>
        </is>
      </c>
      <c r="AD3" s="19" t="inlineStr">
        <is>
          <t>When user tap "Loan/Financing" tab and screen is loaded getDashboard dep-dashboard GET /v1/external/accounts?featureType={featureType} example : /v1/external/accounts?featureType=DASHBOARD_LOAN { "status": 200, "message": "Request processed succes...</t>
        </is>
      </c>
    </row>
    <row r="4" ht="248.4" customHeight="1" s="2">
      <c r="A4" s="12" t="inlineStr">
        <is>
          <t>TC-B1-0003</t>
        </is>
      </c>
      <c r="B4" s="13" t="inlineStr">
        <is>
          <t>TS-B1-002</t>
        </is>
      </c>
      <c r="C4" s="13" t="inlineStr">
        <is>
          <t>Acct Dashboard Financing</t>
        </is>
      </c>
      <c r="D4" s="13" t="inlineStr">
        <is>
          <t>Dashboard - Loan</t>
        </is>
      </c>
      <c r="E4" s="13" t="inlineStr">
        <is>
          <t>Complete required authentication for Personal Loan (Conventional)</t>
        </is>
      </c>
      <c r="F4" s="13" t="inlineStr">
        <is>
          <t>Security</t>
        </is>
      </c>
      <c r="G4" s="13" t="inlineStr">
        <is>
          <t>High</t>
        </is>
      </c>
      <c r="H4" s="13" t="inlineStr">
        <is>
          <t>Eligible user; authentication method is active. Requirement: Not specified in FSD</t>
        </is>
      </c>
      <c r="I4" s="13" t="inlineStr">
        <is>
          <t>Personal Loan (Conventional)</t>
        </is>
      </c>
      <c r="J4" s="13" t="inlineStr">
        <is>
          <t>1. Start the protected action.
2. Complete the configured authentication with valid credentials.
3. Continue the journey.</t>
        </is>
      </c>
      <c r="K4" s="13" t="inlineStr">
        <is>
          <t>Authentication succeeds, the protected action continues once, and the user returns to the correct journey context.</t>
        </is>
      </c>
      <c r="L4" s="13" t="inlineStr">
        <is>
          <t>Not specified in FSD</t>
        </is>
      </c>
      <c r="M4" s="13" t="inlineStr">
        <is>
          <t>Active / Overdue / Closed</t>
        </is>
      </c>
      <c r="N4" s="13" t="inlineStr">
        <is>
          <t>Acct Dashboard Financing!B1:B62</t>
        </is>
      </c>
      <c r="O4" s="13" t="inlineStr">
        <is>
          <t>Not Run</t>
        </is>
      </c>
      <c r="P4" s="13" t="n"/>
      <c r="Q4" s="13" t="n"/>
      <c r="R4" s="14" t="n"/>
      <c r="S4" s="19" t="inlineStr">
        <is>
          <t>Loan API Design</t>
        </is>
      </c>
      <c r="T4" s="19" t="inlineStr">
        <is>
          <t>Loan dashboard</t>
        </is>
      </c>
      <c r="U4" s="19" t="inlineStr">
        <is>
          <t>GET</t>
        </is>
      </c>
      <c r="V4" s="19" t="inlineStr">
        <is>
          <t>/v1/external/accounts?accountGroup={accountGroup}</t>
        </is>
      </c>
      <c r="W4" s="19" t="inlineStr">
        <is>
          <t>dep-dashboard</t>
        </is>
      </c>
      <c r="X4" s="19" t="inlineStr">
        <is>
          <t>ECLIPSE_Account Dashboard_Loan_DDD_API_Design_v1_Workshop.xlsx</t>
        </is>
      </c>
      <c r="Y4" s="19" t="inlineStr">
        <is>
          <t>1.1 Loan Dashboard - Landing</t>
        </is>
      </c>
      <c r="Z4" s="19" t="inlineStr">
        <is>
          <t>API_Specs_Index!A2:H2</t>
        </is>
      </c>
      <c r="AA4" s="22" t="inlineStr">
        <is>
          <t>API-026</t>
        </is>
      </c>
      <c r="AB4" s="19" t="inlineStr">
        <is>
          <t>Mapped to Loan dashboard because the test case terms align with the 1.1 Loan Dashboard - Landing journey in the applicable API specification.</t>
        </is>
      </c>
      <c r="AC4" s="19" t="inlineStr">
        <is>
          <t>High</t>
        </is>
      </c>
      <c r="AD4" s="19" t="inlineStr">
        <is>
          <t>When user tap "Loan/Financing" tab and screen is loaded getDashboard dep-dashboard GET /v1/external/accounts?featureType={featureType} example : /v1/external/accounts?featureType=DASHBOARD_LOAN { "status": 200, "message": "Request processed succes...</t>
        </is>
      </c>
    </row>
    <row r="5" ht="303.6" customHeight="1" s="2">
      <c r="A5" s="15" t="inlineStr">
        <is>
          <t>TC-B1-0004</t>
        </is>
      </c>
      <c r="B5" s="16" t="inlineStr">
        <is>
          <t>TS-B1-002</t>
        </is>
      </c>
      <c r="C5" s="16" t="inlineStr">
        <is>
          <t>Acct Dashboard Financing</t>
        </is>
      </c>
      <c r="D5" s="16" t="inlineStr">
        <is>
          <t>Dashboard - Loan</t>
        </is>
      </c>
      <c r="E5" s="16" t="inlineStr">
        <is>
          <t>Reject invalid, cancelled, or expired authentication for Personal Loan (Conventional)</t>
        </is>
      </c>
      <c r="F5" s="16" t="inlineStr">
        <is>
          <t>Negative / Security</t>
        </is>
      </c>
      <c r="G5" s="16" t="inlineStr">
        <is>
          <t>High</t>
        </is>
      </c>
      <c r="H5" s="16" t="inlineStr">
        <is>
          <t>Eligible user; protected action requires authentication. Requirement: Not specified in FSD</t>
        </is>
      </c>
      <c r="I5" s="16" t="inlineStr">
        <is>
          <t>Personal Loan (Conventional)</t>
        </is>
      </c>
      <c r="J5" s="16" t="inlineStr">
        <is>
          <t>1. Start the protected action.
2. Enter invalid credentials, cancel, or allow the challenge to expire.
3. Observe the result.</t>
        </is>
      </c>
      <c r="K5" s="16" t="inlineStr">
        <is>
          <t>The action is not performed. The configured failure/lockout message is shown, sensitive data remains protected, and retry behavior follows the requirement.</t>
        </is>
      </c>
      <c r="L5" s="16" t="inlineStr">
        <is>
          <t>Not specified in FSD</t>
        </is>
      </c>
      <c r="M5" s="16" t="inlineStr">
        <is>
          <t>Active / Overdue / Closed</t>
        </is>
      </c>
      <c r="N5" s="16" t="inlineStr">
        <is>
          <t>Acct Dashboard Financing!B1:B62</t>
        </is>
      </c>
      <c r="O5" s="16" t="inlineStr">
        <is>
          <t>Not Run</t>
        </is>
      </c>
      <c r="P5" s="16" t="n"/>
      <c r="Q5" s="16" t="n"/>
      <c r="R5" s="17" t="n"/>
      <c r="S5" s="19" t="inlineStr">
        <is>
          <t>Loan API Design</t>
        </is>
      </c>
      <c r="T5" s="19" t="inlineStr">
        <is>
          <t>Loan dashboard</t>
        </is>
      </c>
      <c r="U5" s="19" t="inlineStr">
        <is>
          <t>GET</t>
        </is>
      </c>
      <c r="V5" s="19" t="inlineStr">
        <is>
          <t>/v1/external/accounts?accountGroup={accountGroup}</t>
        </is>
      </c>
      <c r="W5" s="19" t="inlineStr">
        <is>
          <t>dep-dashboard</t>
        </is>
      </c>
      <c r="X5" s="19" t="inlineStr">
        <is>
          <t>ECLIPSE_Account Dashboard_Loan_DDD_API_Design_v1_Workshop.xlsx</t>
        </is>
      </c>
      <c r="Y5" s="19" t="inlineStr">
        <is>
          <t>1.1 Loan Dashboard - Landing</t>
        </is>
      </c>
      <c r="Z5" s="19" t="inlineStr">
        <is>
          <t>API_Specs_Index!A2:H2</t>
        </is>
      </c>
      <c r="AA5" s="22" t="inlineStr">
        <is>
          <t>API-026</t>
        </is>
      </c>
      <c r="AB5" s="19" t="inlineStr">
        <is>
          <t>Mapped to Loan dashboard because the test case terms align with the 1.1 Loan Dashboard - Landing journey in the applicable API specification.</t>
        </is>
      </c>
      <c r="AC5" s="19" t="inlineStr">
        <is>
          <t>High</t>
        </is>
      </c>
      <c r="AD5" s="19" t="inlineStr">
        <is>
          <t>When user tap "Loan/Financing" tab and screen is loaded getDashboard dep-dashboard GET /v1/external/accounts?featureType={featureType} example : /v1/external/accounts?featureType=DASHBOARD_LOAN { "status": 200, "message": "Request processed succes...</t>
        </is>
      </c>
    </row>
    <row r="6" ht="409.6" customHeight="1" s="2">
      <c r="A6" s="12" t="inlineStr">
        <is>
          <t>TC-B1-0005</t>
        </is>
      </c>
      <c r="B6" s="13" t="inlineStr">
        <is>
          <t>TS-B1-003</t>
        </is>
      </c>
      <c r="C6" s="13" t="inlineStr">
        <is>
          <t>Acct Dashboard Financing</t>
        </is>
      </c>
      <c r="D6" s="13" t="inlineStr">
        <is>
          <t>Dashboard - Loan</t>
        </is>
      </c>
      <c r="E6" s="13" t="inlineStr">
        <is>
          <t>Validate Common Rules Reference for Personal Loan (Conventional)</t>
        </is>
      </c>
      <c r="F6" s="13" t="inlineStr">
        <is>
          <t>UI / Functional</t>
        </is>
      </c>
      <c r="G6" s="13" t="inlineStr">
        <is>
          <t>Medium</t>
        </is>
      </c>
      <c r="H6" s="13" t="inlineStr">
        <is>
          <t>Eligible user and product are available. User has reached the preceding journey step.</t>
        </is>
      </c>
      <c r="I6" s="13" t="inlineStr">
        <is>
          <t>Personal Loan (Conventional)</t>
        </is>
      </c>
      <c r="J6" s="13" t="inlineStr">
        <is>
          <t>1. Open Personal Loan (Conventional).
2. Navigate to Common Rules Reference.
3. Perform the action or trigger described by: Refer to Account Dashboard Common FSD.
4. Observe the page, validation, navigation, and resulting state.</t>
        </is>
      </c>
      <c r="K6" s="13" t="inlineStr">
        <is>
          <t>Common Rules Reference behaves according to the mapped requirement (Refer to Account Dashboard Common FSD); data, controls, navigation, and status are accurate and consistent.</t>
        </is>
      </c>
      <c r="L6" s="13" t="inlineStr">
        <is>
          <t>Not specified in FSD</t>
        </is>
      </c>
      <c r="M6" s="13" t="inlineStr">
        <is>
          <t>Active / Overdue / Closed</t>
        </is>
      </c>
      <c r="N6" s="13" t="inlineStr">
        <is>
          <t>Acct Dashboard Financing!A9:B9</t>
        </is>
      </c>
      <c r="O6" s="13" t="inlineStr">
        <is>
          <t>Not Run</t>
        </is>
      </c>
      <c r="P6" s="13" t="n"/>
      <c r="Q6" s="13" t="n"/>
      <c r="R6" s="14" t="n"/>
      <c r="S6" s="19" t="inlineStr">
        <is>
          <t>Loan API Design</t>
        </is>
      </c>
      <c r="T6" s="19" t="inlineStr">
        <is>
          <t>Loan dashboard</t>
        </is>
      </c>
      <c r="U6" s="19" t="inlineStr">
        <is>
          <t>GET</t>
        </is>
      </c>
      <c r="V6" s="19" t="inlineStr">
        <is>
          <t>/v1/external/accounts?accountGroup={accountGroup}</t>
        </is>
      </c>
      <c r="W6" s="19" t="inlineStr">
        <is>
          <t>dep-dashboard</t>
        </is>
      </c>
      <c r="X6" s="19" t="inlineStr">
        <is>
          <t>ECLIPSE_Account Dashboard_Loan_DDD_API_Design_v1_Workshop.xlsx</t>
        </is>
      </c>
      <c r="Y6" s="19" t="inlineStr">
        <is>
          <t>1.1 Loan Dashboard - Landing</t>
        </is>
      </c>
      <c r="Z6" s="19" t="inlineStr">
        <is>
          <t>API_Specs_Index!A2:H2</t>
        </is>
      </c>
      <c r="AA6" s="22" t="inlineStr">
        <is>
          <t>API-026</t>
        </is>
      </c>
      <c r="AB6" s="19" t="inlineStr">
        <is>
          <t>Mapped to Loan dashboard because the test case terms align with the 1.1 Loan Dashboard - Landing journey in the applicable API specification.</t>
        </is>
      </c>
      <c r="AC6" s="19" t="inlineStr">
        <is>
          <t>High</t>
        </is>
      </c>
      <c r="AD6" s="19" t="inlineStr">
        <is>
          <t>When user tap "Loan/Financing" tab and screen is loaded getDashboard dep-dashboard GET /v1/external/accounts?featureType={featureType} example : /v1/external/accounts?featureType=DASHBOARD_LOAN { "status": 200, "message": "Request processed succes...</t>
        </is>
      </c>
    </row>
    <row r="7" ht="386.4" customHeight="1" s="2">
      <c r="A7" s="15" t="inlineStr">
        <is>
          <t>TC-B1-0006</t>
        </is>
      </c>
      <c r="B7" s="16" t="inlineStr">
        <is>
          <t>TS-B1-004</t>
        </is>
      </c>
      <c r="C7" s="16" t="inlineStr">
        <is>
          <t>Acct Dashboard Financing</t>
        </is>
      </c>
      <c r="D7" s="16" t="inlineStr">
        <is>
          <t>Dashboard - Loan</t>
        </is>
      </c>
      <c r="E7" s="16" t="inlineStr">
        <is>
          <t>Validate 1.1 Loan Dashboard - Landing for Personal Loan (Conventional)</t>
        </is>
      </c>
      <c r="F7" s="16" t="inlineStr">
        <is>
          <t>UI / Functional</t>
        </is>
      </c>
      <c r="G7" s="16" t="inlineStr">
        <is>
          <t>Medium</t>
        </is>
      </c>
      <c r="H7" s="16" t="inlineStr">
        <is>
          <t>Eligible user and product are available. User has reached the preceding journey step.</t>
        </is>
      </c>
      <c r="I7" s="16" t="inlineStr">
        <is>
          <t>Personal Loan (Conventional)</t>
        </is>
      </c>
      <c r="J7" s="16" t="inlineStr">
        <is>
          <t>1. Open Personal Loan (Conventional).
2. Navigate to 1.1 Loan Dashboard - Landing.
3. Perform the action or trigger described by: Step 1.
4. Observe the page, validation, navigation, and resulting state.</t>
        </is>
      </c>
      <c r="K7" s="16" t="inlineStr">
        <is>
          <t>1.1 Loan Dashboard - Landing behaves according to the mapped requirement (Step 1); data, controls, navigation, and status are accurate and consistent.</t>
        </is>
      </c>
      <c r="L7" s="16" t="inlineStr">
        <is>
          <t>Not specified in FSD</t>
        </is>
      </c>
      <c r="M7" s="16" t="inlineStr">
        <is>
          <t>Active / Overdue / Closed</t>
        </is>
      </c>
      <c r="N7" s="16" t="inlineStr">
        <is>
          <t>Acct Dashboard Financing!A10:B10</t>
        </is>
      </c>
      <c r="O7" s="16" t="inlineStr">
        <is>
          <t>Not Run</t>
        </is>
      </c>
      <c r="P7" s="16" t="n"/>
      <c r="Q7" s="16" t="n"/>
      <c r="R7" s="17" t="n"/>
      <c r="S7" s="19" t="inlineStr">
        <is>
          <t>Loan API Design</t>
        </is>
      </c>
      <c r="T7" s="19" t="inlineStr">
        <is>
          <t>Loan dashboard</t>
        </is>
      </c>
      <c r="U7" s="19" t="inlineStr">
        <is>
          <t>GET</t>
        </is>
      </c>
      <c r="V7" s="19" t="inlineStr">
        <is>
          <t>/v1/external/accounts?accountGroup={accountGroup}</t>
        </is>
      </c>
      <c r="W7" s="19" t="inlineStr">
        <is>
          <t>dep-dashboard</t>
        </is>
      </c>
      <c r="X7" s="19" t="inlineStr">
        <is>
          <t>ECLIPSE_Account Dashboard_Loan_DDD_API_Design_v1_Workshop.xlsx</t>
        </is>
      </c>
      <c r="Y7" s="19" t="inlineStr">
        <is>
          <t>1.1 Loan Dashboard - Landing</t>
        </is>
      </c>
      <c r="Z7" s="19" t="inlineStr">
        <is>
          <t>API_Specs_Index!A2:H2</t>
        </is>
      </c>
      <c r="AA7" s="22" t="inlineStr">
        <is>
          <t>API-026</t>
        </is>
      </c>
      <c r="AB7" s="19" t="inlineStr">
        <is>
          <t>Mapped to Loan dashboard because the test case terms align with the 1.1 Loan Dashboard - Landing journey in the applicable API specification.</t>
        </is>
      </c>
      <c r="AC7" s="19" t="inlineStr">
        <is>
          <t>High</t>
        </is>
      </c>
      <c r="AD7" s="19" t="inlineStr">
        <is>
          <t>When user tap "Loan/Financing" tab and screen is loaded getDashboard dep-dashboard GET /v1/external/accounts?featureType={featureType} example : /v1/external/accounts?featureType=DASHBOARD_LOAN { "status": 200, "message": "Request processed succes...</t>
        </is>
      </c>
    </row>
    <row r="8" ht="358.8" customHeight="1" s="2">
      <c r="A8" s="12" t="inlineStr">
        <is>
          <t>TC-B1-0007</t>
        </is>
      </c>
      <c r="B8" s="13" t="inlineStr">
        <is>
          <t>TS-B1-005</t>
        </is>
      </c>
      <c r="C8" s="13" t="inlineStr">
        <is>
          <t>Acct Dashboard Financing</t>
        </is>
      </c>
      <c r="D8" s="13" t="inlineStr">
        <is>
          <t>Dashboard - Loan</t>
        </is>
      </c>
      <c r="E8" s="13" t="inlineStr">
        <is>
          <t>Validate 1.2 Personal Loan Acc for Personal Loan (Conventional)</t>
        </is>
      </c>
      <c r="F8" s="13" t="inlineStr">
        <is>
          <t>Functional</t>
        </is>
      </c>
      <c r="G8" s="13" t="inlineStr">
        <is>
          <t>Medium</t>
        </is>
      </c>
      <c r="H8" s="13" t="inlineStr">
        <is>
          <t>Eligible user and product are available. User has reached the preceding journey step.</t>
        </is>
      </c>
      <c r="I8" s="13" t="inlineStr">
        <is>
          <t>Personal Loan (Conventional)</t>
        </is>
      </c>
      <c r="J8" s="13" t="inlineStr">
        <is>
          <t>1. Open Personal Loan (Conventional).
2. Navigate to 1.2 Personal Loan Acc.
3. Perform the action or trigger described by: Step 2.
4. Observe the page, validation, navigation, and resulting state.</t>
        </is>
      </c>
      <c r="K8" s="13" t="inlineStr">
        <is>
          <t>1.2 Personal Loan Acc behaves according to the mapped requirement (Step 2); data, controls, navigation, and status are accurate and consistent.</t>
        </is>
      </c>
      <c r="L8" s="13" t="inlineStr">
        <is>
          <t>Not specified in FSD</t>
        </is>
      </c>
      <c r="M8" s="13" t="inlineStr">
        <is>
          <t>Active / Overdue / Closed</t>
        </is>
      </c>
      <c r="N8" s="13" t="inlineStr">
        <is>
          <t>Acct Dashboard Financing!A11:B11</t>
        </is>
      </c>
      <c r="O8" s="13" t="inlineStr">
        <is>
          <t>Not Run</t>
        </is>
      </c>
      <c r="P8" s="13" t="n"/>
      <c r="Q8" s="13" t="n"/>
      <c r="R8" s="14" t="n"/>
      <c r="S8" s="19" t="inlineStr">
        <is>
          <t>Loan API Design</t>
        </is>
      </c>
      <c r="T8" s="19" t="inlineStr">
        <is>
          <t>Loan dashboard</t>
        </is>
      </c>
      <c r="U8" s="19" t="inlineStr">
        <is>
          <t>GET</t>
        </is>
      </c>
      <c r="V8" s="19" t="inlineStr">
        <is>
          <t>/v1/external/accounts?accountGroup={accountGroup}</t>
        </is>
      </c>
      <c r="W8" s="19" t="inlineStr">
        <is>
          <t>dep-dashboard</t>
        </is>
      </c>
      <c r="X8" s="19" t="inlineStr">
        <is>
          <t>ECLIPSE_Account Dashboard_Loan_DDD_API_Design_v1_Workshop.xlsx</t>
        </is>
      </c>
      <c r="Y8" s="19" t="inlineStr">
        <is>
          <t>1.1 Loan Dashboard - Landing</t>
        </is>
      </c>
      <c r="Z8" s="19" t="inlineStr">
        <is>
          <t>API_Specs_Index!A2:H2</t>
        </is>
      </c>
      <c r="AA8" s="22" t="inlineStr">
        <is>
          <t>API-026</t>
        </is>
      </c>
      <c r="AB8" s="19" t="inlineStr">
        <is>
          <t>Mapped to Loan dashboard because the test case terms align with the 1.1 Loan Dashboard - Landing journey in the applicable API specification.</t>
        </is>
      </c>
      <c r="AC8" s="19" t="inlineStr">
        <is>
          <t>High</t>
        </is>
      </c>
      <c r="AD8" s="19" t="inlineStr">
        <is>
          <t>When user tap "Loan/Financing" tab and screen is loaded getDashboard dep-dashboard GET /v1/external/accounts?featureType={featureType} example : /v1/external/accounts?featureType=DASHBOARD_LOAN { "status": 200, "message": "Request processed succes...</t>
        </is>
      </c>
    </row>
    <row r="9" ht="409.6" customHeight="1" s="2">
      <c r="A9" s="15" t="inlineStr">
        <is>
          <t>TC-B1-0008</t>
        </is>
      </c>
      <c r="B9" s="16" t="inlineStr">
        <is>
          <t>TS-B1-006</t>
        </is>
      </c>
      <c r="C9" s="16" t="inlineStr">
        <is>
          <t>Acct Dashboard Financing</t>
        </is>
      </c>
      <c r="D9" s="16" t="inlineStr">
        <is>
          <t>Dashboard - Loan</t>
        </is>
      </c>
      <c r="E9" s="16" t="inlineStr">
        <is>
          <t>Validate 1.2.1 View All Trans for Personal Loan (Conventional)</t>
        </is>
      </c>
      <c r="F9" s="16" t="inlineStr">
        <is>
          <t>Functional</t>
        </is>
      </c>
      <c r="G9" s="16" t="inlineStr">
        <is>
          <t>Medium</t>
        </is>
      </c>
      <c r="H9" s="16" t="inlineStr">
        <is>
          <t>Eligible user and product are available. Trigger the stated condition: Conditional Step 3 - when View all transactions is selected</t>
        </is>
      </c>
      <c r="I9" s="16" t="inlineStr">
        <is>
          <t>Personal Loan (Conventional)</t>
        </is>
      </c>
      <c r="J9" s="16" t="inlineStr">
        <is>
          <t>1. Open Personal Loan (Conventional).
2. Navigate to 1.2.1 View All Trans.
3. Perform the action or trigger described by: Conditional Step 3 - when View all transactions is selected.
4. Observe the page, validation, navigation, and resulting state.</t>
        </is>
      </c>
      <c r="K9" s="16" t="inlineStr">
        <is>
          <t>1.2.1 View All Trans behaves according to the mapped requirement (Conditional Step 3 - when View all transactions is selected); data, controls, navigation, and status are accurate and consistent.</t>
        </is>
      </c>
      <c r="L9" s="16" t="inlineStr">
        <is>
          <t>Not specified in FSD</t>
        </is>
      </c>
      <c r="M9" s="16" t="inlineStr">
        <is>
          <t>Active / Overdue / Closed</t>
        </is>
      </c>
      <c r="N9" s="16" t="inlineStr">
        <is>
          <t>Acct Dashboard Financing!A12:B12</t>
        </is>
      </c>
      <c r="O9" s="16" t="inlineStr">
        <is>
          <t>Not Run</t>
        </is>
      </c>
      <c r="P9" s="16" t="n"/>
      <c r="Q9" s="16" t="n"/>
      <c r="R9" s="17" t="inlineStr">
        <is>
          <t>Conditional coverage required.</t>
        </is>
      </c>
      <c r="S9" s="19" t="inlineStr">
        <is>
          <t>Loan API Design</t>
        </is>
      </c>
      <c r="T9" s="19" t="inlineStr">
        <is>
          <t>View all transaction history</t>
        </is>
      </c>
      <c r="U9" s="19" t="inlineStr">
        <is>
          <t>GET</t>
        </is>
      </c>
      <c r="V9" s="19" t="inlineStr">
        <is>
          <t>/v1/external/accounts/account-type/{accountType}/account-id/{accountId}/transactions?startDate={startDate}&amp;endDate={endDate}&amp;page={page}&amp;limit={limit}</t>
        </is>
      </c>
      <c r="W9" s="19" t="inlineStr">
        <is>
          <t>info-loan</t>
        </is>
      </c>
      <c r="X9" s="19" t="inlineStr">
        <is>
          <t>ECLIPSE_Account Dashboard_Loan_DDD_API_Design_v1_Workshop.xlsx</t>
        </is>
      </c>
      <c r="Y9" s="19" t="inlineStr">
        <is>
          <t>1.2.1 View All Trans</t>
        </is>
      </c>
      <c r="Z9" s="19" t="inlineStr">
        <is>
          <t>API_Specs_Index!A5:H5</t>
        </is>
      </c>
      <c r="AA9" s="22" t="inlineStr">
        <is>
          <t>API-028</t>
        </is>
      </c>
      <c r="AB9" s="19" t="inlineStr">
        <is>
          <t>Mapped to View all transaction history because the test case terms align with the 1.2.1 View All Trans journey in the applicable API specification.</t>
        </is>
      </c>
      <c r="AC9" s="19" t="inlineStr">
        <is>
          <t>High</t>
        </is>
      </c>
      <c r="AD9"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0" ht="400.2" customHeight="1" s="2">
      <c r="A10" s="12" t="inlineStr">
        <is>
          <t>TC-B1-0009</t>
        </is>
      </c>
      <c r="B10" s="13" t="inlineStr">
        <is>
          <t>TS-B1-007</t>
        </is>
      </c>
      <c r="C10" s="13" t="inlineStr">
        <is>
          <t>Acct Dashboard Financing</t>
        </is>
      </c>
      <c r="D10" s="13" t="inlineStr">
        <is>
          <t>Dashboard - Loan</t>
        </is>
      </c>
      <c r="E10" s="13" t="inlineStr">
        <is>
          <t>Validate 1.2.2 PL Conventional Summary for Personal Loan (Conventional)</t>
        </is>
      </c>
      <c r="F10" s="13" t="inlineStr">
        <is>
          <t>UI / Functional</t>
        </is>
      </c>
      <c r="G10" s="13" t="inlineStr">
        <is>
          <t>Medium</t>
        </is>
      </c>
      <c r="H10" s="13" t="inlineStr">
        <is>
          <t>Eligible user and product are available. User has reached the preceding journey step.</t>
        </is>
      </c>
      <c r="I10" s="13" t="inlineStr">
        <is>
          <t>Personal Loan (Conventional)</t>
        </is>
      </c>
      <c r="J10" s="13" t="inlineStr">
        <is>
          <t>1. Open Personal Loan (Conventional).
2. Navigate to 1.2.2 PL Conventional Summary.
3. Perform the action or trigger described by: Step 4.
4. Observe the page, validation, navigation, and resulting state.</t>
        </is>
      </c>
      <c r="K10" s="13" t="inlineStr">
        <is>
          <t>1.2.2 PL Conventional Summary behaves according to the mapped requirement (Step 4); data, controls, navigation, and status are accurate and consistent.</t>
        </is>
      </c>
      <c r="L10" s="13" t="inlineStr">
        <is>
          <t>Not specified in FSD</t>
        </is>
      </c>
      <c r="M10" s="13" t="inlineStr">
        <is>
          <t>Active / Overdue / Closed</t>
        </is>
      </c>
      <c r="N10" s="13" t="inlineStr">
        <is>
          <t>Acct Dashboard Financing!A13:B13</t>
        </is>
      </c>
      <c r="O10" s="13" t="inlineStr">
        <is>
          <t>Not Run</t>
        </is>
      </c>
      <c r="P10" s="13" t="n"/>
      <c r="Q10" s="13" t="n"/>
      <c r="R10" s="14" t="n"/>
      <c r="S10" s="19" t="inlineStr">
        <is>
          <t>Loan API Design</t>
        </is>
      </c>
      <c r="T10" s="19" t="inlineStr">
        <is>
          <t>Loan dashboard</t>
        </is>
      </c>
      <c r="U10" s="19" t="inlineStr">
        <is>
          <t>GET</t>
        </is>
      </c>
      <c r="V10" s="19" t="inlineStr">
        <is>
          <t>/v1/external/accounts?accountGroup={accountGroup}</t>
        </is>
      </c>
      <c r="W10" s="19" t="inlineStr">
        <is>
          <t>dep-dashboard</t>
        </is>
      </c>
      <c r="X10" s="19" t="inlineStr">
        <is>
          <t>ECLIPSE_Account Dashboard_Loan_DDD_API_Design_v1_Workshop.xlsx</t>
        </is>
      </c>
      <c r="Y10" s="19" t="inlineStr">
        <is>
          <t>1.1 Loan Dashboard - Landing</t>
        </is>
      </c>
      <c r="Z10" s="19" t="inlineStr">
        <is>
          <t>API_Specs_Index!A2:H2</t>
        </is>
      </c>
      <c r="AA10" s="22" t="inlineStr">
        <is>
          <t>API-026</t>
        </is>
      </c>
      <c r="AB10" s="19" t="inlineStr">
        <is>
          <t>Mapped to Loan dashboard because the test case terms align with the 1.1 Loan Dashboard - Landing journey in the applicable API specification.</t>
        </is>
      </c>
      <c r="AC10" s="19" t="inlineStr">
        <is>
          <t>High</t>
        </is>
      </c>
      <c r="AD10" s="19" t="inlineStr">
        <is>
          <t>When user tap "Loan/Financing" tab and screen is loaded getDashboard dep-dashboard GET /v1/external/accounts?featureType={featureType} example : /v1/external/accounts?featureType=DASHBOARD_LOAN { "status": 200, "message": "Request processed succes...</t>
        </is>
      </c>
    </row>
    <row r="11" ht="386.4" customHeight="1" s="2">
      <c r="A11" s="15" t="inlineStr">
        <is>
          <t>TC-B1-0010</t>
        </is>
      </c>
      <c r="B11" s="16" t="inlineStr">
        <is>
          <t>TS-B1-008</t>
        </is>
      </c>
      <c r="C11" s="16" t="inlineStr">
        <is>
          <t>Acct Dashboard Financing</t>
        </is>
      </c>
      <c r="D11" s="16" t="inlineStr">
        <is>
          <t>Dashboard - Loan</t>
        </is>
      </c>
      <c r="E11" s="16" t="inlineStr">
        <is>
          <t>Validate 1.2.3 PL Conventional Manage for Personal Loan (Conventional)</t>
        </is>
      </c>
      <c r="F11" s="16" t="inlineStr">
        <is>
          <t>Functional</t>
        </is>
      </c>
      <c r="G11" s="16" t="inlineStr">
        <is>
          <t>Medium</t>
        </is>
      </c>
      <c r="H11" s="16" t="inlineStr">
        <is>
          <t>Eligible user and product are available. User has reached the preceding journey step.</t>
        </is>
      </c>
      <c r="I11" s="16" t="inlineStr">
        <is>
          <t>Personal Loan (Conventional)</t>
        </is>
      </c>
      <c r="J11" s="16" t="inlineStr">
        <is>
          <t>1. Open Personal Loan (Conventional).
2. Navigate to 1.2.3 PL Conventional Manage.
3. Perform the action or trigger described by: Step 5.
4. Observe the page, validation, navigation, and resulting state.</t>
        </is>
      </c>
      <c r="K11" s="16" t="inlineStr">
        <is>
          <t>1.2.3 PL Conventional Manage behaves according to the mapped requirement (Step 5); data, controls, navigation, and status are accurate and consistent.</t>
        </is>
      </c>
      <c r="L11" s="16" t="inlineStr">
        <is>
          <t>Not specified in FSD</t>
        </is>
      </c>
      <c r="M11" s="16" t="inlineStr">
        <is>
          <t>Active / Overdue / Closed</t>
        </is>
      </c>
      <c r="N11" s="16" t="inlineStr">
        <is>
          <t>Acct Dashboard Financing!A14:B14</t>
        </is>
      </c>
      <c r="O11" s="16" t="inlineStr">
        <is>
          <t>Not Run</t>
        </is>
      </c>
      <c r="P11" s="16" t="n"/>
      <c r="Q11" s="16" t="n"/>
      <c r="R11" s="17" t="n"/>
      <c r="S11" s="19" t="inlineStr">
        <is>
          <t>Loan API Design</t>
        </is>
      </c>
      <c r="T11" s="19" t="inlineStr">
        <is>
          <t>Loan dashboard</t>
        </is>
      </c>
      <c r="U11" s="19" t="inlineStr">
        <is>
          <t>GET</t>
        </is>
      </c>
      <c r="V11" s="19" t="inlineStr">
        <is>
          <t>/v1/external/accounts?accountGroup={accountGroup}</t>
        </is>
      </c>
      <c r="W11" s="19" t="inlineStr">
        <is>
          <t>dep-dashboard</t>
        </is>
      </c>
      <c r="X11" s="19" t="inlineStr">
        <is>
          <t>ECLIPSE_Account Dashboard_Loan_DDD_API_Design_v1_Workshop.xlsx</t>
        </is>
      </c>
      <c r="Y11" s="19" t="inlineStr">
        <is>
          <t>1.1 Loan Dashboard - Landing</t>
        </is>
      </c>
      <c r="Z11" s="19" t="inlineStr">
        <is>
          <t>API_Specs_Index!A2:H2</t>
        </is>
      </c>
      <c r="AA11" s="22" t="inlineStr">
        <is>
          <t>API-026</t>
        </is>
      </c>
      <c r="AB11" s="19" t="inlineStr">
        <is>
          <t>Mapped to Loan dashboard because the test case terms align with the 1.1 Loan Dashboard - Landing journey in the applicable API specification.</t>
        </is>
      </c>
      <c r="AC11" s="19" t="inlineStr">
        <is>
          <t>High</t>
        </is>
      </c>
      <c r="AD11" s="19" t="inlineStr">
        <is>
          <t>When user tap "Loan/Financing" tab and screen is loaded getDashboard dep-dashboard GET /v1/external/accounts?featureType={featureType} example : /v1/external/accounts?featureType=DASHBOARD_LOAN { "status": 200, "message": "Request processed succes...</t>
        </is>
      </c>
    </row>
    <row r="12" ht="289.8" customHeight="1" s="2">
      <c r="A12" s="12" t="inlineStr">
        <is>
          <t>TC-B1-0011</t>
        </is>
      </c>
      <c r="B12" s="13" t="inlineStr">
        <is>
          <t>TS-B1-009</t>
        </is>
      </c>
      <c r="C12" s="13" t="inlineStr">
        <is>
          <t>Acct Dashboard Financing</t>
        </is>
      </c>
      <c r="D12" s="13" t="inlineStr">
        <is>
          <t>Dashboard - Loan</t>
        </is>
      </c>
      <c r="E12" s="13" t="inlineStr">
        <is>
          <t>Validate successful final state for Personal Loan (Conventional)</t>
        </is>
      </c>
      <c r="F12" s="13" t="inlineStr">
        <is>
          <t>Positive</t>
        </is>
      </c>
      <c r="G12" s="13" t="inlineStr">
        <is>
          <t>High</t>
        </is>
      </c>
      <c r="H12" s="13" t="inlineStr">
        <is>
          <t>All required inputs and services are valid. Expected statuses: Active / Overdue / Closed</t>
        </is>
      </c>
      <c r="I12" s="13" t="inlineStr">
        <is>
          <t>Personal Loan (Conventional)</t>
        </is>
      </c>
      <c r="J12" s="13" t="inlineStr">
        <is>
          <t>1. Complete the end-to-end journey with valid data.
2. Submit/confirm the final action.
3. Verify result, receipt/notification where applicable, and persisted state.</t>
        </is>
      </c>
      <c r="K12" s="13" t="inlineStr">
        <is>
          <t>A valid success status from the requirement is shown. The transaction or change is applied once, persisted, and reflected on refresh.</t>
        </is>
      </c>
      <c r="L12" s="13" t="inlineStr">
        <is>
          <t>Not specified in FSD</t>
        </is>
      </c>
      <c r="M12" s="13" t="inlineStr">
        <is>
          <t>Active / Overdue / Closed</t>
        </is>
      </c>
      <c r="N12" s="13" t="inlineStr">
        <is>
          <t>Acct Dashboard Financing!B1:B62</t>
        </is>
      </c>
      <c r="O12" s="13" t="inlineStr">
        <is>
          <t>Not Run</t>
        </is>
      </c>
      <c r="P12" s="13" t="n"/>
      <c r="Q12" s="13" t="n"/>
      <c r="R12" s="14" t="n"/>
      <c r="S12" s="19" t="inlineStr">
        <is>
          <t>Loan API Design</t>
        </is>
      </c>
      <c r="T12" s="19" t="inlineStr">
        <is>
          <t>Loan transaction history</t>
        </is>
      </c>
      <c r="U12" s="19" t="inlineStr">
        <is>
          <t>GET</t>
        </is>
      </c>
      <c r="V12" s="19" t="inlineStr">
        <is>
          <t>/v1/external/accounts/account-type/{accountType}/account-id/{accountId}/transactions</t>
        </is>
      </c>
      <c r="W12" s="19" t="inlineStr">
        <is>
          <t>info-loan</t>
        </is>
      </c>
      <c r="X12" s="19" t="inlineStr">
        <is>
          <t>ECLIPSE_Account Dashboard_Loan_DDD_API_Design_v1_Workshop.xlsx</t>
        </is>
      </c>
      <c r="Y12" s="19" t="inlineStr">
        <is>
          <t>1.2 Personal Loan Acc
1.2.4 PL Shariah Acc
1.3 Auto Loan Acc
1.3.1 Auto Loan Shariah
1.4 Mortgage Loan Acc
1.4.1 Mortgage Loan Shariah</t>
        </is>
      </c>
      <c r="Z12" s="19" t="inlineStr">
        <is>
          <t>API_Specs_Index!A4:H4</t>
        </is>
      </c>
      <c r="AA12" s="22" t="inlineStr">
        <is>
          <t>API-027</t>
        </is>
      </c>
      <c r="AB12" s="19" t="inlineStr">
        <is>
          <t>Mapped to Loan transaction history because the test case terms align with the 1.2 Personal Loan Acc
1.2.4 PL Shariah Acc
1.3 Auto Loan Acc
1.3.1 Auto Loan Shariah
1.4 Mortgage Loan Acc
1.4.1 Mortgage Loan Shariah journey in the applicable API specification.</t>
        </is>
      </c>
      <c r="AC12" s="19" t="inlineStr">
        <is>
          <t>High</t>
        </is>
      </c>
      <c r="AD12" s="19" t="inlineStr">
        <is>
          <t>Pending ESB Spec</t>
        </is>
      </c>
    </row>
    <row r="13" ht="345" customHeight="1" s="2">
      <c r="A13" s="15" t="inlineStr">
        <is>
          <t>TC-B1-0012</t>
        </is>
      </c>
      <c r="B13" s="16" t="inlineStr">
        <is>
          <t>TS-B1-009</t>
        </is>
      </c>
      <c r="C13" s="16" t="inlineStr">
        <is>
          <t>Acct Dashboard Financing</t>
        </is>
      </c>
      <c r="D13" s="16" t="inlineStr">
        <is>
          <t>Dashboard - Loan</t>
        </is>
      </c>
      <c r="E13" s="16" t="inlineStr">
        <is>
          <t>Validate service failure and retry for Personal Loan (Conventional)</t>
        </is>
      </c>
      <c r="F13" s="16" t="inlineStr">
        <is>
          <t>Negative</t>
        </is>
      </c>
      <c r="G13" s="16" t="inlineStr">
        <is>
          <t>High</t>
        </is>
      </c>
      <c r="H13" s="16" t="inlineStr">
        <is>
          <t>Journey is available; simulate a controlled downstream timeout or unsuccessful response. Expected statuses: Active / Overdue / Closed</t>
        </is>
      </c>
      <c r="I13" s="16" t="inlineStr">
        <is>
          <t>Personal Loan (Conventional)</t>
        </is>
      </c>
      <c r="J13" s="16" t="inlineStr">
        <is>
          <t>1. Progress to the final action.
2. Trigger a timeout, unavailable service, or unsuccessful response.
3. Verify the error message and retry behavior.
4. Retry after service recovery.</t>
        </is>
      </c>
      <c r="K13" s="16" t="inlineStr">
        <is>
          <t>No duplicate action occurs. The configured unsuccessful/processing state is shown, retry is safe, and final status becomes consistent after recovery.</t>
        </is>
      </c>
      <c r="L13" s="16" t="inlineStr">
        <is>
          <t>Not specified in FSD</t>
        </is>
      </c>
      <c r="M13" s="16" t="inlineStr">
        <is>
          <t>Active / Overdue / Closed</t>
        </is>
      </c>
      <c r="N13" s="16" t="inlineStr">
        <is>
          <t>Acct Dashboard Financing!B1:B62</t>
        </is>
      </c>
      <c r="O13" s="16" t="inlineStr">
        <is>
          <t>Not Run</t>
        </is>
      </c>
      <c r="P13" s="16" t="n"/>
      <c r="Q13" s="16" t="n"/>
      <c r="R13" s="17" t="n"/>
      <c r="S13" s="19" t="inlineStr">
        <is>
          <t>Loan API Design</t>
        </is>
      </c>
      <c r="T13" s="19" t="inlineStr">
        <is>
          <t>Loan dashboard</t>
        </is>
      </c>
      <c r="U13" s="19" t="inlineStr">
        <is>
          <t>GET</t>
        </is>
      </c>
      <c r="V13" s="19" t="inlineStr">
        <is>
          <t>/v1/external/accounts?accountGroup={accountGroup}</t>
        </is>
      </c>
      <c r="W13" s="19" t="inlineStr">
        <is>
          <t>dep-dashboard</t>
        </is>
      </c>
      <c r="X13" s="19" t="inlineStr">
        <is>
          <t>ECLIPSE_Account Dashboard_Loan_DDD_API_Design_v1_Workshop.xlsx</t>
        </is>
      </c>
      <c r="Y13" s="19" t="inlineStr">
        <is>
          <t>1.1 Loan Dashboard - Landing</t>
        </is>
      </c>
      <c r="Z13" s="19" t="inlineStr">
        <is>
          <t>API_Specs_Index!A2:H2</t>
        </is>
      </c>
      <c r="AA13" s="22" t="inlineStr">
        <is>
          <t>API-026</t>
        </is>
      </c>
      <c r="AB13" s="19" t="inlineStr">
        <is>
          <t>Mapped to Loan dashboard because the test case terms align with the 1.1 Loan Dashboard - Landing journey in the applicable API specification.</t>
        </is>
      </c>
      <c r="AC13" s="19" t="inlineStr">
        <is>
          <t>High</t>
        </is>
      </c>
      <c r="AD13" s="19" t="inlineStr">
        <is>
          <t>When user tap "Loan/Financing" tab and screen is loaded getDashboard dep-dashboard GET /v1/external/accounts?featureType={featureType} example : /v1/external/accounts?featureType=DASHBOARD_LOAN { "status": 200, "message": "Request processed succes...</t>
        </is>
      </c>
    </row>
    <row r="14" ht="220.8" customHeight="1" s="2">
      <c r="A14" s="12" t="inlineStr">
        <is>
          <t>TC-B1-0013</t>
        </is>
      </c>
      <c r="B14" s="13" t="inlineStr">
        <is>
          <t>TS-B1-010</t>
        </is>
      </c>
      <c r="C14" s="13" t="inlineStr">
        <is>
          <t>Acct Dashboard Financing</t>
        </is>
      </c>
      <c r="D14" s="13" t="inlineStr">
        <is>
          <t>Dashboard - Loan</t>
        </is>
      </c>
      <c r="E14" s="13" t="inlineStr">
        <is>
          <t>Open Personal Loan (Shariah) from valid entry point</t>
        </is>
      </c>
      <c r="F14" s="13" t="inlineStr">
        <is>
          <t>Positive</t>
        </is>
      </c>
      <c r="G14" s="13" t="inlineStr">
        <is>
          <t>Medium</t>
        </is>
      </c>
      <c r="H14" s="13" t="inlineStr">
        <is>
          <t>Eligible user: Loan account holder</t>
        </is>
      </c>
      <c r="I14" s="13" t="inlineStr">
        <is>
          <t>Personal Loan (Shariah)</t>
        </is>
      </c>
      <c r="J14" s="13" t="inlineStr">
        <is>
          <t>1. Sign in at the required access level.
2. Navigate using: Loan Dashboard - Landing.
3. Select Personal Loan (Shariah).</t>
        </is>
      </c>
      <c r="K14" s="13" t="inlineStr">
        <is>
          <t>The correct Dashboard - Loan page opens and relevant product information is displayed without error.</t>
        </is>
      </c>
      <c r="L14" s="13" t="inlineStr">
        <is>
          <t>Not specified in FSD</t>
        </is>
      </c>
      <c r="M14" s="13" t="inlineStr">
        <is>
          <t>Active / Overdue / Closed</t>
        </is>
      </c>
      <c r="N14" s="13" t="inlineStr">
        <is>
          <t>Acct Dashboard Financing!C1:C62</t>
        </is>
      </c>
      <c r="O14" s="13" t="inlineStr">
        <is>
          <t>Not Run</t>
        </is>
      </c>
      <c r="P14" s="13" t="n"/>
      <c r="Q14" s="13" t="n"/>
      <c r="R14" s="14" t="n"/>
      <c r="S14" s="19" t="inlineStr">
        <is>
          <t>Loan API Design</t>
        </is>
      </c>
      <c r="T14" s="19" t="inlineStr">
        <is>
          <t>Loan dashboard</t>
        </is>
      </c>
      <c r="U14" s="19" t="inlineStr">
        <is>
          <t>GET</t>
        </is>
      </c>
      <c r="V14" s="19" t="inlineStr">
        <is>
          <t>/v1/external/accounts?accountGroup={accountGroup}</t>
        </is>
      </c>
      <c r="W14" s="19" t="inlineStr">
        <is>
          <t>dep-dashboard</t>
        </is>
      </c>
      <c r="X14" s="19" t="inlineStr">
        <is>
          <t>ECLIPSE_Account Dashboard_Loan_DDD_API_Design_v1_Workshop.xlsx</t>
        </is>
      </c>
      <c r="Y14" s="19" t="inlineStr">
        <is>
          <t>1.1 Loan Dashboard - Landing</t>
        </is>
      </c>
      <c r="Z14" s="19" t="inlineStr">
        <is>
          <t>API_Specs_Index!A2:H2</t>
        </is>
      </c>
      <c r="AA14" s="22" t="inlineStr">
        <is>
          <t>API-026</t>
        </is>
      </c>
      <c r="AB14" s="19" t="inlineStr">
        <is>
          <t>Mapped to Loan dashboard because the test case terms align with the 1.1 Loan Dashboard - Landing journey in the applicable API specification.</t>
        </is>
      </c>
      <c r="AC14" s="19" t="inlineStr">
        <is>
          <t>High</t>
        </is>
      </c>
      <c r="AD14" s="19" t="inlineStr">
        <is>
          <t>When user tap "Loan/Financing" tab and screen is loaded getDashboard dep-dashboard GET /v1/external/accounts?featureType={featureType} example : /v1/external/accounts?featureType=DASHBOARD_LOAN { "status": 200, "message": "Request processed succes...</t>
        </is>
      </c>
    </row>
    <row r="15" ht="331.2" customHeight="1" s="2">
      <c r="A15" s="15" t="inlineStr">
        <is>
          <t>TC-B1-0014</t>
        </is>
      </c>
      <c r="B15" s="16" t="inlineStr">
        <is>
          <t>TS-B1-010</t>
        </is>
      </c>
      <c r="C15" s="16" t="inlineStr">
        <is>
          <t>Acct Dashboard Financing</t>
        </is>
      </c>
      <c r="D15" s="16" t="inlineStr">
        <is>
          <t>Dashboard - Loan</t>
        </is>
      </c>
      <c r="E15" s="16" t="inlineStr">
        <is>
          <t>Validate ineligible or unavailable state for Personal Loan (Shariah)</t>
        </is>
      </c>
      <c r="F15" s="16" t="inlineStr">
        <is>
          <t>Negative</t>
        </is>
      </c>
      <c r="G15" s="16" t="inlineStr">
        <is>
          <t>High</t>
        </is>
      </c>
      <c r="H15" s="16" t="inlineStr">
        <is>
          <t>User or product does not meet one configured eligibility condition. Eligible baseline: Loan account holder</t>
        </is>
      </c>
      <c r="I15" s="16" t="inlineStr">
        <is>
          <t>Personal Loan (Shariah)</t>
        </is>
      </c>
      <c r="J15" s="16" t="inlineStr">
        <is>
          <t>1. Prepare an ineligible, unsupported, blocked, or unavailable test profile.
2. Navigate using: Loan Dashboard - Landing.
3. Attempt to open Personal Loan (Shariah).</t>
        </is>
      </c>
      <c r="K15" s="16" t="inlineStr">
        <is>
          <t>Access is prevented or the feature is hidden/disabled. A clear message is shown and no unauthorised data or action is exposed.</t>
        </is>
      </c>
      <c r="L15" s="16" t="inlineStr">
        <is>
          <t>Not specified in FSD</t>
        </is>
      </c>
      <c r="M15" s="16" t="inlineStr">
        <is>
          <t>Active / Overdue / Closed</t>
        </is>
      </c>
      <c r="N15" s="16" t="inlineStr">
        <is>
          <t>Acct Dashboard Financing!C1:C62</t>
        </is>
      </c>
      <c r="O15" s="16" t="inlineStr">
        <is>
          <t>Not Run</t>
        </is>
      </c>
      <c r="P15" s="16" t="n"/>
      <c r="Q15" s="16" t="n"/>
      <c r="R15" s="17" t="n"/>
      <c r="S15" s="19" t="inlineStr">
        <is>
          <t>Loan API Design</t>
        </is>
      </c>
      <c r="T15" s="19" t="inlineStr">
        <is>
          <t>Loan dashboard</t>
        </is>
      </c>
      <c r="U15" s="19" t="inlineStr">
        <is>
          <t>GET</t>
        </is>
      </c>
      <c r="V15" s="19" t="inlineStr">
        <is>
          <t>/v1/external/accounts?accountGroup={accountGroup}</t>
        </is>
      </c>
      <c r="W15" s="19" t="inlineStr">
        <is>
          <t>dep-dashboard</t>
        </is>
      </c>
      <c r="X15" s="19" t="inlineStr">
        <is>
          <t>ECLIPSE_Account Dashboard_Loan_DDD_API_Design_v1_Workshop.xlsx</t>
        </is>
      </c>
      <c r="Y15" s="19" t="inlineStr">
        <is>
          <t>1.1 Loan Dashboard - Landing</t>
        </is>
      </c>
      <c r="Z15" s="19" t="inlineStr">
        <is>
          <t>API_Specs_Index!A2:H2</t>
        </is>
      </c>
      <c r="AA15" s="22" t="inlineStr">
        <is>
          <t>API-026</t>
        </is>
      </c>
      <c r="AB15" s="19" t="inlineStr">
        <is>
          <t>Mapped to Loan dashboard because the test case terms align with the 1.1 Loan Dashboard - Landing journey in the applicable API specification.</t>
        </is>
      </c>
      <c r="AC15" s="19" t="inlineStr">
        <is>
          <t>High</t>
        </is>
      </c>
      <c r="AD15" s="19" t="inlineStr">
        <is>
          <t>When user tap "Loan/Financing" tab and screen is loaded getDashboard dep-dashboard GET /v1/external/accounts?featureType={featureType} example : /v1/external/accounts?featureType=DASHBOARD_LOAN { "status": 200, "message": "Request processed succes...</t>
        </is>
      </c>
    </row>
    <row r="16" ht="248.4" customHeight="1" s="2">
      <c r="A16" s="12" t="inlineStr">
        <is>
          <t>TC-B1-0015</t>
        </is>
      </c>
      <c r="B16" s="13" t="inlineStr">
        <is>
          <t>TS-B1-011</t>
        </is>
      </c>
      <c r="C16" s="13" t="inlineStr">
        <is>
          <t>Acct Dashboard Financing</t>
        </is>
      </c>
      <c r="D16" s="13" t="inlineStr">
        <is>
          <t>Dashboard - Loan</t>
        </is>
      </c>
      <c r="E16" s="13" t="inlineStr">
        <is>
          <t>Complete required authentication for Personal Loan (Shariah)</t>
        </is>
      </c>
      <c r="F16" s="13" t="inlineStr">
        <is>
          <t>Security</t>
        </is>
      </c>
      <c r="G16" s="13" t="inlineStr">
        <is>
          <t>High</t>
        </is>
      </c>
      <c r="H16" s="13" t="inlineStr">
        <is>
          <t>Eligible user; authentication method is active. Requirement: Not specified in FSD</t>
        </is>
      </c>
      <c r="I16" s="13" t="inlineStr">
        <is>
          <t>Personal Loan (Shariah)</t>
        </is>
      </c>
      <c r="J16" s="13" t="inlineStr">
        <is>
          <t>1. Start the protected action.
2. Complete the configured authentication with valid credentials.
3. Continue the journey.</t>
        </is>
      </c>
      <c r="K16" s="13" t="inlineStr">
        <is>
          <t>Authentication succeeds, the protected action continues once, and the user returns to the correct journey context.</t>
        </is>
      </c>
      <c r="L16" s="13" t="inlineStr">
        <is>
          <t>Not specified in FSD</t>
        </is>
      </c>
      <c r="M16" s="13" t="inlineStr">
        <is>
          <t>Active / Overdue / Closed</t>
        </is>
      </c>
      <c r="N16" s="13" t="inlineStr">
        <is>
          <t>Acct Dashboard Financing!C1:C62</t>
        </is>
      </c>
      <c r="O16" s="13" t="inlineStr">
        <is>
          <t>Not Run</t>
        </is>
      </c>
      <c r="P16" s="13" t="n"/>
      <c r="Q16" s="13" t="n"/>
      <c r="R16" s="14" t="n"/>
      <c r="S16" s="19" t="inlineStr">
        <is>
          <t>Loan API Design</t>
        </is>
      </c>
      <c r="T16" s="19" t="inlineStr">
        <is>
          <t>Loan dashboard</t>
        </is>
      </c>
      <c r="U16" s="19" t="inlineStr">
        <is>
          <t>GET</t>
        </is>
      </c>
      <c r="V16" s="19" t="inlineStr">
        <is>
          <t>/v1/external/accounts?accountGroup={accountGroup}</t>
        </is>
      </c>
      <c r="W16" s="19" t="inlineStr">
        <is>
          <t>dep-dashboard</t>
        </is>
      </c>
      <c r="X16" s="19" t="inlineStr">
        <is>
          <t>ECLIPSE_Account Dashboard_Loan_DDD_API_Design_v1_Workshop.xlsx</t>
        </is>
      </c>
      <c r="Y16" s="19" t="inlineStr">
        <is>
          <t>1.1 Loan Dashboard - Landing</t>
        </is>
      </c>
      <c r="Z16" s="19" t="inlineStr">
        <is>
          <t>API_Specs_Index!A2:H2</t>
        </is>
      </c>
      <c r="AA16" s="22" t="inlineStr">
        <is>
          <t>API-026</t>
        </is>
      </c>
      <c r="AB16" s="19" t="inlineStr">
        <is>
          <t>Mapped to Loan dashboard because the test case terms align with the 1.1 Loan Dashboard - Landing journey in the applicable API specification.</t>
        </is>
      </c>
      <c r="AC16" s="19" t="inlineStr">
        <is>
          <t>High</t>
        </is>
      </c>
      <c r="AD16" s="19" t="inlineStr">
        <is>
          <t>When user tap "Loan/Financing" tab and screen is loaded getDashboard dep-dashboard GET /v1/external/accounts?featureType={featureType} example : /v1/external/accounts?featureType=DASHBOARD_LOAN { "status": 200, "message": "Request processed succes...</t>
        </is>
      </c>
    </row>
    <row r="17" ht="303.6" customHeight="1" s="2">
      <c r="A17" s="15" t="inlineStr">
        <is>
          <t>TC-B1-0016</t>
        </is>
      </c>
      <c r="B17" s="16" t="inlineStr">
        <is>
          <t>TS-B1-011</t>
        </is>
      </c>
      <c r="C17" s="16" t="inlineStr">
        <is>
          <t>Acct Dashboard Financing</t>
        </is>
      </c>
      <c r="D17" s="16" t="inlineStr">
        <is>
          <t>Dashboard - Loan</t>
        </is>
      </c>
      <c r="E17" s="16" t="inlineStr">
        <is>
          <t>Reject invalid, cancelled, or expired authentication for Personal Loan (Shariah)</t>
        </is>
      </c>
      <c r="F17" s="16" t="inlineStr">
        <is>
          <t>Negative / Security</t>
        </is>
      </c>
      <c r="G17" s="16" t="inlineStr">
        <is>
          <t>High</t>
        </is>
      </c>
      <c r="H17" s="16" t="inlineStr">
        <is>
          <t>Eligible user; protected action requires authentication. Requirement: Not specified in FSD</t>
        </is>
      </c>
      <c r="I17" s="16" t="inlineStr">
        <is>
          <t>Personal Loan (Shariah)</t>
        </is>
      </c>
      <c r="J17" s="16" t="inlineStr">
        <is>
          <t>1. Start the protected action.
2. Enter invalid credentials, cancel, or allow the challenge to expire.
3. Observe the result.</t>
        </is>
      </c>
      <c r="K17" s="16" t="inlineStr">
        <is>
          <t>The action is not performed. The configured failure/lockout message is shown, sensitive data remains protected, and retry behavior follows the requirement.</t>
        </is>
      </c>
      <c r="L17" s="16" t="inlineStr">
        <is>
          <t>Not specified in FSD</t>
        </is>
      </c>
      <c r="M17" s="16" t="inlineStr">
        <is>
          <t>Active / Overdue / Closed</t>
        </is>
      </c>
      <c r="N17" s="16" t="inlineStr">
        <is>
          <t>Acct Dashboard Financing!C1:C62</t>
        </is>
      </c>
      <c r="O17" s="16" t="inlineStr">
        <is>
          <t>Not Run</t>
        </is>
      </c>
      <c r="P17" s="16" t="n"/>
      <c r="Q17" s="16" t="n"/>
      <c r="R17" s="17" t="n"/>
      <c r="S17" s="19" t="inlineStr">
        <is>
          <t>Loan API Design</t>
        </is>
      </c>
      <c r="T17" s="19" t="inlineStr">
        <is>
          <t>Loan dashboard</t>
        </is>
      </c>
      <c r="U17" s="19" t="inlineStr">
        <is>
          <t>GET</t>
        </is>
      </c>
      <c r="V17" s="19" t="inlineStr">
        <is>
          <t>/v1/external/accounts?accountGroup={accountGroup}</t>
        </is>
      </c>
      <c r="W17" s="19" t="inlineStr">
        <is>
          <t>dep-dashboard</t>
        </is>
      </c>
      <c r="X17" s="19" t="inlineStr">
        <is>
          <t>ECLIPSE_Account Dashboard_Loan_DDD_API_Design_v1_Workshop.xlsx</t>
        </is>
      </c>
      <c r="Y17" s="19" t="inlineStr">
        <is>
          <t>1.1 Loan Dashboard - Landing</t>
        </is>
      </c>
      <c r="Z17" s="19" t="inlineStr">
        <is>
          <t>API_Specs_Index!A2:H2</t>
        </is>
      </c>
      <c r="AA17" s="22" t="inlineStr">
        <is>
          <t>API-026</t>
        </is>
      </c>
      <c r="AB17" s="19" t="inlineStr">
        <is>
          <t>Mapped to Loan dashboard because the test case terms align with the 1.1 Loan Dashboard - Landing journey in the applicable API specification.</t>
        </is>
      </c>
      <c r="AC17" s="19" t="inlineStr">
        <is>
          <t>High</t>
        </is>
      </c>
      <c r="AD17" s="19" t="inlineStr">
        <is>
          <t>When user tap "Loan/Financing" tab and screen is loaded getDashboard dep-dashboard GET /v1/external/accounts?featureType={featureType} example : /v1/external/accounts?featureType=DASHBOARD_LOAN { "status": 200, "message": "Request processed succes...</t>
        </is>
      </c>
    </row>
    <row r="18" ht="409.6" customHeight="1" s="2">
      <c r="A18" s="12" t="inlineStr">
        <is>
          <t>TC-B1-0017</t>
        </is>
      </c>
      <c r="B18" s="13" t="inlineStr">
        <is>
          <t>TS-B1-012</t>
        </is>
      </c>
      <c r="C18" s="13" t="inlineStr">
        <is>
          <t>Acct Dashboard Financing</t>
        </is>
      </c>
      <c r="D18" s="13" t="inlineStr">
        <is>
          <t>Dashboard - Loan</t>
        </is>
      </c>
      <c r="E18" s="13" t="inlineStr">
        <is>
          <t>Validate Common Rules Reference for Personal Loan (Shariah)</t>
        </is>
      </c>
      <c r="F18" s="13" t="inlineStr">
        <is>
          <t>UI / Functional</t>
        </is>
      </c>
      <c r="G18" s="13" t="inlineStr">
        <is>
          <t>Medium</t>
        </is>
      </c>
      <c r="H18" s="13" t="inlineStr">
        <is>
          <t>Eligible user and product are available. User has reached the preceding journey step.</t>
        </is>
      </c>
      <c r="I18" s="13" t="inlineStr">
        <is>
          <t>Personal Loan (Shariah)</t>
        </is>
      </c>
      <c r="J18" s="13" t="inlineStr">
        <is>
          <t>1. Open Personal Loan (Shariah).
2. Navigate to Common Rules Reference.
3. Perform the action or trigger described by: Refer to Account Dashboard Common FSD.
4. Observe the page, validation, navigation, and resulting state.</t>
        </is>
      </c>
      <c r="K18" s="13" t="inlineStr">
        <is>
          <t>Common Rules Reference behaves according to the mapped requirement (Refer to Account Dashboard Common FSD); data, controls, navigation, and status are accurate and consistent.</t>
        </is>
      </c>
      <c r="L18" s="13" t="inlineStr">
        <is>
          <t>Not specified in FSD</t>
        </is>
      </c>
      <c r="M18" s="13" t="inlineStr">
        <is>
          <t>Active / Overdue / Closed</t>
        </is>
      </c>
      <c r="N18" s="13" t="inlineStr">
        <is>
          <t>Acct Dashboard Financing!A9:C9</t>
        </is>
      </c>
      <c r="O18" s="13" t="inlineStr">
        <is>
          <t>Not Run</t>
        </is>
      </c>
      <c r="P18" s="13" t="n"/>
      <c r="Q18" s="13" t="n"/>
      <c r="R18" s="14" t="n"/>
      <c r="S18" s="19" t="inlineStr">
        <is>
          <t>Loan API Design</t>
        </is>
      </c>
      <c r="T18" s="19" t="inlineStr">
        <is>
          <t>Loan dashboard</t>
        </is>
      </c>
      <c r="U18" s="19" t="inlineStr">
        <is>
          <t>GET</t>
        </is>
      </c>
      <c r="V18" s="19" t="inlineStr">
        <is>
          <t>/v1/external/accounts?accountGroup={accountGroup}</t>
        </is>
      </c>
      <c r="W18" s="19" t="inlineStr">
        <is>
          <t>dep-dashboard</t>
        </is>
      </c>
      <c r="X18" s="19" t="inlineStr">
        <is>
          <t>ECLIPSE_Account Dashboard_Loan_DDD_API_Design_v1_Workshop.xlsx</t>
        </is>
      </c>
      <c r="Y18" s="19" t="inlineStr">
        <is>
          <t>1.1 Loan Dashboard - Landing</t>
        </is>
      </c>
      <c r="Z18" s="19" t="inlineStr">
        <is>
          <t>API_Specs_Index!A2:H2</t>
        </is>
      </c>
      <c r="AA18" s="22" t="inlineStr">
        <is>
          <t>API-026</t>
        </is>
      </c>
      <c r="AB18" s="19" t="inlineStr">
        <is>
          <t>Mapped to Loan dashboard because the test case terms align with the 1.1 Loan Dashboard - Landing journey in the applicable API specification.</t>
        </is>
      </c>
      <c r="AC18" s="19" t="inlineStr">
        <is>
          <t>High</t>
        </is>
      </c>
      <c r="AD18" s="19" t="inlineStr">
        <is>
          <t>When user tap "Loan/Financing" tab and screen is loaded getDashboard dep-dashboard GET /v1/external/accounts?featureType={featureType} example : /v1/external/accounts?featureType=DASHBOARD_LOAN { "status": 200, "message": "Request processed succes...</t>
        </is>
      </c>
    </row>
    <row r="19" ht="372.6" customHeight="1" s="2">
      <c r="A19" s="15" t="inlineStr">
        <is>
          <t>TC-B1-0018</t>
        </is>
      </c>
      <c r="B19" s="16" t="inlineStr">
        <is>
          <t>TS-B1-013</t>
        </is>
      </c>
      <c r="C19" s="16" t="inlineStr">
        <is>
          <t>Acct Dashboard Financing</t>
        </is>
      </c>
      <c r="D19" s="16" t="inlineStr">
        <is>
          <t>Dashboard - Loan</t>
        </is>
      </c>
      <c r="E19" s="16" t="inlineStr">
        <is>
          <t>Validate 1.1 Loan Dashboard - Landing for Personal Loan (Shariah)</t>
        </is>
      </c>
      <c r="F19" s="16" t="inlineStr">
        <is>
          <t>UI / Functional</t>
        </is>
      </c>
      <c r="G19" s="16" t="inlineStr">
        <is>
          <t>Medium</t>
        </is>
      </c>
      <c r="H19" s="16" t="inlineStr">
        <is>
          <t>Eligible user and product are available. User has reached the preceding journey step.</t>
        </is>
      </c>
      <c r="I19" s="16" t="inlineStr">
        <is>
          <t>Personal Loan (Shariah)</t>
        </is>
      </c>
      <c r="J19" s="16" t="inlineStr">
        <is>
          <t>1. Open Personal Loan (Shariah).
2. Navigate to 1.1 Loan Dashboard - Landing.
3. Perform the action or trigger described by: Step 1.
4. Observe the page, validation, navigation, and resulting state.</t>
        </is>
      </c>
      <c r="K19" s="16" t="inlineStr">
        <is>
          <t>1.1 Loan Dashboard - Landing behaves according to the mapped requirement (Step 1); data, controls, navigation, and status are accurate and consistent.</t>
        </is>
      </c>
      <c r="L19" s="16" t="inlineStr">
        <is>
          <t>Not specified in FSD</t>
        </is>
      </c>
      <c r="M19" s="16" t="inlineStr">
        <is>
          <t>Active / Overdue / Closed</t>
        </is>
      </c>
      <c r="N19" s="16" t="inlineStr">
        <is>
          <t>Acct Dashboard Financing!A10:C10</t>
        </is>
      </c>
      <c r="O19" s="16" t="inlineStr">
        <is>
          <t>Not Run</t>
        </is>
      </c>
      <c r="P19" s="16" t="n"/>
      <c r="Q19" s="16" t="n"/>
      <c r="R19" s="17" t="n"/>
      <c r="S19" s="19" t="inlineStr">
        <is>
          <t>Loan API Design</t>
        </is>
      </c>
      <c r="T19" s="19" t="inlineStr">
        <is>
          <t>Loan dashboard</t>
        </is>
      </c>
      <c r="U19" s="19" t="inlineStr">
        <is>
          <t>GET</t>
        </is>
      </c>
      <c r="V19" s="19" t="inlineStr">
        <is>
          <t>/v1/external/accounts?accountGroup={accountGroup}</t>
        </is>
      </c>
      <c r="W19" s="19" t="inlineStr">
        <is>
          <t>dep-dashboard</t>
        </is>
      </c>
      <c r="X19" s="19" t="inlineStr">
        <is>
          <t>ECLIPSE_Account Dashboard_Loan_DDD_API_Design_v1_Workshop.xlsx</t>
        </is>
      </c>
      <c r="Y19" s="19" t="inlineStr">
        <is>
          <t>1.1 Loan Dashboard - Landing</t>
        </is>
      </c>
      <c r="Z19" s="19" t="inlineStr">
        <is>
          <t>API_Specs_Index!A2:H2</t>
        </is>
      </c>
      <c r="AA19" s="22" t="inlineStr">
        <is>
          <t>API-026</t>
        </is>
      </c>
      <c r="AB19" s="19" t="inlineStr">
        <is>
          <t>Mapped to Loan dashboard because the test case terms align with the 1.1 Loan Dashboard - Landing journey in the applicable API specification.</t>
        </is>
      </c>
      <c r="AC19" s="19" t="inlineStr">
        <is>
          <t>High</t>
        </is>
      </c>
      <c r="AD19" s="19" t="inlineStr">
        <is>
          <t>When user tap "Loan/Financing" tab and screen is loaded getDashboard dep-dashboard GET /v1/external/accounts?featureType={featureType} example : /v1/external/accounts?featureType=DASHBOARD_LOAN { "status": 200, "message": "Request processed succes...</t>
        </is>
      </c>
    </row>
    <row r="20" ht="409.6" customHeight="1" s="2">
      <c r="A20" s="12" t="inlineStr">
        <is>
          <t>TC-B1-0019</t>
        </is>
      </c>
      <c r="B20" s="13" t="inlineStr">
        <is>
          <t>TS-B1-014</t>
        </is>
      </c>
      <c r="C20" s="13" t="inlineStr">
        <is>
          <t>Acct Dashboard Financing</t>
        </is>
      </c>
      <c r="D20" s="13" t="inlineStr">
        <is>
          <t>Dashboard - Loan</t>
        </is>
      </c>
      <c r="E20" s="13" t="inlineStr">
        <is>
          <t>Validate 1.2.1 View All Trans for Personal Loan (Shariah)</t>
        </is>
      </c>
      <c r="F20" s="13" t="inlineStr">
        <is>
          <t>Functional</t>
        </is>
      </c>
      <c r="G20" s="13" t="inlineStr">
        <is>
          <t>Medium</t>
        </is>
      </c>
      <c r="H20" s="13" t="inlineStr">
        <is>
          <t>Eligible user and product are available. Trigger the stated condition: Conditional Step 3 - when View all transactions is selected</t>
        </is>
      </c>
      <c r="I20" s="13" t="inlineStr">
        <is>
          <t>Personal Loan (Shariah)</t>
        </is>
      </c>
      <c r="J20" s="13" t="inlineStr">
        <is>
          <t>1. Open Personal Loan (Shariah).
2. Navigate to 1.2.1 View All Trans.
3. Perform the action or trigger described by: Conditional Step 3 - when View all transactions is selected.
4. Observe the page, validation, navigation, and resulting state.</t>
        </is>
      </c>
      <c r="K20" s="13" t="inlineStr">
        <is>
          <t>1.2.1 View All Trans behaves according to the mapped requirement (Conditional Step 3 - when View all transactions is selected); data, controls, navigation, and status are accurate and consistent.</t>
        </is>
      </c>
      <c r="L20" s="13" t="inlineStr">
        <is>
          <t>Not specified in FSD</t>
        </is>
      </c>
      <c r="M20" s="13" t="inlineStr">
        <is>
          <t>Active / Overdue / Closed</t>
        </is>
      </c>
      <c r="N20" s="13" t="inlineStr">
        <is>
          <t>Acct Dashboard Financing!A12:C12</t>
        </is>
      </c>
      <c r="O20" s="13" t="inlineStr">
        <is>
          <t>Not Run</t>
        </is>
      </c>
      <c r="P20" s="13" t="n"/>
      <c r="Q20" s="13" t="n"/>
      <c r="R20" s="14" t="inlineStr">
        <is>
          <t>Conditional coverage required.</t>
        </is>
      </c>
      <c r="S20" s="19" t="inlineStr">
        <is>
          <t>Loan API Design</t>
        </is>
      </c>
      <c r="T20" s="19" t="inlineStr">
        <is>
          <t>Loan transaction history</t>
        </is>
      </c>
      <c r="U20" s="19" t="inlineStr">
        <is>
          <t>GET</t>
        </is>
      </c>
      <c r="V20" s="19" t="inlineStr">
        <is>
          <t>/v1/external/accounts/account-type/{accountType}/account-id/{accountId}/transactions</t>
        </is>
      </c>
      <c r="W20" s="19" t="inlineStr">
        <is>
          <t>info-loan</t>
        </is>
      </c>
      <c r="X20" s="19" t="inlineStr">
        <is>
          <t>ECLIPSE_Account Dashboard_Loan_DDD_API_Design_v1_Workshop.xlsx</t>
        </is>
      </c>
      <c r="Y20" s="19" t="inlineStr">
        <is>
          <t>1.2 Personal Loan Acc
1.2.4 PL Shariah Acc
1.3 Auto Loan Acc
1.3.1 Auto Loan Shariah
1.4 Mortgage Loan Acc
1.4.1 Mortgage Loan Shariah</t>
        </is>
      </c>
      <c r="Z20" s="19" t="inlineStr">
        <is>
          <t>API_Specs_Index!A4:H4</t>
        </is>
      </c>
      <c r="AA20" s="22" t="inlineStr">
        <is>
          <t>API-027</t>
        </is>
      </c>
      <c r="AB20"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0" s="19" t="inlineStr">
        <is>
          <t>High</t>
        </is>
      </c>
      <c r="AD20" s="19" t="inlineStr">
        <is>
          <t>Pending ESB Spec</t>
        </is>
      </c>
    </row>
    <row r="21" ht="358.8" customHeight="1" s="2">
      <c r="A21" s="15" t="inlineStr">
        <is>
          <t>TC-B1-0020</t>
        </is>
      </c>
      <c r="B21" s="16" t="inlineStr">
        <is>
          <t>TS-B1-015</t>
        </is>
      </c>
      <c r="C21" s="16" t="inlineStr">
        <is>
          <t>Acct Dashboard Financing</t>
        </is>
      </c>
      <c r="D21" s="16" t="inlineStr">
        <is>
          <t>Dashboard - Loan</t>
        </is>
      </c>
      <c r="E21" s="16" t="inlineStr">
        <is>
          <t>Validate 1.2.4 PL Shariah Acc for Personal Loan (Shariah)</t>
        </is>
      </c>
      <c r="F21" s="16" t="inlineStr">
        <is>
          <t>Functional</t>
        </is>
      </c>
      <c r="G21" s="16" t="inlineStr">
        <is>
          <t>Medium</t>
        </is>
      </c>
      <c r="H21" s="16" t="inlineStr">
        <is>
          <t>Eligible user and product are available. User has reached the preceding journey step.</t>
        </is>
      </c>
      <c r="I21" s="16" t="inlineStr">
        <is>
          <t>Personal Loan (Shariah)</t>
        </is>
      </c>
      <c r="J21" s="16" t="inlineStr">
        <is>
          <t>1. Open Personal Loan (Shariah).
2. Navigate to 1.2.4 PL Shariah Acc.
3. Perform the action or trigger described by: Step 6.
4. Observe the page, validation, navigation, and resulting state.</t>
        </is>
      </c>
      <c r="K21" s="16" t="inlineStr">
        <is>
          <t>1.2.4 PL Shariah Acc behaves according to the mapped requirement (Step 6); data, controls, navigation, and status are accurate and consistent.</t>
        </is>
      </c>
      <c r="L21" s="16" t="inlineStr">
        <is>
          <t>Not specified in FSD</t>
        </is>
      </c>
      <c r="M21" s="16" t="inlineStr">
        <is>
          <t>Active / Overdue / Closed</t>
        </is>
      </c>
      <c r="N21" s="16" t="inlineStr">
        <is>
          <t>Acct Dashboard Financing!A15:C15</t>
        </is>
      </c>
      <c r="O21" s="16" t="inlineStr">
        <is>
          <t>Not Run</t>
        </is>
      </c>
      <c r="P21" s="16" t="n"/>
      <c r="Q21" s="16" t="n"/>
      <c r="R21" s="17" t="n"/>
      <c r="S21" s="19" t="inlineStr">
        <is>
          <t>Loan API Design</t>
        </is>
      </c>
      <c r="T21" s="19" t="inlineStr">
        <is>
          <t>Loan dashboard</t>
        </is>
      </c>
      <c r="U21" s="19" t="inlineStr">
        <is>
          <t>GET</t>
        </is>
      </c>
      <c r="V21" s="19" t="inlineStr">
        <is>
          <t>/v1/external/accounts?accountGroup={accountGroup}</t>
        </is>
      </c>
      <c r="W21" s="19" t="inlineStr">
        <is>
          <t>dep-dashboard</t>
        </is>
      </c>
      <c r="X21" s="19" t="inlineStr">
        <is>
          <t>ECLIPSE_Account Dashboard_Loan_DDD_API_Design_v1_Workshop.xlsx</t>
        </is>
      </c>
      <c r="Y21" s="19" t="inlineStr">
        <is>
          <t>1.1 Loan Dashboard - Landing</t>
        </is>
      </c>
      <c r="Z21" s="19" t="inlineStr">
        <is>
          <t>API_Specs_Index!A2:H2</t>
        </is>
      </c>
      <c r="AA21" s="22" t="inlineStr">
        <is>
          <t>API-026</t>
        </is>
      </c>
      <c r="AB21" s="19" t="inlineStr">
        <is>
          <t>Mapped to Loan dashboard because the test case terms align with the 1.1 Loan Dashboard - Landing journey in the applicable API specification.</t>
        </is>
      </c>
      <c r="AC21" s="19" t="inlineStr">
        <is>
          <t>High</t>
        </is>
      </c>
      <c r="AD21" s="19" t="inlineStr">
        <is>
          <t>When user tap "Loan/Financing" tab and screen is loaded getDashboard dep-dashboard GET /v1/external/accounts?featureType={featureType} example : /v1/external/accounts?featureType=DASHBOARD_LOAN { "status": 200, "message": "Request processed succes...</t>
        </is>
      </c>
    </row>
    <row r="22" ht="372.6" customHeight="1" s="2">
      <c r="A22" s="12" t="inlineStr">
        <is>
          <t>TC-B1-0021</t>
        </is>
      </c>
      <c r="B22" s="13" t="inlineStr">
        <is>
          <t>TS-B1-016</t>
        </is>
      </c>
      <c r="C22" s="13" t="inlineStr">
        <is>
          <t>Acct Dashboard Financing</t>
        </is>
      </c>
      <c r="D22" s="13" t="inlineStr">
        <is>
          <t>Dashboard - Loan</t>
        </is>
      </c>
      <c r="E22" s="13" t="inlineStr">
        <is>
          <t>Validate 1.2.5 PL Shariah Summary for Personal Loan (Shariah)</t>
        </is>
      </c>
      <c r="F22" s="13" t="inlineStr">
        <is>
          <t>UI / Functional</t>
        </is>
      </c>
      <c r="G22" s="13" t="inlineStr">
        <is>
          <t>Medium</t>
        </is>
      </c>
      <c r="H22" s="13" t="inlineStr">
        <is>
          <t>Eligible user and product are available. User has reached the preceding journey step.</t>
        </is>
      </c>
      <c r="I22" s="13" t="inlineStr">
        <is>
          <t>Personal Loan (Shariah)</t>
        </is>
      </c>
      <c r="J22" s="13" t="inlineStr">
        <is>
          <t>1. Open Personal Loan (Shariah).
2. Navigate to 1.2.5 PL Shariah Summary.
3. Perform the action or trigger described by: Step 7.
4. Observe the page, validation, navigation, and resulting state.</t>
        </is>
      </c>
      <c r="K22" s="13" t="inlineStr">
        <is>
          <t>1.2.5 PL Shariah Summary behaves according to the mapped requirement (Step 7); data, controls, navigation, and status are accurate and consistent.</t>
        </is>
      </c>
      <c r="L22" s="13" t="inlineStr">
        <is>
          <t>Not specified in FSD</t>
        </is>
      </c>
      <c r="M22" s="13" t="inlineStr">
        <is>
          <t>Active / Overdue / Closed</t>
        </is>
      </c>
      <c r="N22" s="13" t="inlineStr">
        <is>
          <t>Acct Dashboard Financing!A16:C16</t>
        </is>
      </c>
      <c r="O22" s="13" t="inlineStr">
        <is>
          <t>Not Run</t>
        </is>
      </c>
      <c r="P22" s="13" t="n"/>
      <c r="Q22" s="13" t="n"/>
      <c r="R22" s="14" t="n"/>
      <c r="S22" s="19" t="inlineStr">
        <is>
          <t>Loan API Design</t>
        </is>
      </c>
      <c r="T22" s="19" t="inlineStr">
        <is>
          <t>Loan detail</t>
        </is>
      </c>
      <c r="U22" s="19" t="inlineStr">
        <is>
          <t>GET</t>
        </is>
      </c>
      <c r="V22" s="19" t="inlineStr">
        <is>
          <t>/v1/external/accounts/account-type/{accountType}/account-id/{accountId}/detail</t>
        </is>
      </c>
      <c r="W22" s="19" t="inlineStr">
        <is>
          <t>info-loan</t>
        </is>
      </c>
      <c r="X22" s="19" t="inlineStr">
        <is>
          <t>ECLIPSE_Account Dashboard_Loan_DDD_API_Design_v1_Workshop.xlsx</t>
        </is>
      </c>
      <c r="Y22" s="19" t="inlineStr">
        <is>
          <t>1.2.2 PL Convent Summary
1.2.5 PL Shariah Summary
1.3 Auto Loan Acc
1.3.1 Auto Loan Shariah
1.4 Mortgage Loan Acc
1.4.1 Mortgage Loan Shariah</t>
        </is>
      </c>
      <c r="Z22" s="19" t="inlineStr">
        <is>
          <t>API_Specs_Index!A9:H9</t>
        </is>
      </c>
      <c r="AA22" s="22" t="inlineStr">
        <is>
          <t>API-029</t>
        </is>
      </c>
      <c r="AB22" s="19" t="inlineStr">
        <is>
          <t>Mapped to Loan detail because the test case terms align with the 1.2.2 PL Convent Summary
1.2.5 PL Shariah Summary
1.3 Auto Loan Acc
1.3.1 Auto Loan Shariah
1.4 Mortgage Loan Acc
1.4.1 Mortgage Loan Shariah journey in the applicable API specification.</t>
        </is>
      </c>
      <c r="AC22" s="19" t="inlineStr">
        <is>
          <t>High</t>
        </is>
      </c>
      <c r="AD22" s="19" t="inlineStr">
        <is>
          <t>ESB_API_Spec_AccountInfo_v2.8 -&gt; Account Balance Details 
Pending discussion for the the missing fields</t>
        </is>
      </c>
    </row>
    <row r="23" ht="358.8" customHeight="1" s="2">
      <c r="A23" s="15" t="inlineStr">
        <is>
          <t>TC-B1-0022</t>
        </is>
      </c>
      <c r="B23" s="16" t="inlineStr">
        <is>
          <t>TS-B1-017</t>
        </is>
      </c>
      <c r="C23" s="16" t="inlineStr">
        <is>
          <t>Acct Dashboard Financing</t>
        </is>
      </c>
      <c r="D23" s="16" t="inlineStr">
        <is>
          <t>Dashboard - Loan</t>
        </is>
      </c>
      <c r="E23" s="16" t="inlineStr">
        <is>
          <t>Validate 1.2.6 PL Shariah Manage for Personal Loan (Shariah)</t>
        </is>
      </c>
      <c r="F23" s="16" t="inlineStr">
        <is>
          <t>Functional</t>
        </is>
      </c>
      <c r="G23" s="16" t="inlineStr">
        <is>
          <t>Medium</t>
        </is>
      </c>
      <c r="H23" s="16" t="inlineStr">
        <is>
          <t>Eligible user and product are available. User has reached the preceding journey step.</t>
        </is>
      </c>
      <c r="I23" s="16" t="inlineStr">
        <is>
          <t>Personal Loan (Shariah)</t>
        </is>
      </c>
      <c r="J23" s="16" t="inlineStr">
        <is>
          <t>1. Open Personal Loan (Shariah).
2. Navigate to 1.2.6 PL Shariah Manage.
3. Perform the action or trigger described by: Step 8.
4. Observe the page, validation, navigation, and resulting state.</t>
        </is>
      </c>
      <c r="K23" s="16" t="inlineStr">
        <is>
          <t>1.2.6 PL Shariah Manage behaves according to the mapped requirement (Step 8); data, controls, navigation, and status are accurate and consistent.</t>
        </is>
      </c>
      <c r="L23" s="16" t="inlineStr">
        <is>
          <t>Not specified in FSD</t>
        </is>
      </c>
      <c r="M23" s="16" t="inlineStr">
        <is>
          <t>Active / Overdue / Closed</t>
        </is>
      </c>
      <c r="N23" s="16" t="inlineStr">
        <is>
          <t>Acct Dashboard Financing!A17:C17</t>
        </is>
      </c>
      <c r="O23" s="16" t="inlineStr">
        <is>
          <t>Not Run</t>
        </is>
      </c>
      <c r="P23" s="16" t="n"/>
      <c r="Q23" s="16" t="n"/>
      <c r="R23" s="17" t="n"/>
      <c r="S23" s="19" t="inlineStr">
        <is>
          <t>Loan API Design</t>
        </is>
      </c>
      <c r="T23" s="19" t="inlineStr">
        <is>
          <t>Loan dashboard</t>
        </is>
      </c>
      <c r="U23" s="19" t="inlineStr">
        <is>
          <t>GET</t>
        </is>
      </c>
      <c r="V23" s="19" t="inlineStr">
        <is>
          <t>/v1/external/accounts?accountGroup={accountGroup}</t>
        </is>
      </c>
      <c r="W23" s="19" t="inlineStr">
        <is>
          <t>dep-dashboard</t>
        </is>
      </c>
      <c r="X23" s="19" t="inlineStr">
        <is>
          <t>ECLIPSE_Account Dashboard_Loan_DDD_API_Design_v1_Workshop.xlsx</t>
        </is>
      </c>
      <c r="Y23" s="19" t="inlineStr">
        <is>
          <t>1.1 Loan Dashboard - Landing</t>
        </is>
      </c>
      <c r="Z23" s="19" t="inlineStr">
        <is>
          <t>API_Specs_Index!A2:H2</t>
        </is>
      </c>
      <c r="AA23" s="22" t="inlineStr">
        <is>
          <t>API-026</t>
        </is>
      </c>
      <c r="AB23" s="19" t="inlineStr">
        <is>
          <t>Mapped to Loan dashboard because the test case terms align with the 1.1 Loan Dashboard - Landing journey in the applicable API specification.</t>
        </is>
      </c>
      <c r="AC23" s="19" t="inlineStr">
        <is>
          <t>High</t>
        </is>
      </c>
      <c r="AD23" s="19" t="inlineStr">
        <is>
          <t>When user tap "Loan/Financing" tab and screen is loaded getDashboard dep-dashboard GET /v1/external/accounts?featureType={featureType} example : /v1/external/accounts?featureType=DASHBOARD_LOAN { "status": 200, "message": "Request processed succes...</t>
        </is>
      </c>
    </row>
    <row r="24" ht="289.8" customHeight="1" s="2">
      <c r="A24" s="12" t="inlineStr">
        <is>
          <t>TC-B1-0023</t>
        </is>
      </c>
      <c r="B24" s="13" t="inlineStr">
        <is>
          <t>TS-B1-018</t>
        </is>
      </c>
      <c r="C24" s="13" t="inlineStr">
        <is>
          <t>Acct Dashboard Financing</t>
        </is>
      </c>
      <c r="D24" s="13" t="inlineStr">
        <is>
          <t>Dashboard - Loan</t>
        </is>
      </c>
      <c r="E24" s="13" t="inlineStr">
        <is>
          <t>Validate successful final state for Personal Loan (Shariah)</t>
        </is>
      </c>
      <c r="F24" s="13" t="inlineStr">
        <is>
          <t>Positive</t>
        </is>
      </c>
      <c r="G24" s="13" t="inlineStr">
        <is>
          <t>High</t>
        </is>
      </c>
      <c r="H24" s="13" t="inlineStr">
        <is>
          <t>All required inputs and services are valid. Expected statuses: Active / Overdue / Closed</t>
        </is>
      </c>
      <c r="I24" s="13" t="inlineStr">
        <is>
          <t>Personal Loan (Shariah)</t>
        </is>
      </c>
      <c r="J24" s="13" t="inlineStr">
        <is>
          <t>1. Complete the end-to-end journey with valid data.
2. Submit/confirm the final action.
3. Verify result, receipt/notification where applicable, and persisted state.</t>
        </is>
      </c>
      <c r="K24" s="13" t="inlineStr">
        <is>
          <t>A valid success status from the requirement is shown. The transaction or change is applied once, persisted, and reflected on refresh.</t>
        </is>
      </c>
      <c r="L24" s="13" t="inlineStr">
        <is>
          <t>Not specified in FSD</t>
        </is>
      </c>
      <c r="M24" s="13" t="inlineStr">
        <is>
          <t>Active / Overdue / Closed</t>
        </is>
      </c>
      <c r="N24" s="13" t="inlineStr">
        <is>
          <t>Acct Dashboard Financing!C1:C62</t>
        </is>
      </c>
      <c r="O24" s="13" t="inlineStr">
        <is>
          <t>Not Run</t>
        </is>
      </c>
      <c r="P24" s="13" t="n"/>
      <c r="Q24" s="13" t="n"/>
      <c r="R24" s="14" t="n"/>
      <c r="S24" s="19" t="inlineStr">
        <is>
          <t>Loan API Design</t>
        </is>
      </c>
      <c r="T24" s="19" t="inlineStr">
        <is>
          <t>Loan transaction history</t>
        </is>
      </c>
      <c r="U24" s="19" t="inlineStr">
        <is>
          <t>GET</t>
        </is>
      </c>
      <c r="V24" s="19" t="inlineStr">
        <is>
          <t>/v1/external/accounts/account-type/{accountType}/account-id/{accountId}/transactions</t>
        </is>
      </c>
      <c r="W24" s="19" t="inlineStr">
        <is>
          <t>info-loan</t>
        </is>
      </c>
      <c r="X24" s="19" t="inlineStr">
        <is>
          <t>ECLIPSE_Account Dashboard_Loan_DDD_API_Design_v1_Workshop.xlsx</t>
        </is>
      </c>
      <c r="Y24" s="19" t="inlineStr">
        <is>
          <t>1.2 Personal Loan Acc
1.2.4 PL Shariah Acc
1.3 Auto Loan Acc
1.3.1 Auto Loan Shariah
1.4 Mortgage Loan Acc
1.4.1 Mortgage Loan Shariah</t>
        </is>
      </c>
      <c r="Z24" s="19" t="inlineStr">
        <is>
          <t>API_Specs_Index!A4:H4</t>
        </is>
      </c>
      <c r="AA24" s="22" t="inlineStr">
        <is>
          <t>API-027</t>
        </is>
      </c>
      <c r="AB24"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4" s="19" t="inlineStr">
        <is>
          <t>High</t>
        </is>
      </c>
      <c r="AD24" s="19" t="inlineStr">
        <is>
          <t>Pending ESB Spec</t>
        </is>
      </c>
    </row>
    <row r="25" ht="345" customHeight="1" s="2">
      <c r="A25" s="15" t="inlineStr">
        <is>
          <t>TC-B1-0024</t>
        </is>
      </c>
      <c r="B25" s="16" t="inlineStr">
        <is>
          <t>TS-B1-018</t>
        </is>
      </c>
      <c r="C25" s="16" t="inlineStr">
        <is>
          <t>Acct Dashboard Financing</t>
        </is>
      </c>
      <c r="D25" s="16" t="inlineStr">
        <is>
          <t>Dashboard - Loan</t>
        </is>
      </c>
      <c r="E25" s="16" t="inlineStr">
        <is>
          <t>Validate service failure and retry for Personal Loan (Shariah)</t>
        </is>
      </c>
      <c r="F25" s="16" t="inlineStr">
        <is>
          <t>Negative</t>
        </is>
      </c>
      <c r="G25" s="16" t="inlineStr">
        <is>
          <t>High</t>
        </is>
      </c>
      <c r="H25" s="16" t="inlineStr">
        <is>
          <t>Journey is available; simulate a controlled downstream timeout or unsuccessful response. Expected statuses: Active / Overdue / Closed</t>
        </is>
      </c>
      <c r="I25" s="16" t="inlineStr">
        <is>
          <t>Personal Loan (Shariah)</t>
        </is>
      </c>
      <c r="J25" s="16" t="inlineStr">
        <is>
          <t>1. Progress to the final action.
2. Trigger a timeout, unavailable service, or unsuccessful response.
3. Verify the error message and retry behavior.
4. Retry after service recovery.</t>
        </is>
      </c>
      <c r="K25" s="16" t="inlineStr">
        <is>
          <t>No duplicate action occurs. The configured unsuccessful/processing state is shown, retry is safe, and final status becomes consistent after recovery.</t>
        </is>
      </c>
      <c r="L25" s="16" t="inlineStr">
        <is>
          <t>Not specified in FSD</t>
        </is>
      </c>
      <c r="M25" s="16" t="inlineStr">
        <is>
          <t>Active / Overdue / Closed</t>
        </is>
      </c>
      <c r="N25" s="16" t="inlineStr">
        <is>
          <t>Acct Dashboard Financing!C1:C62</t>
        </is>
      </c>
      <c r="O25" s="16" t="inlineStr">
        <is>
          <t>Not Run</t>
        </is>
      </c>
      <c r="P25" s="16" t="n"/>
      <c r="Q25" s="16" t="n"/>
      <c r="R25" s="17" t="n"/>
      <c r="S25" s="19" t="inlineStr">
        <is>
          <t>Loan API Design</t>
        </is>
      </c>
      <c r="T25" s="19" t="inlineStr">
        <is>
          <t>Loan dashboard</t>
        </is>
      </c>
      <c r="U25" s="19" t="inlineStr">
        <is>
          <t>GET</t>
        </is>
      </c>
      <c r="V25" s="19" t="inlineStr">
        <is>
          <t>/v1/external/accounts?accountGroup={accountGroup}</t>
        </is>
      </c>
      <c r="W25" s="19" t="inlineStr">
        <is>
          <t>dep-dashboard</t>
        </is>
      </c>
      <c r="X25" s="19" t="inlineStr">
        <is>
          <t>ECLIPSE_Account Dashboard_Loan_DDD_API_Design_v1_Workshop.xlsx</t>
        </is>
      </c>
      <c r="Y25" s="19" t="inlineStr">
        <is>
          <t>1.1 Loan Dashboard - Landing</t>
        </is>
      </c>
      <c r="Z25" s="19" t="inlineStr">
        <is>
          <t>API_Specs_Index!A2:H2</t>
        </is>
      </c>
      <c r="AA25" s="22" t="inlineStr">
        <is>
          <t>API-026</t>
        </is>
      </c>
      <c r="AB25" s="19" t="inlineStr">
        <is>
          <t>Mapped to Loan dashboard because the test case terms align with the 1.1 Loan Dashboard - Landing journey in the applicable API specification.</t>
        </is>
      </c>
      <c r="AC25" s="19" t="inlineStr">
        <is>
          <t>High</t>
        </is>
      </c>
      <c r="AD25" s="19" t="inlineStr">
        <is>
          <t>When user tap "Loan/Financing" tab and screen is loaded getDashboard dep-dashboard GET /v1/external/accounts?featureType={featureType} example : /v1/external/accounts?featureType=DASHBOARD_LOAN { "status": 200, "message": "Request processed succes...</t>
        </is>
      </c>
    </row>
    <row r="26" ht="220.8" customHeight="1" s="2">
      <c r="A26" s="12" t="inlineStr">
        <is>
          <t>TC-B1-0025</t>
        </is>
      </c>
      <c r="B26" s="13" t="inlineStr">
        <is>
          <t>TS-B1-019</t>
        </is>
      </c>
      <c r="C26" s="13" t="inlineStr">
        <is>
          <t>Acct Dashboard Financing</t>
        </is>
      </c>
      <c r="D26" s="13" t="inlineStr">
        <is>
          <t>Dashboard - Loan</t>
        </is>
      </c>
      <c r="E26" s="13" t="inlineStr">
        <is>
          <t>Open Auto Loan (Conventional) from valid entry point</t>
        </is>
      </c>
      <c r="F26" s="13" t="inlineStr">
        <is>
          <t>Positive</t>
        </is>
      </c>
      <c r="G26" s="13" t="inlineStr">
        <is>
          <t>Medium</t>
        </is>
      </c>
      <c r="H26" s="13" t="inlineStr">
        <is>
          <t>Eligible user: Loan account holder</t>
        </is>
      </c>
      <c r="I26" s="13" t="inlineStr">
        <is>
          <t>Auto Loan (Conventional)</t>
        </is>
      </c>
      <c r="J26" s="13" t="inlineStr">
        <is>
          <t>1. Sign in at the required access level.
2. Navigate using: Loan Dashboard - Landing.
3. Select Auto Loan (Conventional).</t>
        </is>
      </c>
      <c r="K26" s="13" t="inlineStr">
        <is>
          <t>The correct Dashboard - Loan page opens and relevant product information is displayed without error.</t>
        </is>
      </c>
      <c r="L26" s="13" t="inlineStr">
        <is>
          <t>Not specified in FSD</t>
        </is>
      </c>
      <c r="M26" s="13" t="inlineStr">
        <is>
          <t>Active / Overdue / Closed</t>
        </is>
      </c>
      <c r="N26" s="13" t="inlineStr">
        <is>
          <t>Acct Dashboard Financing!D1:D62</t>
        </is>
      </c>
      <c r="O26" s="13" t="inlineStr">
        <is>
          <t>Not Run</t>
        </is>
      </c>
      <c r="P26" s="13" t="n"/>
      <c r="Q26" s="13" t="n"/>
      <c r="R26" s="14" t="n"/>
      <c r="S26" s="19" t="inlineStr">
        <is>
          <t>Loan API Design</t>
        </is>
      </c>
      <c r="T26" s="19" t="inlineStr">
        <is>
          <t>Loan dashboard</t>
        </is>
      </c>
      <c r="U26" s="19" t="inlineStr">
        <is>
          <t>GET</t>
        </is>
      </c>
      <c r="V26" s="19" t="inlineStr">
        <is>
          <t>/v1/external/accounts?accountGroup={accountGroup}</t>
        </is>
      </c>
      <c r="W26" s="19" t="inlineStr">
        <is>
          <t>dep-dashboard</t>
        </is>
      </c>
      <c r="X26" s="19" t="inlineStr">
        <is>
          <t>ECLIPSE_Account Dashboard_Loan_DDD_API_Design_v1_Workshop.xlsx</t>
        </is>
      </c>
      <c r="Y26" s="19" t="inlineStr">
        <is>
          <t>1.1 Loan Dashboard - Landing</t>
        </is>
      </c>
      <c r="Z26" s="19" t="inlineStr">
        <is>
          <t>API_Specs_Index!A2:H2</t>
        </is>
      </c>
      <c r="AA26" s="22" t="inlineStr">
        <is>
          <t>API-026</t>
        </is>
      </c>
      <c r="AB26" s="19" t="inlineStr">
        <is>
          <t>Mapped to Loan dashboard because the test case terms align with the 1.1 Loan Dashboard - Landing journey in the applicable API specification.</t>
        </is>
      </c>
      <c r="AC26" s="19" t="inlineStr">
        <is>
          <t>High</t>
        </is>
      </c>
      <c r="AD26" s="19" t="inlineStr">
        <is>
          <t>When user tap "Loan/Financing" tab and screen is loaded getDashboard dep-dashboard GET /v1/external/accounts?featureType={featureType} example : /v1/external/accounts?featureType=DASHBOARD_LOAN { "status": 200, "message": "Request processed succes...</t>
        </is>
      </c>
    </row>
    <row r="27" ht="331.2" customHeight="1" s="2">
      <c r="A27" s="15" t="inlineStr">
        <is>
          <t>TC-B1-0026</t>
        </is>
      </c>
      <c r="B27" s="16" t="inlineStr">
        <is>
          <t>TS-B1-019</t>
        </is>
      </c>
      <c r="C27" s="16" t="inlineStr">
        <is>
          <t>Acct Dashboard Financing</t>
        </is>
      </c>
      <c r="D27" s="16" t="inlineStr">
        <is>
          <t>Dashboard - Loan</t>
        </is>
      </c>
      <c r="E27" s="16" t="inlineStr">
        <is>
          <t>Validate ineligible or unavailable state for Auto Loan (Conventional)</t>
        </is>
      </c>
      <c r="F27" s="16" t="inlineStr">
        <is>
          <t>Negative</t>
        </is>
      </c>
      <c r="G27" s="16" t="inlineStr">
        <is>
          <t>High</t>
        </is>
      </c>
      <c r="H27" s="16" t="inlineStr">
        <is>
          <t>User or product does not meet one configured eligibility condition. Eligible baseline: Loan account holder</t>
        </is>
      </c>
      <c r="I27" s="16" t="inlineStr">
        <is>
          <t>Auto Loan (Conventional)</t>
        </is>
      </c>
      <c r="J27" s="16" t="inlineStr">
        <is>
          <t>1. Prepare an ineligible, unsupported, blocked, or unavailable test profile.
2. Navigate using: Loan Dashboard - Landing.
3. Attempt to open Auto Loan (Conventional).</t>
        </is>
      </c>
      <c r="K27" s="16" t="inlineStr">
        <is>
          <t>Access is prevented or the feature is hidden/disabled. A clear message is shown and no unauthorised data or action is exposed.</t>
        </is>
      </c>
      <c r="L27" s="16" t="inlineStr">
        <is>
          <t>Not specified in FSD</t>
        </is>
      </c>
      <c r="M27" s="16" t="inlineStr">
        <is>
          <t>Active / Overdue / Closed</t>
        </is>
      </c>
      <c r="N27" s="16" t="inlineStr">
        <is>
          <t>Acct Dashboard Financing!D1:D62</t>
        </is>
      </c>
      <c r="O27" s="16" t="inlineStr">
        <is>
          <t>Not Run</t>
        </is>
      </c>
      <c r="P27" s="16" t="n"/>
      <c r="Q27" s="16" t="n"/>
      <c r="R27" s="17" t="n"/>
      <c r="S27" s="19" t="inlineStr">
        <is>
          <t>Loan API Design</t>
        </is>
      </c>
      <c r="T27" s="19" t="inlineStr">
        <is>
          <t>Loan dashboard</t>
        </is>
      </c>
      <c r="U27" s="19" t="inlineStr">
        <is>
          <t>GET</t>
        </is>
      </c>
      <c r="V27" s="19" t="inlineStr">
        <is>
          <t>/v1/external/accounts?accountGroup={accountGroup}</t>
        </is>
      </c>
      <c r="W27" s="19" t="inlineStr">
        <is>
          <t>dep-dashboard</t>
        </is>
      </c>
      <c r="X27" s="19" t="inlineStr">
        <is>
          <t>ECLIPSE_Account Dashboard_Loan_DDD_API_Design_v1_Workshop.xlsx</t>
        </is>
      </c>
      <c r="Y27" s="19" t="inlineStr">
        <is>
          <t>1.1 Loan Dashboard - Landing</t>
        </is>
      </c>
      <c r="Z27" s="19" t="inlineStr">
        <is>
          <t>API_Specs_Index!A2:H2</t>
        </is>
      </c>
      <c r="AA27" s="22" t="inlineStr">
        <is>
          <t>API-026</t>
        </is>
      </c>
      <c r="AB27" s="19" t="inlineStr">
        <is>
          <t>Mapped to Loan dashboard because the test case terms align with the 1.1 Loan Dashboard - Landing journey in the applicable API specification.</t>
        </is>
      </c>
      <c r="AC27" s="19" t="inlineStr">
        <is>
          <t>High</t>
        </is>
      </c>
      <c r="AD27" s="19" t="inlineStr">
        <is>
          <t>When user tap "Loan/Financing" tab and screen is loaded getDashboard dep-dashboard GET /v1/external/accounts?featureType={featureType} example : /v1/external/accounts?featureType=DASHBOARD_LOAN { "status": 200, "message": "Request processed succes...</t>
        </is>
      </c>
    </row>
    <row r="28" ht="248.4" customHeight="1" s="2">
      <c r="A28" s="12" t="inlineStr">
        <is>
          <t>TC-B1-0027</t>
        </is>
      </c>
      <c r="B28" s="13" t="inlineStr">
        <is>
          <t>TS-B1-020</t>
        </is>
      </c>
      <c r="C28" s="13" t="inlineStr">
        <is>
          <t>Acct Dashboard Financing</t>
        </is>
      </c>
      <c r="D28" s="13" t="inlineStr">
        <is>
          <t>Dashboard - Loan</t>
        </is>
      </c>
      <c r="E28" s="13" t="inlineStr">
        <is>
          <t>Complete required authentication for Auto Loan (Conventional)</t>
        </is>
      </c>
      <c r="F28" s="13" t="inlineStr">
        <is>
          <t>Security</t>
        </is>
      </c>
      <c r="G28" s="13" t="inlineStr">
        <is>
          <t>High</t>
        </is>
      </c>
      <c r="H28" s="13" t="inlineStr">
        <is>
          <t>Eligible user; authentication method is active. Requirement: Not specified in FSD</t>
        </is>
      </c>
      <c r="I28" s="13" t="inlineStr">
        <is>
          <t>Auto Loan (Conventional)</t>
        </is>
      </c>
      <c r="J28" s="13" t="inlineStr">
        <is>
          <t>1. Start the protected action.
2. Complete the configured authentication with valid credentials.
3. Continue the journey.</t>
        </is>
      </c>
      <c r="K28" s="13" t="inlineStr">
        <is>
          <t>Authentication succeeds, the protected action continues once, and the user returns to the correct journey context.</t>
        </is>
      </c>
      <c r="L28" s="13" t="inlineStr">
        <is>
          <t>Not specified in FSD</t>
        </is>
      </c>
      <c r="M28" s="13" t="inlineStr">
        <is>
          <t>Active / Overdue / Closed</t>
        </is>
      </c>
      <c r="N28" s="13" t="inlineStr">
        <is>
          <t>Acct Dashboard Financing!D1:D62</t>
        </is>
      </c>
      <c r="O28" s="13" t="inlineStr">
        <is>
          <t>Not Run</t>
        </is>
      </c>
      <c r="P28" s="13" t="n"/>
      <c r="Q28" s="13" t="n"/>
      <c r="R28" s="14" t="n"/>
      <c r="S28" s="19" t="inlineStr">
        <is>
          <t>Loan API Design</t>
        </is>
      </c>
      <c r="T28" s="19" t="inlineStr">
        <is>
          <t>Loan dashboard</t>
        </is>
      </c>
      <c r="U28" s="19" t="inlineStr">
        <is>
          <t>GET</t>
        </is>
      </c>
      <c r="V28" s="19" t="inlineStr">
        <is>
          <t>/v1/external/accounts?accountGroup={accountGroup}</t>
        </is>
      </c>
      <c r="W28" s="19" t="inlineStr">
        <is>
          <t>dep-dashboard</t>
        </is>
      </c>
      <c r="X28" s="19" t="inlineStr">
        <is>
          <t>ECLIPSE_Account Dashboard_Loan_DDD_API_Design_v1_Workshop.xlsx</t>
        </is>
      </c>
      <c r="Y28" s="19" t="inlineStr">
        <is>
          <t>1.1 Loan Dashboard - Landing</t>
        </is>
      </c>
      <c r="Z28" s="19" t="inlineStr">
        <is>
          <t>API_Specs_Index!A2:H2</t>
        </is>
      </c>
      <c r="AA28" s="22" t="inlineStr">
        <is>
          <t>API-026</t>
        </is>
      </c>
      <c r="AB28" s="19" t="inlineStr">
        <is>
          <t>Mapped to Loan dashboard because the test case terms align with the 1.1 Loan Dashboard - Landing journey in the applicable API specification.</t>
        </is>
      </c>
      <c r="AC28" s="19" t="inlineStr">
        <is>
          <t>High</t>
        </is>
      </c>
      <c r="AD28" s="19" t="inlineStr">
        <is>
          <t>When user tap "Loan/Financing" tab and screen is loaded getDashboard dep-dashboard GET /v1/external/accounts?featureType={featureType} example : /v1/external/accounts?featureType=DASHBOARD_LOAN { "status": 200, "message": "Request processed succes...</t>
        </is>
      </c>
    </row>
    <row r="29" ht="303.6" customHeight="1" s="2">
      <c r="A29" s="15" t="inlineStr">
        <is>
          <t>TC-B1-0028</t>
        </is>
      </c>
      <c r="B29" s="16" t="inlineStr">
        <is>
          <t>TS-B1-020</t>
        </is>
      </c>
      <c r="C29" s="16" t="inlineStr">
        <is>
          <t>Acct Dashboard Financing</t>
        </is>
      </c>
      <c r="D29" s="16" t="inlineStr">
        <is>
          <t>Dashboard - Loan</t>
        </is>
      </c>
      <c r="E29" s="16" t="inlineStr">
        <is>
          <t>Reject invalid, cancelled, or expired authentication for Auto Loan (Conventional)</t>
        </is>
      </c>
      <c r="F29" s="16" t="inlineStr">
        <is>
          <t>Negative / Security</t>
        </is>
      </c>
      <c r="G29" s="16" t="inlineStr">
        <is>
          <t>High</t>
        </is>
      </c>
      <c r="H29" s="16" t="inlineStr">
        <is>
          <t>Eligible user; protected action requires authentication. Requirement: Not specified in FSD</t>
        </is>
      </c>
      <c r="I29" s="16" t="inlineStr">
        <is>
          <t>Auto Loan (Conventional)</t>
        </is>
      </c>
      <c r="J29" s="16" t="inlineStr">
        <is>
          <t>1. Start the protected action.
2. Enter invalid credentials, cancel, or allow the challenge to expire.
3. Observe the result.</t>
        </is>
      </c>
      <c r="K29" s="16" t="inlineStr">
        <is>
          <t>The action is not performed. The configured failure/lockout message is shown, sensitive data remains protected, and retry behavior follows the requirement.</t>
        </is>
      </c>
      <c r="L29" s="16" t="inlineStr">
        <is>
          <t>Not specified in FSD</t>
        </is>
      </c>
      <c r="M29" s="16" t="inlineStr">
        <is>
          <t>Active / Overdue / Closed</t>
        </is>
      </c>
      <c r="N29" s="16" t="inlineStr">
        <is>
          <t>Acct Dashboard Financing!D1:D62</t>
        </is>
      </c>
      <c r="O29" s="16" t="inlineStr">
        <is>
          <t>Not Run</t>
        </is>
      </c>
      <c r="P29" s="16" t="n"/>
      <c r="Q29" s="16" t="n"/>
      <c r="R29" s="17" t="n"/>
      <c r="S29" s="19" t="inlineStr">
        <is>
          <t>Loan API Design</t>
        </is>
      </c>
      <c r="T29" s="19" t="inlineStr">
        <is>
          <t>Loan dashboard</t>
        </is>
      </c>
      <c r="U29" s="19" t="inlineStr">
        <is>
          <t>GET</t>
        </is>
      </c>
      <c r="V29" s="19" t="inlineStr">
        <is>
          <t>/v1/external/accounts?accountGroup={accountGroup}</t>
        </is>
      </c>
      <c r="W29" s="19" t="inlineStr">
        <is>
          <t>dep-dashboard</t>
        </is>
      </c>
      <c r="X29" s="19" t="inlineStr">
        <is>
          <t>ECLIPSE_Account Dashboard_Loan_DDD_API_Design_v1_Workshop.xlsx</t>
        </is>
      </c>
      <c r="Y29" s="19" t="inlineStr">
        <is>
          <t>1.1 Loan Dashboard - Landing</t>
        </is>
      </c>
      <c r="Z29" s="19" t="inlineStr">
        <is>
          <t>API_Specs_Index!A2:H2</t>
        </is>
      </c>
      <c r="AA29" s="22" t="inlineStr">
        <is>
          <t>API-026</t>
        </is>
      </c>
      <c r="AB29" s="19" t="inlineStr">
        <is>
          <t>Mapped to Loan dashboard because the test case terms align with the 1.1 Loan Dashboard - Landing journey in the applicable API specification.</t>
        </is>
      </c>
      <c r="AC29" s="19" t="inlineStr">
        <is>
          <t>High</t>
        </is>
      </c>
      <c r="AD29" s="19" t="inlineStr">
        <is>
          <t>When user tap "Loan/Financing" tab and screen is loaded getDashboard dep-dashboard GET /v1/external/accounts?featureType={featureType} example : /v1/external/accounts?featureType=DASHBOARD_LOAN { "status": 200, "message": "Request processed succes...</t>
        </is>
      </c>
    </row>
    <row r="30" ht="409.6" customHeight="1" s="2">
      <c r="A30" s="12" t="inlineStr">
        <is>
          <t>TC-B1-0029</t>
        </is>
      </c>
      <c r="B30" s="13" t="inlineStr">
        <is>
          <t>TS-B1-021</t>
        </is>
      </c>
      <c r="C30" s="13" t="inlineStr">
        <is>
          <t>Acct Dashboard Financing</t>
        </is>
      </c>
      <c r="D30" s="13" t="inlineStr">
        <is>
          <t>Dashboard - Loan</t>
        </is>
      </c>
      <c r="E30" s="13" t="inlineStr">
        <is>
          <t>Validate Common Rules Reference for Auto Loan (Conventional)</t>
        </is>
      </c>
      <c r="F30" s="13" t="inlineStr">
        <is>
          <t>UI / Functional</t>
        </is>
      </c>
      <c r="G30" s="13" t="inlineStr">
        <is>
          <t>Medium</t>
        </is>
      </c>
      <c r="H30" s="13" t="inlineStr">
        <is>
          <t>Eligible user and product are available. User has reached the preceding journey step.</t>
        </is>
      </c>
      <c r="I30" s="13" t="inlineStr">
        <is>
          <t>Auto Loan (Conventional)</t>
        </is>
      </c>
      <c r="J30" s="13" t="inlineStr">
        <is>
          <t>1. Open Auto Loan (Conventional).
2. Navigate to Common Rules Reference.
3. Perform the action or trigger described by: Refer to Account Dashboard Common FSD.
4. Observe the page, validation, navigation, and resulting state.</t>
        </is>
      </c>
      <c r="K30" s="13" t="inlineStr">
        <is>
          <t>Common Rules Reference behaves according to the mapped requirement (Refer to Account Dashboard Common FSD); data, controls, navigation, and status are accurate and consistent.</t>
        </is>
      </c>
      <c r="L30" s="13" t="inlineStr">
        <is>
          <t>Not specified in FSD</t>
        </is>
      </c>
      <c r="M30" s="13" t="inlineStr">
        <is>
          <t>Active / Overdue / Closed</t>
        </is>
      </c>
      <c r="N30" s="13" t="inlineStr">
        <is>
          <t>Acct Dashboard Financing!A9:D9</t>
        </is>
      </c>
      <c r="O30" s="13" t="inlineStr">
        <is>
          <t>Not Run</t>
        </is>
      </c>
      <c r="P30" s="13" t="n"/>
      <c r="Q30" s="13" t="n"/>
      <c r="R30" s="14" t="n"/>
      <c r="S30" s="19" t="inlineStr">
        <is>
          <t>Loan API Design</t>
        </is>
      </c>
      <c r="T30" s="19" t="inlineStr">
        <is>
          <t>Loan dashboard</t>
        </is>
      </c>
      <c r="U30" s="19" t="inlineStr">
        <is>
          <t>GET</t>
        </is>
      </c>
      <c r="V30" s="19" t="inlineStr">
        <is>
          <t>/v1/external/accounts?accountGroup={accountGroup}</t>
        </is>
      </c>
      <c r="W30" s="19" t="inlineStr">
        <is>
          <t>dep-dashboard</t>
        </is>
      </c>
      <c r="X30" s="19" t="inlineStr">
        <is>
          <t>ECLIPSE_Account Dashboard_Loan_DDD_API_Design_v1_Workshop.xlsx</t>
        </is>
      </c>
      <c r="Y30" s="19" t="inlineStr">
        <is>
          <t>1.1 Loan Dashboard - Landing</t>
        </is>
      </c>
      <c r="Z30" s="19" t="inlineStr">
        <is>
          <t>API_Specs_Index!A2:H2</t>
        </is>
      </c>
      <c r="AA30" s="22" t="inlineStr">
        <is>
          <t>API-026</t>
        </is>
      </c>
      <c r="AB30" s="19" t="inlineStr">
        <is>
          <t>Mapped to Loan dashboard because the test case terms align with the 1.1 Loan Dashboard - Landing journey in the applicable API specification.</t>
        </is>
      </c>
      <c r="AC30" s="19" t="inlineStr">
        <is>
          <t>High</t>
        </is>
      </c>
      <c r="AD30" s="19" t="inlineStr">
        <is>
          <t>When user tap "Loan/Financing" tab and screen is loaded getDashboard dep-dashboard GET /v1/external/accounts?featureType={featureType} example : /v1/external/accounts?featureType=DASHBOARD_LOAN { "status": 200, "message": "Request processed succes...</t>
        </is>
      </c>
    </row>
    <row r="31" ht="372.6" customHeight="1" s="2">
      <c r="A31" s="15" t="inlineStr">
        <is>
          <t>TC-B1-0030</t>
        </is>
      </c>
      <c r="B31" s="16" t="inlineStr">
        <is>
          <t>TS-B1-022</t>
        </is>
      </c>
      <c r="C31" s="16" t="inlineStr">
        <is>
          <t>Acct Dashboard Financing</t>
        </is>
      </c>
      <c r="D31" s="16" t="inlineStr">
        <is>
          <t>Dashboard - Loan</t>
        </is>
      </c>
      <c r="E31" s="16" t="inlineStr">
        <is>
          <t>Validate 1.1 Loan Dashboard - Landing for Auto Loan (Conventional)</t>
        </is>
      </c>
      <c r="F31" s="16" t="inlineStr">
        <is>
          <t>UI / Functional</t>
        </is>
      </c>
      <c r="G31" s="16" t="inlineStr">
        <is>
          <t>Medium</t>
        </is>
      </c>
      <c r="H31" s="16" t="inlineStr">
        <is>
          <t>Eligible user and product are available. User has reached the preceding journey step.</t>
        </is>
      </c>
      <c r="I31" s="16" t="inlineStr">
        <is>
          <t>Auto Loan (Conventional)</t>
        </is>
      </c>
      <c r="J31" s="16" t="inlineStr">
        <is>
          <t>1. Open Auto Loan (Conventional).
2. Navigate to 1.1 Loan Dashboard - Landing.
3. Perform the action or trigger described by: Step 1.
4. Observe the page, validation, navigation, and resulting state.</t>
        </is>
      </c>
      <c r="K31" s="16" t="inlineStr">
        <is>
          <t>1.1 Loan Dashboard - Landing behaves according to the mapped requirement (Step 1); data, controls, navigation, and status are accurate and consistent.</t>
        </is>
      </c>
      <c r="L31" s="16" t="inlineStr">
        <is>
          <t>Not specified in FSD</t>
        </is>
      </c>
      <c r="M31" s="16" t="inlineStr">
        <is>
          <t>Active / Overdue / Closed</t>
        </is>
      </c>
      <c r="N31" s="16" t="inlineStr">
        <is>
          <t>Acct Dashboard Financing!A10:D10</t>
        </is>
      </c>
      <c r="O31" s="16" t="inlineStr">
        <is>
          <t>Not Run</t>
        </is>
      </c>
      <c r="P31" s="16" t="n"/>
      <c r="Q31" s="16" t="n"/>
      <c r="R31" s="17" t="n"/>
      <c r="S31" s="19" t="inlineStr">
        <is>
          <t>Loan API Design</t>
        </is>
      </c>
      <c r="T31" s="19" t="inlineStr">
        <is>
          <t>Loan dashboard</t>
        </is>
      </c>
      <c r="U31" s="19" t="inlineStr">
        <is>
          <t>GET</t>
        </is>
      </c>
      <c r="V31" s="19" t="inlineStr">
        <is>
          <t>/v1/external/accounts?accountGroup={accountGroup}</t>
        </is>
      </c>
      <c r="W31" s="19" t="inlineStr">
        <is>
          <t>dep-dashboard</t>
        </is>
      </c>
      <c r="X31" s="19" t="inlineStr">
        <is>
          <t>ECLIPSE_Account Dashboard_Loan_DDD_API_Design_v1_Workshop.xlsx</t>
        </is>
      </c>
      <c r="Y31" s="19" t="inlineStr">
        <is>
          <t>1.1 Loan Dashboard - Landing</t>
        </is>
      </c>
      <c r="Z31" s="19" t="inlineStr">
        <is>
          <t>API_Specs_Index!A2:H2</t>
        </is>
      </c>
      <c r="AA31" s="22" t="inlineStr">
        <is>
          <t>API-026</t>
        </is>
      </c>
      <c r="AB31" s="19" t="inlineStr">
        <is>
          <t>Mapped to Loan dashboard because the test case terms align with the 1.1 Loan Dashboard - Landing journey in the applicable API specification.</t>
        </is>
      </c>
      <c r="AC31" s="19" t="inlineStr">
        <is>
          <t>High</t>
        </is>
      </c>
      <c r="AD31" s="19" t="inlineStr">
        <is>
          <t>When user tap "Loan/Financing" tab and screen is loaded getDashboard dep-dashboard GET /v1/external/accounts?featureType={featureType} example : /v1/external/accounts?featureType=DASHBOARD_LOAN { "status": 200, "message": "Request processed succes...</t>
        </is>
      </c>
    </row>
    <row r="32" ht="409.6" customHeight="1" s="2">
      <c r="A32" s="12" t="inlineStr">
        <is>
          <t>TC-B1-0031</t>
        </is>
      </c>
      <c r="B32" s="13" t="inlineStr">
        <is>
          <t>TS-B1-023</t>
        </is>
      </c>
      <c r="C32" s="13" t="inlineStr">
        <is>
          <t>Acct Dashboard Financing</t>
        </is>
      </c>
      <c r="D32" s="13" t="inlineStr">
        <is>
          <t>Dashboard - Loan</t>
        </is>
      </c>
      <c r="E32" s="13" t="inlineStr">
        <is>
          <t>Validate 1.2.1 View All Trans for Auto Loan (Conventional)</t>
        </is>
      </c>
      <c r="F32" s="13" t="inlineStr">
        <is>
          <t>Functional</t>
        </is>
      </c>
      <c r="G32" s="13" t="inlineStr">
        <is>
          <t>Medium</t>
        </is>
      </c>
      <c r="H32" s="13" t="inlineStr">
        <is>
          <t>Eligible user and product are available. Trigger the stated condition: Conditional Step 3 - when View all transactions is selected</t>
        </is>
      </c>
      <c r="I32" s="13" t="inlineStr">
        <is>
          <t>Auto Loan (Conventional)</t>
        </is>
      </c>
      <c r="J32" s="13" t="inlineStr">
        <is>
          <t>1. Open Auto Loan (Conventional).
2. Navigate to 1.2.1 View All Trans.
3. Perform the action or trigger described by: Conditional Step 3 - when View all transactions is selected.
4. Observe the page, validation, navigation, and resulting state.</t>
        </is>
      </c>
      <c r="K32" s="13" t="inlineStr">
        <is>
          <t>1.2.1 View All Trans behaves according to the mapped requirement (Conditional Step 3 - when View all transactions is selected); data, controls, navigation, and status are accurate and consistent.</t>
        </is>
      </c>
      <c r="L32" s="13" t="inlineStr">
        <is>
          <t>Not specified in FSD</t>
        </is>
      </c>
      <c r="M32" s="13" t="inlineStr">
        <is>
          <t>Active / Overdue / Closed</t>
        </is>
      </c>
      <c r="N32" s="13" t="inlineStr">
        <is>
          <t>Acct Dashboard Financing!A12:D12</t>
        </is>
      </c>
      <c r="O32" s="13" t="inlineStr">
        <is>
          <t>Not Run</t>
        </is>
      </c>
      <c r="P32" s="13" t="n"/>
      <c r="Q32" s="13" t="n"/>
      <c r="R32" s="14" t="inlineStr">
        <is>
          <t>Conditional coverage required.</t>
        </is>
      </c>
      <c r="S32" s="19" t="inlineStr">
        <is>
          <t>Loan API Design</t>
        </is>
      </c>
      <c r="T32" s="19" t="inlineStr">
        <is>
          <t>View all transaction history</t>
        </is>
      </c>
      <c r="U32" s="19" t="inlineStr">
        <is>
          <t>GET</t>
        </is>
      </c>
      <c r="V32" s="19" t="inlineStr">
        <is>
          <t>/v1/external/accounts/account-type/{accountType}/account-id/{accountId}/transactions?startDate={startDate}&amp;endDate={endDate}&amp;page={page}&amp;limit={limit}</t>
        </is>
      </c>
      <c r="W32" s="19" t="inlineStr">
        <is>
          <t>info-loan</t>
        </is>
      </c>
      <c r="X32" s="19" t="inlineStr">
        <is>
          <t>ECLIPSE_Account Dashboard_Loan_DDD_API_Design_v1_Workshop.xlsx</t>
        </is>
      </c>
      <c r="Y32" s="19" t="inlineStr">
        <is>
          <t>1.2.1 View All Trans</t>
        </is>
      </c>
      <c r="Z32" s="19" t="inlineStr">
        <is>
          <t>API_Specs_Index!A5:H5</t>
        </is>
      </c>
      <c r="AA32" s="22" t="inlineStr">
        <is>
          <t>API-028</t>
        </is>
      </c>
      <c r="AB32" s="19" t="inlineStr">
        <is>
          <t>Mapped to View all transaction history because the test case terms align with the 1.2.1 View All Trans journey in the applicable API specification.</t>
        </is>
      </c>
      <c r="AC32" s="19" t="inlineStr">
        <is>
          <t>High</t>
        </is>
      </c>
      <c r="AD32"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33" ht="345" customHeight="1" s="2">
      <c r="A33" s="15" t="inlineStr">
        <is>
          <t>TC-B1-0032</t>
        </is>
      </c>
      <c r="B33" s="16" t="inlineStr">
        <is>
          <t>TS-B1-024</t>
        </is>
      </c>
      <c r="C33" s="16" t="inlineStr">
        <is>
          <t>Acct Dashboard Financing</t>
        </is>
      </c>
      <c r="D33" s="16" t="inlineStr">
        <is>
          <t>Dashboard - Loan</t>
        </is>
      </c>
      <c r="E33" s="16" t="inlineStr">
        <is>
          <t>Validate 1.3 Auto Loan Acc for Auto Loan (Conventional)</t>
        </is>
      </c>
      <c r="F33" s="16" t="inlineStr">
        <is>
          <t>Functional</t>
        </is>
      </c>
      <c r="G33" s="16" t="inlineStr">
        <is>
          <t>Medium</t>
        </is>
      </c>
      <c r="H33" s="16" t="inlineStr">
        <is>
          <t>Eligible user and product are available. User has reached the preceding journey step.</t>
        </is>
      </c>
      <c r="I33" s="16" t="inlineStr">
        <is>
          <t>Auto Loan (Conventional)</t>
        </is>
      </c>
      <c r="J33" s="16" t="inlineStr">
        <is>
          <t>1. Open Auto Loan (Conventional).
2. Navigate to 1.3 Auto Loan Acc.
3. Perform the action or trigger described by: Step 9.
4. Observe the page, validation, navigation, and resulting state.</t>
        </is>
      </c>
      <c r="K33" s="16" t="inlineStr">
        <is>
          <t>1.3 Auto Loan Acc behaves according to the mapped requirement (Step 9); data, controls, navigation, and status are accurate and consistent.</t>
        </is>
      </c>
      <c r="L33" s="16" t="inlineStr">
        <is>
          <t>Not specified in FSD</t>
        </is>
      </c>
      <c r="M33" s="16" t="inlineStr">
        <is>
          <t>Active / Overdue / Closed</t>
        </is>
      </c>
      <c r="N33" s="16" t="inlineStr">
        <is>
          <t>Acct Dashboard Financing!A18:D18</t>
        </is>
      </c>
      <c r="O33" s="16" t="inlineStr">
        <is>
          <t>Not Run</t>
        </is>
      </c>
      <c r="P33" s="16" t="n"/>
      <c r="Q33" s="16" t="n"/>
      <c r="R33" s="17" t="n"/>
      <c r="S33" s="19" t="inlineStr">
        <is>
          <t>Loan API Design</t>
        </is>
      </c>
      <c r="T33" s="19" t="inlineStr">
        <is>
          <t>Loan dashboard</t>
        </is>
      </c>
      <c r="U33" s="19" t="inlineStr">
        <is>
          <t>GET</t>
        </is>
      </c>
      <c r="V33" s="19" t="inlineStr">
        <is>
          <t>/v1/external/accounts?accountGroup={accountGroup}</t>
        </is>
      </c>
      <c r="W33" s="19" t="inlineStr">
        <is>
          <t>dep-dashboard</t>
        </is>
      </c>
      <c r="X33" s="19" t="inlineStr">
        <is>
          <t>ECLIPSE_Account Dashboard_Loan_DDD_API_Design_v1_Workshop.xlsx</t>
        </is>
      </c>
      <c r="Y33" s="19" t="inlineStr">
        <is>
          <t>1.1 Loan Dashboard - Landing</t>
        </is>
      </c>
      <c r="Z33" s="19" t="inlineStr">
        <is>
          <t>API_Specs_Index!A2:H2</t>
        </is>
      </c>
      <c r="AA33" s="22" t="inlineStr">
        <is>
          <t>API-026</t>
        </is>
      </c>
      <c r="AB33" s="19" t="inlineStr">
        <is>
          <t>Mapped to Loan dashboard because the test case terms align with the 1.1 Loan Dashboard - Landing journey in the applicable API specification.</t>
        </is>
      </c>
      <c r="AC33" s="19" t="inlineStr">
        <is>
          <t>High</t>
        </is>
      </c>
      <c r="AD33" s="19" t="inlineStr">
        <is>
          <t>When user tap "Loan/Financing" tab and screen is loaded getDashboard dep-dashboard GET /v1/external/accounts?featureType={featureType} example : /v1/external/accounts?featureType=DASHBOARD_LOAN { "status": 200, "message": "Request processed succes...</t>
        </is>
      </c>
    </row>
    <row r="34" ht="289.8" customHeight="1" s="2">
      <c r="A34" s="12" t="inlineStr">
        <is>
          <t>TC-B1-0033</t>
        </is>
      </c>
      <c r="B34" s="13" t="inlineStr">
        <is>
          <t>TS-B1-025</t>
        </is>
      </c>
      <c r="C34" s="13" t="inlineStr">
        <is>
          <t>Acct Dashboard Financing</t>
        </is>
      </c>
      <c r="D34" s="13" t="inlineStr">
        <is>
          <t>Dashboard - Loan</t>
        </is>
      </c>
      <c r="E34" s="13" t="inlineStr">
        <is>
          <t>Validate successful final state for Auto Loan (Conventional)</t>
        </is>
      </c>
      <c r="F34" s="13" t="inlineStr">
        <is>
          <t>Positive</t>
        </is>
      </c>
      <c r="G34" s="13" t="inlineStr">
        <is>
          <t>High</t>
        </is>
      </c>
      <c r="H34" s="13" t="inlineStr">
        <is>
          <t>All required inputs and services are valid. Expected statuses: Active / Overdue / Closed</t>
        </is>
      </c>
      <c r="I34" s="13" t="inlineStr">
        <is>
          <t>Auto Loan (Conventional)</t>
        </is>
      </c>
      <c r="J34" s="13" t="inlineStr">
        <is>
          <t>1. Complete the end-to-end journey with valid data.
2. Submit/confirm the final action.
3. Verify result, receipt/notification where applicable, and persisted state.</t>
        </is>
      </c>
      <c r="K34" s="13" t="inlineStr">
        <is>
          <t>A valid success status from the requirement is shown. The transaction or change is applied once, persisted, and reflected on refresh.</t>
        </is>
      </c>
      <c r="L34" s="13" t="inlineStr">
        <is>
          <t>Not specified in FSD</t>
        </is>
      </c>
      <c r="M34" s="13" t="inlineStr">
        <is>
          <t>Active / Overdue / Closed</t>
        </is>
      </c>
      <c r="N34" s="13" t="inlineStr">
        <is>
          <t>Acct Dashboard Financing!D1:D62</t>
        </is>
      </c>
      <c r="O34" s="13" t="inlineStr">
        <is>
          <t>Not Run</t>
        </is>
      </c>
      <c r="P34" s="13" t="n"/>
      <c r="Q34" s="13" t="n"/>
      <c r="R34" s="14" t="n"/>
      <c r="S34" s="19" t="inlineStr">
        <is>
          <t>Loan API Design</t>
        </is>
      </c>
      <c r="T34" s="19" t="inlineStr">
        <is>
          <t>Loan transaction history</t>
        </is>
      </c>
      <c r="U34" s="19" t="inlineStr">
        <is>
          <t>GET</t>
        </is>
      </c>
      <c r="V34" s="19" t="inlineStr">
        <is>
          <t>/v1/external/accounts/account-type/{accountType}/account-id/{accountId}/transactions</t>
        </is>
      </c>
      <c r="W34" s="19" t="inlineStr">
        <is>
          <t>info-loan</t>
        </is>
      </c>
      <c r="X34" s="19" t="inlineStr">
        <is>
          <t>ECLIPSE_Account Dashboard_Loan_DDD_API_Design_v1_Workshop.xlsx</t>
        </is>
      </c>
      <c r="Y34" s="19" t="inlineStr">
        <is>
          <t>1.2 Personal Loan Acc
1.2.4 PL Shariah Acc
1.3 Auto Loan Acc
1.3.1 Auto Loan Shariah
1.4 Mortgage Loan Acc
1.4.1 Mortgage Loan Shariah</t>
        </is>
      </c>
      <c r="Z34" s="19" t="inlineStr">
        <is>
          <t>API_Specs_Index!A4:H4</t>
        </is>
      </c>
      <c r="AA34" s="22" t="inlineStr">
        <is>
          <t>API-027</t>
        </is>
      </c>
      <c r="AB34" s="19" t="inlineStr">
        <is>
          <t>Mapped to Loan transaction history because the test case terms align with the 1.2 Personal Loan Acc
1.2.4 PL Shariah Acc
1.3 Auto Loan Acc
1.3.1 Auto Loan Shariah
1.4 Mortgage Loan Acc
1.4.1 Mortgage Loan Shariah journey in the applicable API specification.</t>
        </is>
      </c>
      <c r="AC34" s="19" t="inlineStr">
        <is>
          <t>High</t>
        </is>
      </c>
      <c r="AD34" s="19" t="inlineStr">
        <is>
          <t>Pending ESB Spec</t>
        </is>
      </c>
    </row>
    <row r="35" ht="345" customHeight="1" s="2">
      <c r="A35" s="15" t="inlineStr">
        <is>
          <t>TC-B1-0034</t>
        </is>
      </c>
      <c r="B35" s="16" t="inlineStr">
        <is>
          <t>TS-B1-025</t>
        </is>
      </c>
      <c r="C35" s="16" t="inlineStr">
        <is>
          <t>Acct Dashboard Financing</t>
        </is>
      </c>
      <c r="D35" s="16" t="inlineStr">
        <is>
          <t>Dashboard - Loan</t>
        </is>
      </c>
      <c r="E35" s="16" t="inlineStr">
        <is>
          <t>Validate service failure and retry for Auto Loan (Conventional)</t>
        </is>
      </c>
      <c r="F35" s="16" t="inlineStr">
        <is>
          <t>Negative</t>
        </is>
      </c>
      <c r="G35" s="16" t="inlineStr">
        <is>
          <t>High</t>
        </is>
      </c>
      <c r="H35" s="16" t="inlineStr">
        <is>
          <t>Journey is available; simulate a controlled downstream timeout or unsuccessful response. Expected statuses: Active / Overdue / Closed</t>
        </is>
      </c>
      <c r="I35" s="16" t="inlineStr">
        <is>
          <t>Auto Loan (Conventional)</t>
        </is>
      </c>
      <c r="J35" s="16" t="inlineStr">
        <is>
          <t>1. Progress to the final action.
2. Trigger a timeout, unavailable service, or unsuccessful response.
3. Verify the error message and retry behavior.
4. Retry after service recovery.</t>
        </is>
      </c>
      <c r="K35" s="16" t="inlineStr">
        <is>
          <t>No duplicate action occurs. The configured unsuccessful/processing state is shown, retry is safe, and final status becomes consistent after recovery.</t>
        </is>
      </c>
      <c r="L35" s="16" t="inlineStr">
        <is>
          <t>Not specified in FSD</t>
        </is>
      </c>
      <c r="M35" s="16" t="inlineStr">
        <is>
          <t>Active / Overdue / Closed</t>
        </is>
      </c>
      <c r="N35" s="16" t="inlineStr">
        <is>
          <t>Acct Dashboard Financing!D1:D62</t>
        </is>
      </c>
      <c r="O35" s="16" t="inlineStr">
        <is>
          <t>Not Run</t>
        </is>
      </c>
      <c r="P35" s="16" t="n"/>
      <c r="Q35" s="16" t="n"/>
      <c r="R35" s="17" t="n"/>
      <c r="S35" s="19" t="inlineStr">
        <is>
          <t>Loan API Design</t>
        </is>
      </c>
      <c r="T35" s="19" t="inlineStr">
        <is>
          <t>Loan dashboard</t>
        </is>
      </c>
      <c r="U35" s="19" t="inlineStr">
        <is>
          <t>GET</t>
        </is>
      </c>
      <c r="V35" s="19" t="inlineStr">
        <is>
          <t>/v1/external/accounts?accountGroup={accountGroup}</t>
        </is>
      </c>
      <c r="W35" s="19" t="inlineStr">
        <is>
          <t>dep-dashboard</t>
        </is>
      </c>
      <c r="X35" s="19" t="inlineStr">
        <is>
          <t>ECLIPSE_Account Dashboard_Loan_DDD_API_Design_v1_Workshop.xlsx</t>
        </is>
      </c>
      <c r="Y35" s="19" t="inlineStr">
        <is>
          <t>1.1 Loan Dashboard - Landing</t>
        </is>
      </c>
      <c r="Z35" s="19" t="inlineStr">
        <is>
          <t>API_Specs_Index!A2:H2</t>
        </is>
      </c>
      <c r="AA35" s="22" t="inlineStr">
        <is>
          <t>API-026</t>
        </is>
      </c>
      <c r="AB35" s="19" t="inlineStr">
        <is>
          <t>Mapped to Loan dashboard because the test case terms align with the 1.1 Loan Dashboard - Landing journey in the applicable API specification.</t>
        </is>
      </c>
      <c r="AC35" s="19" t="inlineStr">
        <is>
          <t>High</t>
        </is>
      </c>
      <c r="AD35" s="19" t="inlineStr">
        <is>
          <t>When user tap "Loan/Financing" tab and screen is loaded getDashboard dep-dashboard GET /v1/external/accounts?featureType={featureType} example : /v1/external/accounts?featureType=DASHBOARD_LOAN { "status": 200, "message": "Request processed succes...</t>
        </is>
      </c>
    </row>
    <row r="36" ht="207" customHeight="1" s="2">
      <c r="A36" s="12" t="inlineStr">
        <is>
          <t>TC-B1-0035</t>
        </is>
      </c>
      <c r="B36" s="13" t="inlineStr">
        <is>
          <t>TS-B1-026</t>
        </is>
      </c>
      <c r="C36" s="13" t="inlineStr">
        <is>
          <t>Acct Dashboard Financing</t>
        </is>
      </c>
      <c r="D36" s="13" t="inlineStr">
        <is>
          <t>Dashboard - Loan</t>
        </is>
      </c>
      <c r="E36" s="13" t="inlineStr">
        <is>
          <t>Open Auto Loan (Shariah) from valid entry point</t>
        </is>
      </c>
      <c r="F36" s="13" t="inlineStr">
        <is>
          <t>Positive</t>
        </is>
      </c>
      <c r="G36" s="13" t="inlineStr">
        <is>
          <t>Medium</t>
        </is>
      </c>
      <c r="H36" s="13" t="inlineStr">
        <is>
          <t>Eligible user: Loan account holder</t>
        </is>
      </c>
      <c r="I36" s="13" t="inlineStr">
        <is>
          <t>Auto Loan (Shariah)</t>
        </is>
      </c>
      <c r="J36" s="13" t="inlineStr">
        <is>
          <t>1. Sign in at the required access level.
2. Navigate using: Loan Dashboard - Landing.
3. Select Auto Loan (Shariah).</t>
        </is>
      </c>
      <c r="K36" s="13" t="inlineStr">
        <is>
          <t>The correct Dashboard - Loan page opens and relevant product information is displayed without error.</t>
        </is>
      </c>
      <c r="L36" s="13" t="inlineStr">
        <is>
          <t>Not specified in FSD</t>
        </is>
      </c>
      <c r="M36" s="13" t="inlineStr">
        <is>
          <t>Active / Overdue / Closed</t>
        </is>
      </c>
      <c r="N36" s="13" t="inlineStr">
        <is>
          <t>Acct Dashboard Financing!E1:E62</t>
        </is>
      </c>
      <c r="O36" s="13" t="inlineStr">
        <is>
          <t>Not Run</t>
        </is>
      </c>
      <c r="P36" s="13" t="n"/>
      <c r="Q36" s="13" t="n"/>
      <c r="R36" s="14" t="n"/>
      <c r="S36" s="19" t="inlineStr">
        <is>
          <t>Loan API Design</t>
        </is>
      </c>
      <c r="T36" s="19" t="inlineStr">
        <is>
          <t>Loan dashboard</t>
        </is>
      </c>
      <c r="U36" s="19" t="inlineStr">
        <is>
          <t>GET</t>
        </is>
      </c>
      <c r="V36" s="19" t="inlineStr">
        <is>
          <t>/v1/external/accounts?accountGroup={accountGroup}</t>
        </is>
      </c>
      <c r="W36" s="19" t="inlineStr">
        <is>
          <t>dep-dashboard</t>
        </is>
      </c>
      <c r="X36" s="19" t="inlineStr">
        <is>
          <t>ECLIPSE_Account Dashboard_Loan_DDD_API_Design_v1_Workshop.xlsx</t>
        </is>
      </c>
      <c r="Y36" s="19" t="inlineStr">
        <is>
          <t>1.1 Loan Dashboard - Landing</t>
        </is>
      </c>
      <c r="Z36" s="19" t="inlineStr">
        <is>
          <t>API_Specs_Index!A2:H2</t>
        </is>
      </c>
      <c r="AA36" s="22" t="inlineStr">
        <is>
          <t>API-026</t>
        </is>
      </c>
      <c r="AB36" s="19" t="inlineStr">
        <is>
          <t>Mapped to Loan dashboard because the test case terms align with the 1.1 Loan Dashboard - Landing journey in the applicable API specification.</t>
        </is>
      </c>
      <c r="AC36" s="19" t="inlineStr">
        <is>
          <t>High</t>
        </is>
      </c>
      <c r="AD36" s="19" t="inlineStr">
        <is>
          <t>When user tap "Loan/Financing" tab and screen is loaded getDashboard dep-dashboard GET /v1/external/accounts?featureType={featureType} example : /v1/external/accounts?featureType=DASHBOARD_LOAN { "status": 200, "message": "Request processed succes...</t>
        </is>
      </c>
    </row>
    <row r="37" ht="317.4" customHeight="1" s="2">
      <c r="A37" s="15" t="inlineStr">
        <is>
          <t>TC-B1-0036</t>
        </is>
      </c>
      <c r="B37" s="16" t="inlineStr">
        <is>
          <t>TS-B1-026</t>
        </is>
      </c>
      <c r="C37" s="16" t="inlineStr">
        <is>
          <t>Acct Dashboard Financing</t>
        </is>
      </c>
      <c r="D37" s="16" t="inlineStr">
        <is>
          <t>Dashboard - Loan</t>
        </is>
      </c>
      <c r="E37" s="16" t="inlineStr">
        <is>
          <t>Validate ineligible or unavailable state for Auto Loan (Shariah)</t>
        </is>
      </c>
      <c r="F37" s="16" t="inlineStr">
        <is>
          <t>Negative</t>
        </is>
      </c>
      <c r="G37" s="16" t="inlineStr">
        <is>
          <t>High</t>
        </is>
      </c>
      <c r="H37" s="16" t="inlineStr">
        <is>
          <t>User or product does not meet one configured eligibility condition. Eligible baseline: Loan account holder</t>
        </is>
      </c>
      <c r="I37" s="16" t="inlineStr">
        <is>
          <t>Auto Loan (Shariah)</t>
        </is>
      </c>
      <c r="J37" s="16" t="inlineStr">
        <is>
          <t>1. Prepare an ineligible, unsupported, blocked, or unavailable test profile.
2. Navigate using: Loan Dashboard - Landing.
3. Attempt to open Auto Loan (Shariah).</t>
        </is>
      </c>
      <c r="K37" s="16" t="inlineStr">
        <is>
          <t>Access is prevented or the feature is hidden/disabled. A clear message is shown and no unauthorised data or action is exposed.</t>
        </is>
      </c>
      <c r="L37" s="16" t="inlineStr">
        <is>
          <t>Not specified in FSD</t>
        </is>
      </c>
      <c r="M37" s="16" t="inlineStr">
        <is>
          <t>Active / Overdue / Closed</t>
        </is>
      </c>
      <c r="N37" s="16" t="inlineStr">
        <is>
          <t>Acct Dashboard Financing!E1:E62</t>
        </is>
      </c>
      <c r="O37" s="16" t="inlineStr">
        <is>
          <t>Not Run</t>
        </is>
      </c>
      <c r="P37" s="16" t="n"/>
      <c r="Q37" s="16" t="n"/>
      <c r="R37" s="17" t="n"/>
      <c r="S37" s="19" t="inlineStr">
        <is>
          <t>Loan API Design</t>
        </is>
      </c>
      <c r="T37" s="19" t="inlineStr">
        <is>
          <t>Loan dashboard</t>
        </is>
      </c>
      <c r="U37" s="19" t="inlineStr">
        <is>
          <t>GET</t>
        </is>
      </c>
      <c r="V37" s="19" t="inlineStr">
        <is>
          <t>/v1/external/accounts?accountGroup={accountGroup}</t>
        </is>
      </c>
      <c r="W37" s="19" t="inlineStr">
        <is>
          <t>dep-dashboard</t>
        </is>
      </c>
      <c r="X37" s="19" t="inlineStr">
        <is>
          <t>ECLIPSE_Account Dashboard_Loan_DDD_API_Design_v1_Workshop.xlsx</t>
        </is>
      </c>
      <c r="Y37" s="19" t="inlineStr">
        <is>
          <t>1.1 Loan Dashboard - Landing</t>
        </is>
      </c>
      <c r="Z37" s="19" t="inlineStr">
        <is>
          <t>API_Specs_Index!A2:H2</t>
        </is>
      </c>
      <c r="AA37" s="22" t="inlineStr">
        <is>
          <t>API-026</t>
        </is>
      </c>
      <c r="AB37" s="19" t="inlineStr">
        <is>
          <t>Mapped to Loan dashboard because the test case terms align with the 1.1 Loan Dashboard - Landing journey in the applicable API specification.</t>
        </is>
      </c>
      <c r="AC37" s="19" t="inlineStr">
        <is>
          <t>High</t>
        </is>
      </c>
      <c r="AD37" s="19" t="inlineStr">
        <is>
          <t>When user tap "Loan/Financing" tab and screen is loaded getDashboard dep-dashboard GET /v1/external/accounts?featureType={featureType} example : /v1/external/accounts?featureType=DASHBOARD_LOAN { "status": 200, "message": "Request processed succes...</t>
        </is>
      </c>
    </row>
    <row r="38" ht="248.4" customHeight="1" s="2">
      <c r="A38" s="12" t="inlineStr">
        <is>
          <t>TC-B1-0037</t>
        </is>
      </c>
      <c r="B38" s="13" t="inlineStr">
        <is>
          <t>TS-B1-027</t>
        </is>
      </c>
      <c r="C38" s="13" t="inlineStr">
        <is>
          <t>Acct Dashboard Financing</t>
        </is>
      </c>
      <c r="D38" s="13" t="inlineStr">
        <is>
          <t>Dashboard - Loan</t>
        </is>
      </c>
      <c r="E38" s="13" t="inlineStr">
        <is>
          <t>Complete required authentication for Auto Loan (Shariah)</t>
        </is>
      </c>
      <c r="F38" s="13" t="inlineStr">
        <is>
          <t>Security</t>
        </is>
      </c>
      <c r="G38" s="13" t="inlineStr">
        <is>
          <t>High</t>
        </is>
      </c>
      <c r="H38" s="13" t="inlineStr">
        <is>
          <t>Eligible user; authentication method is active. Requirement: Not specified in FSD</t>
        </is>
      </c>
      <c r="I38" s="13" t="inlineStr">
        <is>
          <t>Auto Loan (Shariah)</t>
        </is>
      </c>
      <c r="J38" s="13" t="inlineStr">
        <is>
          <t>1. Start the protected action.
2. Complete the configured authentication with valid credentials.
3. Continue the journey.</t>
        </is>
      </c>
      <c r="K38" s="13" t="inlineStr">
        <is>
          <t>Authentication succeeds, the protected action continues once, and the user returns to the correct journey context.</t>
        </is>
      </c>
      <c r="L38" s="13" t="inlineStr">
        <is>
          <t>Not specified in FSD</t>
        </is>
      </c>
      <c r="M38" s="13" t="inlineStr">
        <is>
          <t>Active / Overdue / Closed</t>
        </is>
      </c>
      <c r="N38" s="13" t="inlineStr">
        <is>
          <t>Acct Dashboard Financing!E1:E62</t>
        </is>
      </c>
      <c r="O38" s="13" t="inlineStr">
        <is>
          <t>Not Run</t>
        </is>
      </c>
      <c r="P38" s="13" t="n"/>
      <c r="Q38" s="13" t="n"/>
      <c r="R38" s="14" t="n"/>
      <c r="S38" s="19" t="inlineStr">
        <is>
          <t>Loan API Design</t>
        </is>
      </c>
      <c r="T38" s="19" t="inlineStr">
        <is>
          <t>Loan dashboard</t>
        </is>
      </c>
      <c r="U38" s="19" t="inlineStr">
        <is>
          <t>GET</t>
        </is>
      </c>
      <c r="V38" s="19" t="inlineStr">
        <is>
          <t>/v1/external/accounts?accountGroup={accountGroup}</t>
        </is>
      </c>
      <c r="W38" s="19" t="inlineStr">
        <is>
          <t>dep-dashboard</t>
        </is>
      </c>
      <c r="X38" s="19" t="inlineStr">
        <is>
          <t>ECLIPSE_Account Dashboard_Loan_DDD_API_Design_v1_Workshop.xlsx</t>
        </is>
      </c>
      <c r="Y38" s="19" t="inlineStr">
        <is>
          <t>1.1 Loan Dashboard - Landing</t>
        </is>
      </c>
      <c r="Z38" s="19" t="inlineStr">
        <is>
          <t>API_Specs_Index!A2:H2</t>
        </is>
      </c>
      <c r="AA38" s="22" t="inlineStr">
        <is>
          <t>API-026</t>
        </is>
      </c>
      <c r="AB38" s="19" t="inlineStr">
        <is>
          <t>Mapped to Loan dashboard because the test case terms align with the 1.1 Loan Dashboard - Landing journey in the applicable API specification.</t>
        </is>
      </c>
      <c r="AC38" s="19" t="inlineStr">
        <is>
          <t>High</t>
        </is>
      </c>
      <c r="AD38" s="19" t="inlineStr">
        <is>
          <t>When user tap "Loan/Financing" tab and screen is loaded getDashboard dep-dashboard GET /v1/external/accounts?featureType={featureType} example : /v1/external/accounts?featureType=DASHBOARD_LOAN { "status": 200, "message": "Request processed succes...</t>
        </is>
      </c>
    </row>
    <row r="39" ht="303.6" customHeight="1" s="2">
      <c r="A39" s="15" t="inlineStr">
        <is>
          <t>TC-B1-0038</t>
        </is>
      </c>
      <c r="B39" s="16" t="inlineStr">
        <is>
          <t>TS-B1-027</t>
        </is>
      </c>
      <c r="C39" s="16" t="inlineStr">
        <is>
          <t>Acct Dashboard Financing</t>
        </is>
      </c>
      <c r="D39" s="16" t="inlineStr">
        <is>
          <t>Dashboard - Loan</t>
        </is>
      </c>
      <c r="E39" s="16" t="inlineStr">
        <is>
          <t>Reject invalid, cancelled, or expired authentication for Auto Loan (Shariah)</t>
        </is>
      </c>
      <c r="F39" s="16" t="inlineStr">
        <is>
          <t>Negative / Security</t>
        </is>
      </c>
      <c r="G39" s="16" t="inlineStr">
        <is>
          <t>High</t>
        </is>
      </c>
      <c r="H39" s="16" t="inlineStr">
        <is>
          <t>Eligible user; protected action requires authentication. Requirement: Not specified in FSD</t>
        </is>
      </c>
      <c r="I39" s="16" t="inlineStr">
        <is>
          <t>Auto Loan (Shariah)</t>
        </is>
      </c>
      <c r="J39" s="16" t="inlineStr">
        <is>
          <t>1. Start the protected action.
2. Enter invalid credentials, cancel, or allow the challenge to expire.
3. Observe the result.</t>
        </is>
      </c>
      <c r="K39" s="16" t="inlineStr">
        <is>
          <t>The action is not performed. The configured failure/lockout message is shown, sensitive data remains protected, and retry behavior follows the requirement.</t>
        </is>
      </c>
      <c r="L39" s="16" t="inlineStr">
        <is>
          <t>Not specified in FSD</t>
        </is>
      </c>
      <c r="M39" s="16" t="inlineStr">
        <is>
          <t>Active / Overdue / Closed</t>
        </is>
      </c>
      <c r="N39" s="16" t="inlineStr">
        <is>
          <t>Acct Dashboard Financing!E1:E62</t>
        </is>
      </c>
      <c r="O39" s="16" t="inlineStr">
        <is>
          <t>Not Run</t>
        </is>
      </c>
      <c r="P39" s="16" t="n"/>
      <c r="Q39" s="16" t="n"/>
      <c r="R39" s="17" t="n"/>
      <c r="S39" s="19" t="inlineStr">
        <is>
          <t>Loan API Design</t>
        </is>
      </c>
      <c r="T39" s="19" t="inlineStr">
        <is>
          <t>Loan dashboard</t>
        </is>
      </c>
      <c r="U39" s="19" t="inlineStr">
        <is>
          <t>GET</t>
        </is>
      </c>
      <c r="V39" s="19" t="inlineStr">
        <is>
          <t>/v1/external/accounts?accountGroup={accountGroup}</t>
        </is>
      </c>
      <c r="W39" s="19" t="inlineStr">
        <is>
          <t>dep-dashboard</t>
        </is>
      </c>
      <c r="X39" s="19" t="inlineStr">
        <is>
          <t>ECLIPSE_Account Dashboard_Loan_DDD_API_Design_v1_Workshop.xlsx</t>
        </is>
      </c>
      <c r="Y39" s="19" t="inlineStr">
        <is>
          <t>1.1 Loan Dashboard - Landing</t>
        </is>
      </c>
      <c r="Z39" s="19" t="inlineStr">
        <is>
          <t>API_Specs_Index!A2:H2</t>
        </is>
      </c>
      <c r="AA39" s="22" t="inlineStr">
        <is>
          <t>API-026</t>
        </is>
      </c>
      <c r="AB39" s="19" t="inlineStr">
        <is>
          <t>Mapped to Loan dashboard because the test case terms align with the 1.1 Loan Dashboard - Landing journey in the applicable API specification.</t>
        </is>
      </c>
      <c r="AC39" s="19" t="inlineStr">
        <is>
          <t>High</t>
        </is>
      </c>
      <c r="AD39" s="19" t="inlineStr">
        <is>
          <t>When user tap "Loan/Financing" tab and screen is loaded getDashboard dep-dashboard GET /v1/external/accounts?featureType={featureType} example : /v1/external/accounts?featureType=DASHBOARD_LOAN { "status": 200, "message": "Request processed succes...</t>
        </is>
      </c>
    </row>
    <row r="40" ht="409.6" customHeight="1" s="2">
      <c r="A40" s="12" t="inlineStr">
        <is>
          <t>TC-B1-0039</t>
        </is>
      </c>
      <c r="B40" s="13" t="inlineStr">
        <is>
          <t>TS-B1-028</t>
        </is>
      </c>
      <c r="C40" s="13" t="inlineStr">
        <is>
          <t>Acct Dashboard Financing</t>
        </is>
      </c>
      <c r="D40" s="13" t="inlineStr">
        <is>
          <t>Dashboard - Loan</t>
        </is>
      </c>
      <c r="E40" s="13" t="inlineStr">
        <is>
          <t>Validate Common Rules Reference for Auto Loan (Shariah)</t>
        </is>
      </c>
      <c r="F40" s="13" t="inlineStr">
        <is>
          <t>UI / Functional</t>
        </is>
      </c>
      <c r="G40" s="13" t="inlineStr">
        <is>
          <t>Medium</t>
        </is>
      </c>
      <c r="H40" s="13" t="inlineStr">
        <is>
          <t>Eligible user and product are available. User has reached the preceding journey step.</t>
        </is>
      </c>
      <c r="I40" s="13" t="inlineStr">
        <is>
          <t>Auto Loan (Shariah)</t>
        </is>
      </c>
      <c r="J40" s="13" t="inlineStr">
        <is>
          <t>1. Open Auto Loan (Shariah).
2. Navigate to Common Rules Reference.
3. Perform the action or trigger described by: Refer to Account Dashboard Common FSD.
4. Observe the page, validation, navigation, and resulting state.</t>
        </is>
      </c>
      <c r="K40" s="13" t="inlineStr">
        <is>
          <t>Common Rules Reference behaves according to the mapped requirement (Refer to Account Dashboard Common FSD); data, controls, navigation, and status are accurate and consistent.</t>
        </is>
      </c>
      <c r="L40" s="13" t="inlineStr">
        <is>
          <t>Not specified in FSD</t>
        </is>
      </c>
      <c r="M40" s="13" t="inlineStr">
        <is>
          <t>Active / Overdue / Closed</t>
        </is>
      </c>
      <c r="N40" s="13" t="inlineStr">
        <is>
          <t>Acct Dashboard Financing!A9:E9</t>
        </is>
      </c>
      <c r="O40" s="13" t="inlineStr">
        <is>
          <t>Not Run</t>
        </is>
      </c>
      <c r="P40" s="13" t="n"/>
      <c r="Q40" s="13" t="n"/>
      <c r="R40" s="14" t="n"/>
      <c r="S40" s="19" t="inlineStr">
        <is>
          <t>Loan API Design</t>
        </is>
      </c>
      <c r="T40" s="19" t="inlineStr">
        <is>
          <t>Loan dashboard</t>
        </is>
      </c>
      <c r="U40" s="19" t="inlineStr">
        <is>
          <t>GET</t>
        </is>
      </c>
      <c r="V40" s="19" t="inlineStr">
        <is>
          <t>/v1/external/accounts?accountGroup={accountGroup}</t>
        </is>
      </c>
      <c r="W40" s="19" t="inlineStr">
        <is>
          <t>dep-dashboard</t>
        </is>
      </c>
      <c r="X40" s="19" t="inlineStr">
        <is>
          <t>ECLIPSE_Account Dashboard_Loan_DDD_API_Design_v1_Workshop.xlsx</t>
        </is>
      </c>
      <c r="Y40" s="19" t="inlineStr">
        <is>
          <t>1.1 Loan Dashboard - Landing</t>
        </is>
      </c>
      <c r="Z40" s="19" t="inlineStr">
        <is>
          <t>API_Specs_Index!A2:H2</t>
        </is>
      </c>
      <c r="AA40" s="22" t="inlineStr">
        <is>
          <t>API-026</t>
        </is>
      </c>
      <c r="AB40" s="19" t="inlineStr">
        <is>
          <t>Mapped to Loan dashboard because the test case terms align with the 1.1 Loan Dashboard - Landing journey in the applicable API specification.</t>
        </is>
      </c>
      <c r="AC40" s="19" t="inlineStr">
        <is>
          <t>High</t>
        </is>
      </c>
      <c r="AD40" s="19" t="inlineStr">
        <is>
          <t>When user tap "Loan/Financing" tab and screen is loaded getDashboard dep-dashboard GET /v1/external/accounts?featureType={featureType} example : /v1/external/accounts?featureType=DASHBOARD_LOAN { "status": 200, "message": "Request processed succes...</t>
        </is>
      </c>
    </row>
    <row r="41" ht="358.8" customHeight="1" s="2">
      <c r="A41" s="15" t="inlineStr">
        <is>
          <t>TC-B1-0040</t>
        </is>
      </c>
      <c r="B41" s="16" t="inlineStr">
        <is>
          <t>TS-B1-029</t>
        </is>
      </c>
      <c r="C41" s="16" t="inlineStr">
        <is>
          <t>Acct Dashboard Financing</t>
        </is>
      </c>
      <c r="D41" s="16" t="inlineStr">
        <is>
          <t>Dashboard - Loan</t>
        </is>
      </c>
      <c r="E41" s="16" t="inlineStr">
        <is>
          <t>Validate 1.1 Loan Dashboard - Landing for Auto Loan (Shariah)</t>
        </is>
      </c>
      <c r="F41" s="16" t="inlineStr">
        <is>
          <t>UI / Functional</t>
        </is>
      </c>
      <c r="G41" s="16" t="inlineStr">
        <is>
          <t>Medium</t>
        </is>
      </c>
      <c r="H41" s="16" t="inlineStr">
        <is>
          <t>Eligible user and product are available. User has reached the preceding journey step.</t>
        </is>
      </c>
      <c r="I41" s="16" t="inlineStr">
        <is>
          <t>Auto Loan (Shariah)</t>
        </is>
      </c>
      <c r="J41" s="16" t="inlineStr">
        <is>
          <t>1. Open Auto Loan (Shariah).
2. Navigate to 1.1 Loan Dashboard - Landing.
3. Perform the action or trigger described by: Step 1.
4. Observe the page, validation, navigation, and resulting state.</t>
        </is>
      </c>
      <c r="K41" s="16" t="inlineStr">
        <is>
          <t>1.1 Loan Dashboard - Landing behaves according to the mapped requirement (Step 1); data, controls, navigation, and status are accurate and consistent.</t>
        </is>
      </c>
      <c r="L41" s="16" t="inlineStr">
        <is>
          <t>Not specified in FSD</t>
        </is>
      </c>
      <c r="M41" s="16" t="inlineStr">
        <is>
          <t>Active / Overdue / Closed</t>
        </is>
      </c>
      <c r="N41" s="16" t="inlineStr">
        <is>
          <t>Acct Dashboard Financing!A10:E10</t>
        </is>
      </c>
      <c r="O41" s="16" t="inlineStr">
        <is>
          <t>Not Run</t>
        </is>
      </c>
      <c r="P41" s="16" t="n"/>
      <c r="Q41" s="16" t="n"/>
      <c r="R41" s="17" t="n"/>
      <c r="S41" s="19" t="inlineStr">
        <is>
          <t>Loan API Design</t>
        </is>
      </c>
      <c r="T41" s="19" t="inlineStr">
        <is>
          <t>Loan dashboard</t>
        </is>
      </c>
      <c r="U41" s="19" t="inlineStr">
        <is>
          <t>GET</t>
        </is>
      </c>
      <c r="V41" s="19" t="inlineStr">
        <is>
          <t>/v1/external/accounts?accountGroup={accountGroup}</t>
        </is>
      </c>
      <c r="W41" s="19" t="inlineStr">
        <is>
          <t>dep-dashboard</t>
        </is>
      </c>
      <c r="X41" s="19" t="inlineStr">
        <is>
          <t>ECLIPSE_Account Dashboard_Loan_DDD_API_Design_v1_Workshop.xlsx</t>
        </is>
      </c>
      <c r="Y41" s="19" t="inlineStr">
        <is>
          <t>1.1 Loan Dashboard - Landing</t>
        </is>
      </c>
      <c r="Z41" s="19" t="inlineStr">
        <is>
          <t>API_Specs_Index!A2:H2</t>
        </is>
      </c>
      <c r="AA41" s="22" t="inlineStr">
        <is>
          <t>API-026</t>
        </is>
      </c>
      <c r="AB41" s="19" t="inlineStr">
        <is>
          <t>Mapped to Loan dashboard because the test case terms align with the 1.1 Loan Dashboard - Landing journey in the applicable API specification.</t>
        </is>
      </c>
      <c r="AC41" s="19" t="inlineStr">
        <is>
          <t>High</t>
        </is>
      </c>
      <c r="AD41" s="19" t="inlineStr">
        <is>
          <t>When user tap "Loan/Financing" tab and screen is loaded getDashboard dep-dashboard GET /v1/external/accounts?featureType={featureType} example : /v1/external/accounts?featureType=DASHBOARD_LOAN { "status": 200, "message": "Request processed succes...</t>
        </is>
      </c>
    </row>
    <row r="42" ht="409.6" customHeight="1" s="2">
      <c r="A42" s="12" t="inlineStr">
        <is>
          <t>TC-B1-0041</t>
        </is>
      </c>
      <c r="B42" s="13" t="inlineStr">
        <is>
          <t>TS-B1-030</t>
        </is>
      </c>
      <c r="C42" s="13" t="inlineStr">
        <is>
          <t>Acct Dashboard Financing</t>
        </is>
      </c>
      <c r="D42" s="13" t="inlineStr">
        <is>
          <t>Dashboard - Loan</t>
        </is>
      </c>
      <c r="E42" s="13" t="inlineStr">
        <is>
          <t>Validate 1.2.1 View All Trans for Auto Loan (Shariah)</t>
        </is>
      </c>
      <c r="F42" s="13" t="inlineStr">
        <is>
          <t>Functional</t>
        </is>
      </c>
      <c r="G42" s="13" t="inlineStr">
        <is>
          <t>Medium</t>
        </is>
      </c>
      <c r="H42" s="13" t="inlineStr">
        <is>
          <t>Eligible user and product are available. Trigger the stated condition: Conditional Step 3 - when View all transactions is selected</t>
        </is>
      </c>
      <c r="I42" s="13" t="inlineStr">
        <is>
          <t>Auto Loan (Shariah)</t>
        </is>
      </c>
      <c r="J42" s="13" t="inlineStr">
        <is>
          <t>1. Open Auto Loan (Shariah).
2. Navigate to 1.2.1 View All Trans.
3. Perform the action or trigger described by: Conditional Step 3 - when View all transactions is selected.
4. Observe the page, validation, navigation, and resulting state.</t>
        </is>
      </c>
      <c r="K42" s="13" t="inlineStr">
        <is>
          <t>1.2.1 View All Trans behaves according to the mapped requirement (Conditional Step 3 - when View all transactions is selected); data, controls, navigation, and status are accurate and consistent.</t>
        </is>
      </c>
      <c r="L42" s="13" t="inlineStr">
        <is>
          <t>Not specified in FSD</t>
        </is>
      </c>
      <c r="M42" s="13" t="inlineStr">
        <is>
          <t>Active / Overdue / Closed</t>
        </is>
      </c>
      <c r="N42" s="13" t="inlineStr">
        <is>
          <t>Acct Dashboard Financing!A12:E12</t>
        </is>
      </c>
      <c r="O42" s="13" t="inlineStr">
        <is>
          <t>Not Run</t>
        </is>
      </c>
      <c r="P42" s="13" t="n"/>
      <c r="Q42" s="13" t="n"/>
      <c r="R42" s="14" t="inlineStr">
        <is>
          <t>Conditional coverage required.</t>
        </is>
      </c>
      <c r="S42" s="19" t="inlineStr">
        <is>
          <t>Loan API Design</t>
        </is>
      </c>
      <c r="T42" s="19" t="inlineStr">
        <is>
          <t>Loan transaction history</t>
        </is>
      </c>
      <c r="U42" s="19" t="inlineStr">
        <is>
          <t>GET</t>
        </is>
      </c>
      <c r="V42" s="19" t="inlineStr">
        <is>
          <t>/v1/external/accounts/account-type/{accountType}/account-id/{accountId}/transactions</t>
        </is>
      </c>
      <c r="W42" s="19" t="inlineStr">
        <is>
          <t>info-loan</t>
        </is>
      </c>
      <c r="X42" s="19" t="inlineStr">
        <is>
          <t>ECLIPSE_Account Dashboard_Loan_DDD_API_Design_v1_Workshop.xlsx</t>
        </is>
      </c>
      <c r="Y42" s="19" t="inlineStr">
        <is>
          <t>1.2 Personal Loan Acc
1.2.4 PL Shariah Acc
1.3 Auto Loan Acc
1.3.1 Auto Loan Shariah
1.4 Mortgage Loan Acc
1.4.1 Mortgage Loan Shariah</t>
        </is>
      </c>
      <c r="Z42" s="19" t="inlineStr">
        <is>
          <t>API_Specs_Index!A4:H4</t>
        </is>
      </c>
      <c r="AA42" s="22" t="inlineStr">
        <is>
          <t>API-027</t>
        </is>
      </c>
      <c r="AB42" s="19" t="inlineStr">
        <is>
          <t>Mapped to Loan transaction history because the test case terms align with the 1.2 Personal Loan Acc
1.2.4 PL Shariah Acc
1.3 Auto Loan Acc
1.3.1 Auto Loan Shariah
1.4 Mortgage Loan Acc
1.4.1 Mortgage Loan Shariah journey in the applicable API specification.</t>
        </is>
      </c>
      <c r="AC42" s="19" t="inlineStr">
        <is>
          <t>High</t>
        </is>
      </c>
      <c r="AD42" s="19" t="inlineStr">
        <is>
          <t>Pending ESB Spec</t>
        </is>
      </c>
    </row>
    <row r="43" ht="331.2" customHeight="1" s="2">
      <c r="A43" s="15" t="inlineStr">
        <is>
          <t>TC-B1-0042</t>
        </is>
      </c>
      <c r="B43" s="16" t="inlineStr">
        <is>
          <t>TS-B1-031</t>
        </is>
      </c>
      <c r="C43" s="16" t="inlineStr">
        <is>
          <t>Acct Dashboard Financing</t>
        </is>
      </c>
      <c r="D43" s="16" t="inlineStr">
        <is>
          <t>Dashboard - Loan</t>
        </is>
      </c>
      <c r="E43" s="16" t="inlineStr">
        <is>
          <t>Validate 1.3.1 Auto Loan Shariah for Auto Loan (Shariah)</t>
        </is>
      </c>
      <c r="F43" s="16" t="inlineStr">
        <is>
          <t>Functional</t>
        </is>
      </c>
      <c r="G43" s="16" t="inlineStr">
        <is>
          <t>Medium</t>
        </is>
      </c>
      <c r="H43" s="16" t="inlineStr">
        <is>
          <t>Eligible user and product are available. User has reached the preceding journey step.</t>
        </is>
      </c>
      <c r="I43" s="16" t="inlineStr">
        <is>
          <t>Auto Loan (Shariah)</t>
        </is>
      </c>
      <c r="J43" s="16" t="inlineStr">
        <is>
          <t>1. Open Auto Loan (Shariah).
2. Navigate to 1.3.1 Auto Loan Shariah.
3. Perform the action or trigger described by: Step 10.
4. Observe the page, validation, navigation, and resulting state.</t>
        </is>
      </c>
      <c r="K43" s="16" t="inlineStr">
        <is>
          <t>1.3.1 Auto Loan Shariah behaves according to the mapped requirement (Step 10); data, controls, navigation, and status are accurate and consistent.</t>
        </is>
      </c>
      <c r="L43" s="16" t="inlineStr">
        <is>
          <t>Not specified in FSD</t>
        </is>
      </c>
      <c r="M43" s="16" t="inlineStr">
        <is>
          <t>Active / Overdue / Closed</t>
        </is>
      </c>
      <c r="N43" s="16" t="inlineStr">
        <is>
          <t>Acct Dashboard Financing!A19:E19</t>
        </is>
      </c>
      <c r="O43" s="16" t="inlineStr">
        <is>
          <t>Not Run</t>
        </is>
      </c>
      <c r="P43" s="16" t="n"/>
      <c r="Q43" s="16" t="n"/>
      <c r="R43" s="17" t="n"/>
      <c r="S43" s="19" t="inlineStr">
        <is>
          <t>Loan API Design</t>
        </is>
      </c>
      <c r="T43" s="19" t="inlineStr">
        <is>
          <t>Loan dashboard</t>
        </is>
      </c>
      <c r="U43" s="19" t="inlineStr">
        <is>
          <t>GET</t>
        </is>
      </c>
      <c r="V43" s="19" t="inlineStr">
        <is>
          <t>/v1/external/accounts?accountGroup={accountGroup}</t>
        </is>
      </c>
      <c r="W43" s="19" t="inlineStr">
        <is>
          <t>dep-dashboard</t>
        </is>
      </c>
      <c r="X43" s="19" t="inlineStr">
        <is>
          <t>ECLIPSE_Account Dashboard_Loan_DDD_API_Design_v1_Workshop.xlsx</t>
        </is>
      </c>
      <c r="Y43" s="19" t="inlineStr">
        <is>
          <t>1.1 Loan Dashboard - Landing</t>
        </is>
      </c>
      <c r="Z43" s="19" t="inlineStr">
        <is>
          <t>API_Specs_Index!A2:H2</t>
        </is>
      </c>
      <c r="AA43" s="22" t="inlineStr">
        <is>
          <t>API-026</t>
        </is>
      </c>
      <c r="AB43" s="19" t="inlineStr">
        <is>
          <t>Mapped to Loan dashboard because the test case terms align with the 1.1 Loan Dashboard - Landing journey in the applicable API specification.</t>
        </is>
      </c>
      <c r="AC43" s="19" t="inlineStr">
        <is>
          <t>High</t>
        </is>
      </c>
      <c r="AD43" s="19" t="inlineStr">
        <is>
          <t>When user tap "Loan/Financing" tab and screen is loaded getDashboard dep-dashboard GET /v1/external/accounts?featureType={featureType} example : /v1/external/accounts?featureType=DASHBOARD_LOAN { "status": 200, "message": "Request processed succes...</t>
        </is>
      </c>
    </row>
    <row r="44" ht="289.8" customHeight="1" s="2">
      <c r="A44" s="12" t="inlineStr">
        <is>
          <t>TC-B1-0043</t>
        </is>
      </c>
      <c r="B44" s="13" t="inlineStr">
        <is>
          <t>TS-B1-032</t>
        </is>
      </c>
      <c r="C44" s="13" t="inlineStr">
        <is>
          <t>Acct Dashboard Financing</t>
        </is>
      </c>
      <c r="D44" s="13" t="inlineStr">
        <is>
          <t>Dashboard - Loan</t>
        </is>
      </c>
      <c r="E44" s="13" t="inlineStr">
        <is>
          <t>Validate successful final state for Auto Loan (Shariah)</t>
        </is>
      </c>
      <c r="F44" s="13" t="inlineStr">
        <is>
          <t>Positive</t>
        </is>
      </c>
      <c r="G44" s="13" t="inlineStr">
        <is>
          <t>High</t>
        </is>
      </c>
      <c r="H44" s="13" t="inlineStr">
        <is>
          <t>All required inputs and services are valid. Expected statuses: Active / Overdue / Closed</t>
        </is>
      </c>
      <c r="I44" s="13" t="inlineStr">
        <is>
          <t>Auto Loan (Shariah)</t>
        </is>
      </c>
      <c r="J44" s="13" t="inlineStr">
        <is>
          <t>1. Complete the end-to-end journey with valid data.
2. Submit/confirm the final action.
3. Verify result, receipt/notification where applicable, and persisted state.</t>
        </is>
      </c>
      <c r="K44" s="13" t="inlineStr">
        <is>
          <t>A valid success status from the requirement is shown. The transaction or change is applied once, persisted, and reflected on refresh.</t>
        </is>
      </c>
      <c r="L44" s="13" t="inlineStr">
        <is>
          <t>Not specified in FSD</t>
        </is>
      </c>
      <c r="M44" s="13" t="inlineStr">
        <is>
          <t>Active / Overdue / Closed</t>
        </is>
      </c>
      <c r="N44" s="13" t="inlineStr">
        <is>
          <t>Acct Dashboard Financing!E1:E62</t>
        </is>
      </c>
      <c r="O44" s="13" t="inlineStr">
        <is>
          <t>Not Run</t>
        </is>
      </c>
      <c r="P44" s="13" t="n"/>
      <c r="Q44" s="13" t="n"/>
      <c r="R44" s="14" t="n"/>
      <c r="S44" s="19" t="inlineStr">
        <is>
          <t>Loan API Design</t>
        </is>
      </c>
      <c r="T44" s="19" t="inlineStr">
        <is>
          <t>Loan transaction history</t>
        </is>
      </c>
      <c r="U44" s="19" t="inlineStr">
        <is>
          <t>GET</t>
        </is>
      </c>
      <c r="V44" s="19" t="inlineStr">
        <is>
          <t>/v1/external/accounts/account-type/{accountType}/account-id/{accountId}/transactions</t>
        </is>
      </c>
      <c r="W44" s="19" t="inlineStr">
        <is>
          <t>info-loan</t>
        </is>
      </c>
      <c r="X44" s="19" t="inlineStr">
        <is>
          <t>ECLIPSE_Account Dashboard_Loan_DDD_API_Design_v1_Workshop.xlsx</t>
        </is>
      </c>
      <c r="Y44" s="19" t="inlineStr">
        <is>
          <t>1.2 Personal Loan Acc
1.2.4 PL Shariah Acc
1.3 Auto Loan Acc
1.3.1 Auto Loan Shariah
1.4 Mortgage Loan Acc
1.4.1 Mortgage Loan Shariah</t>
        </is>
      </c>
      <c r="Z44" s="19" t="inlineStr">
        <is>
          <t>API_Specs_Index!A4:H4</t>
        </is>
      </c>
      <c r="AA44" s="22" t="inlineStr">
        <is>
          <t>API-027</t>
        </is>
      </c>
      <c r="AB44" s="19" t="inlineStr">
        <is>
          <t>Mapped to Loan transaction history because the test case terms align with the 1.2 Personal Loan Acc
1.2.4 PL Shariah Acc
1.3 Auto Loan Acc
1.3.1 Auto Loan Shariah
1.4 Mortgage Loan Acc
1.4.1 Mortgage Loan Shariah journey in the applicable API specification.</t>
        </is>
      </c>
      <c r="AC44" s="19" t="inlineStr">
        <is>
          <t>High</t>
        </is>
      </c>
      <c r="AD44" s="19" t="inlineStr">
        <is>
          <t>Pending ESB Spec</t>
        </is>
      </c>
    </row>
    <row r="45" ht="345" customHeight="1" s="2">
      <c r="A45" s="15" t="inlineStr">
        <is>
          <t>TC-B1-0044</t>
        </is>
      </c>
      <c r="B45" s="16" t="inlineStr">
        <is>
          <t>TS-B1-032</t>
        </is>
      </c>
      <c r="C45" s="16" t="inlineStr">
        <is>
          <t>Acct Dashboard Financing</t>
        </is>
      </c>
      <c r="D45" s="16" t="inlineStr">
        <is>
          <t>Dashboard - Loan</t>
        </is>
      </c>
      <c r="E45" s="16" t="inlineStr">
        <is>
          <t>Validate service failure and retry for Auto Loan (Shariah)</t>
        </is>
      </c>
      <c r="F45" s="16" t="inlineStr">
        <is>
          <t>Negative</t>
        </is>
      </c>
      <c r="G45" s="16" t="inlineStr">
        <is>
          <t>High</t>
        </is>
      </c>
      <c r="H45" s="16" t="inlineStr">
        <is>
          <t>Journey is available; simulate a controlled downstream timeout or unsuccessful response. Expected statuses: Active / Overdue / Closed</t>
        </is>
      </c>
      <c r="I45" s="16" t="inlineStr">
        <is>
          <t>Auto Loan (Shariah)</t>
        </is>
      </c>
      <c r="J45" s="16" t="inlineStr">
        <is>
          <t>1. Progress to the final action.
2. Trigger a timeout, unavailable service, or unsuccessful response.
3. Verify the error message and retry behavior.
4. Retry after service recovery.</t>
        </is>
      </c>
      <c r="K45" s="16" t="inlineStr">
        <is>
          <t>No duplicate action occurs. The configured unsuccessful/processing state is shown, retry is safe, and final status becomes consistent after recovery.</t>
        </is>
      </c>
      <c r="L45" s="16" t="inlineStr">
        <is>
          <t>Not specified in FSD</t>
        </is>
      </c>
      <c r="M45" s="16" t="inlineStr">
        <is>
          <t>Active / Overdue / Closed</t>
        </is>
      </c>
      <c r="N45" s="16" t="inlineStr">
        <is>
          <t>Acct Dashboard Financing!E1:E62</t>
        </is>
      </c>
      <c r="O45" s="16" t="inlineStr">
        <is>
          <t>Not Run</t>
        </is>
      </c>
      <c r="P45" s="16" t="n"/>
      <c r="Q45" s="16" t="n"/>
      <c r="R45" s="17" t="n"/>
      <c r="S45" s="19" t="inlineStr">
        <is>
          <t>Loan API Design</t>
        </is>
      </c>
      <c r="T45" s="19" t="inlineStr">
        <is>
          <t>Loan dashboard</t>
        </is>
      </c>
      <c r="U45" s="19" t="inlineStr">
        <is>
          <t>GET</t>
        </is>
      </c>
      <c r="V45" s="19" t="inlineStr">
        <is>
          <t>/v1/external/accounts?accountGroup={accountGroup}</t>
        </is>
      </c>
      <c r="W45" s="19" t="inlineStr">
        <is>
          <t>dep-dashboard</t>
        </is>
      </c>
      <c r="X45" s="19" t="inlineStr">
        <is>
          <t>ECLIPSE_Account Dashboard_Loan_DDD_API_Design_v1_Workshop.xlsx</t>
        </is>
      </c>
      <c r="Y45" s="19" t="inlineStr">
        <is>
          <t>1.1 Loan Dashboard - Landing</t>
        </is>
      </c>
      <c r="Z45" s="19" t="inlineStr">
        <is>
          <t>API_Specs_Index!A2:H2</t>
        </is>
      </c>
      <c r="AA45" s="22" t="inlineStr">
        <is>
          <t>API-026</t>
        </is>
      </c>
      <c r="AB45" s="19" t="inlineStr">
        <is>
          <t>Mapped to Loan dashboard because the test case terms align with the 1.1 Loan Dashboard - Landing journey in the applicable API specification.</t>
        </is>
      </c>
      <c r="AC45" s="19" t="inlineStr">
        <is>
          <t>High</t>
        </is>
      </c>
      <c r="AD45" s="19" t="inlineStr">
        <is>
          <t>When user tap "Loan/Financing" tab and screen is loaded getDashboard dep-dashboard GET /v1/external/accounts?featureType={featureType} example : /v1/external/accounts?featureType=DASHBOARD_LOAN { "status": 200, "message": "Request processed succes...</t>
        </is>
      </c>
    </row>
    <row r="46" ht="234.6" customHeight="1" s="2">
      <c r="A46" s="12" t="inlineStr">
        <is>
          <t>TC-B1-0045</t>
        </is>
      </c>
      <c r="B46" s="13" t="inlineStr">
        <is>
          <t>TS-B1-033</t>
        </is>
      </c>
      <c r="C46" s="13" t="inlineStr">
        <is>
          <t>Acct Dashboard Financing</t>
        </is>
      </c>
      <c r="D46" s="13" t="inlineStr">
        <is>
          <t>Dashboard - Loan</t>
        </is>
      </c>
      <c r="E46" s="13" t="inlineStr">
        <is>
          <t>Open Mortgage Loan (Conventional) from valid entry point</t>
        </is>
      </c>
      <c r="F46" s="13" t="inlineStr">
        <is>
          <t>Positive</t>
        </is>
      </c>
      <c r="G46" s="13" t="inlineStr">
        <is>
          <t>Medium</t>
        </is>
      </c>
      <c r="H46" s="13" t="inlineStr">
        <is>
          <t>Eligible user: Loan account holder</t>
        </is>
      </c>
      <c r="I46" s="13" t="inlineStr">
        <is>
          <t>Mortgage Loan (Conventional)</t>
        </is>
      </c>
      <c r="J46" s="13" t="inlineStr">
        <is>
          <t>1. Sign in at the required access level.
2. Navigate using: Loan Dashboard - Landing.
3. Select Mortgage Loan (Conventional).</t>
        </is>
      </c>
      <c r="K46" s="13" t="inlineStr">
        <is>
          <t>The correct Dashboard - Loan page opens and relevant product information is displayed without error.</t>
        </is>
      </c>
      <c r="L46" s="13" t="inlineStr">
        <is>
          <t>Not specified in FSD</t>
        </is>
      </c>
      <c r="M46" s="13" t="inlineStr">
        <is>
          <t>Active / Overdue / Closed</t>
        </is>
      </c>
      <c r="N46" s="13" t="inlineStr">
        <is>
          <t>Acct Dashboard Financing!F1:F62</t>
        </is>
      </c>
      <c r="O46" s="13" t="inlineStr">
        <is>
          <t>Not Run</t>
        </is>
      </c>
      <c r="P46" s="13" t="n"/>
      <c r="Q46" s="13" t="n"/>
      <c r="R46" s="14" t="n"/>
      <c r="S46" s="19" t="inlineStr">
        <is>
          <t>Loan API Design</t>
        </is>
      </c>
      <c r="T46" s="19" t="inlineStr">
        <is>
          <t>Loan dashboard</t>
        </is>
      </c>
      <c r="U46" s="19" t="inlineStr">
        <is>
          <t>GET</t>
        </is>
      </c>
      <c r="V46" s="19" t="inlineStr">
        <is>
          <t>/v1/external/accounts?accountGroup={accountGroup}</t>
        </is>
      </c>
      <c r="W46" s="19" t="inlineStr">
        <is>
          <t>dep-dashboard</t>
        </is>
      </c>
      <c r="X46" s="19" t="inlineStr">
        <is>
          <t>ECLIPSE_Account Dashboard_Loan_DDD_API_Design_v1_Workshop.xlsx</t>
        </is>
      </c>
      <c r="Y46" s="19" t="inlineStr">
        <is>
          <t>1.1 Loan Dashboard - Landing</t>
        </is>
      </c>
      <c r="Z46" s="19" t="inlineStr">
        <is>
          <t>API_Specs_Index!A2:H2</t>
        </is>
      </c>
      <c r="AA46" s="22" t="inlineStr">
        <is>
          <t>API-026</t>
        </is>
      </c>
      <c r="AB46" s="19" t="inlineStr">
        <is>
          <t>Mapped to Loan dashboard because the test case terms align with the 1.1 Loan Dashboard - Landing journey in the applicable API specification.</t>
        </is>
      </c>
      <c r="AC46" s="19" t="inlineStr">
        <is>
          <t>High</t>
        </is>
      </c>
      <c r="AD46" s="19" t="inlineStr">
        <is>
          <t>When user tap "Loan/Financing" tab and screen is loaded getDashboard dep-dashboard GET /v1/external/accounts?featureType={featureType} example : /v1/external/accounts?featureType=DASHBOARD_LOAN { "status": 200, "message": "Request processed succes...</t>
        </is>
      </c>
    </row>
    <row r="47" ht="345" customHeight="1" s="2">
      <c r="A47" s="15" t="inlineStr">
        <is>
          <t>TC-B1-0046</t>
        </is>
      </c>
      <c r="B47" s="16" t="inlineStr">
        <is>
          <t>TS-B1-033</t>
        </is>
      </c>
      <c r="C47" s="16" t="inlineStr">
        <is>
          <t>Acct Dashboard Financing</t>
        </is>
      </c>
      <c r="D47" s="16" t="inlineStr">
        <is>
          <t>Dashboard - Loan</t>
        </is>
      </c>
      <c r="E47" s="16" t="inlineStr">
        <is>
          <t>Validate ineligible or unavailable state for Mortgage Loan (Conventional)</t>
        </is>
      </c>
      <c r="F47" s="16" t="inlineStr">
        <is>
          <t>Negative</t>
        </is>
      </c>
      <c r="G47" s="16" t="inlineStr">
        <is>
          <t>High</t>
        </is>
      </c>
      <c r="H47" s="16" t="inlineStr">
        <is>
          <t>User or product does not meet one configured eligibility condition. Eligible baseline: Loan account holder</t>
        </is>
      </c>
      <c r="I47" s="16" t="inlineStr">
        <is>
          <t>Mortgage Loan (Conventional)</t>
        </is>
      </c>
      <c r="J47" s="16" t="inlineStr">
        <is>
          <t>1. Prepare an ineligible, unsupported, blocked, or unavailable test profile.
2. Navigate using: Loan Dashboard - Landing.
3. Attempt to open Mortgage Loan (Conventional).</t>
        </is>
      </c>
      <c r="K47" s="16" t="inlineStr">
        <is>
          <t>Access is prevented or the feature is hidden/disabled. A clear message is shown and no unauthorised data or action is exposed.</t>
        </is>
      </c>
      <c r="L47" s="16" t="inlineStr">
        <is>
          <t>Not specified in FSD</t>
        </is>
      </c>
      <c r="M47" s="16" t="inlineStr">
        <is>
          <t>Active / Overdue / Closed</t>
        </is>
      </c>
      <c r="N47" s="16" t="inlineStr">
        <is>
          <t>Acct Dashboard Financing!F1:F62</t>
        </is>
      </c>
      <c r="O47" s="16" t="inlineStr">
        <is>
          <t>Not Run</t>
        </is>
      </c>
      <c r="P47" s="16" t="n"/>
      <c r="Q47" s="16" t="n"/>
      <c r="R47" s="17" t="n"/>
      <c r="S47" s="19" t="inlineStr">
        <is>
          <t>Loan API Design</t>
        </is>
      </c>
      <c r="T47" s="19" t="inlineStr">
        <is>
          <t>Loan dashboard</t>
        </is>
      </c>
      <c r="U47" s="19" t="inlineStr">
        <is>
          <t>GET</t>
        </is>
      </c>
      <c r="V47" s="19" t="inlineStr">
        <is>
          <t>/v1/external/accounts?accountGroup={accountGroup}</t>
        </is>
      </c>
      <c r="W47" s="19" t="inlineStr">
        <is>
          <t>dep-dashboard</t>
        </is>
      </c>
      <c r="X47" s="19" t="inlineStr">
        <is>
          <t>ECLIPSE_Account Dashboard_Loan_DDD_API_Design_v1_Workshop.xlsx</t>
        </is>
      </c>
      <c r="Y47" s="19" t="inlineStr">
        <is>
          <t>1.1 Loan Dashboard - Landing</t>
        </is>
      </c>
      <c r="Z47" s="19" t="inlineStr">
        <is>
          <t>API_Specs_Index!A2:H2</t>
        </is>
      </c>
      <c r="AA47" s="22" t="inlineStr">
        <is>
          <t>API-026</t>
        </is>
      </c>
      <c r="AB47" s="19" t="inlineStr">
        <is>
          <t>Mapped to Loan dashboard because the test case terms align with the 1.1 Loan Dashboard - Landing journey in the applicable API specification.</t>
        </is>
      </c>
      <c r="AC47" s="19" t="inlineStr">
        <is>
          <t>High</t>
        </is>
      </c>
      <c r="AD47" s="19" t="inlineStr">
        <is>
          <t>When user tap "Loan/Financing" tab and screen is loaded getDashboard dep-dashboard GET /v1/external/accounts?featureType={featureType} example : /v1/external/accounts?featureType=DASHBOARD_LOAN { "status": 200, "message": "Request processed succes...</t>
        </is>
      </c>
    </row>
    <row r="48" ht="248.4" customHeight="1" s="2">
      <c r="A48" s="12" t="inlineStr">
        <is>
          <t>TC-B1-0047</t>
        </is>
      </c>
      <c r="B48" s="13" t="inlineStr">
        <is>
          <t>TS-B1-034</t>
        </is>
      </c>
      <c r="C48" s="13" t="inlineStr">
        <is>
          <t>Acct Dashboard Financing</t>
        </is>
      </c>
      <c r="D48" s="13" t="inlineStr">
        <is>
          <t>Dashboard - Loan</t>
        </is>
      </c>
      <c r="E48" s="13" t="inlineStr">
        <is>
          <t>Complete required authentication for Mortgage Loan (Conventional)</t>
        </is>
      </c>
      <c r="F48" s="13" t="inlineStr">
        <is>
          <t>Security</t>
        </is>
      </c>
      <c r="G48" s="13" t="inlineStr">
        <is>
          <t>High</t>
        </is>
      </c>
      <c r="H48" s="13" t="inlineStr">
        <is>
          <t>Eligible user; authentication method is active. Requirement: Not specified in FSD</t>
        </is>
      </c>
      <c r="I48" s="13" t="inlineStr">
        <is>
          <t>Mortgage Loan (Conventional)</t>
        </is>
      </c>
      <c r="J48" s="13" t="inlineStr">
        <is>
          <t>1. Start the protected action.
2. Complete the configured authentication with valid credentials.
3. Continue the journey.</t>
        </is>
      </c>
      <c r="K48" s="13" t="inlineStr">
        <is>
          <t>Authentication succeeds, the protected action continues once, and the user returns to the correct journey context.</t>
        </is>
      </c>
      <c r="L48" s="13" t="inlineStr">
        <is>
          <t>Not specified in FSD</t>
        </is>
      </c>
      <c r="M48" s="13" t="inlineStr">
        <is>
          <t>Active / Overdue / Closed</t>
        </is>
      </c>
      <c r="N48" s="13" t="inlineStr">
        <is>
          <t>Acct Dashboard Financing!F1:F62</t>
        </is>
      </c>
      <c r="O48" s="13" t="inlineStr">
        <is>
          <t>Not Run</t>
        </is>
      </c>
      <c r="P48" s="13" t="n"/>
      <c r="Q48" s="13" t="n"/>
      <c r="R48" s="14" t="n"/>
      <c r="S48" s="19" t="inlineStr">
        <is>
          <t>Loan API Design</t>
        </is>
      </c>
      <c r="T48" s="19" t="inlineStr">
        <is>
          <t>Loan dashboard</t>
        </is>
      </c>
      <c r="U48" s="19" t="inlineStr">
        <is>
          <t>GET</t>
        </is>
      </c>
      <c r="V48" s="19" t="inlineStr">
        <is>
          <t>/v1/external/accounts?accountGroup={accountGroup}</t>
        </is>
      </c>
      <c r="W48" s="19" t="inlineStr">
        <is>
          <t>dep-dashboard</t>
        </is>
      </c>
      <c r="X48" s="19" t="inlineStr">
        <is>
          <t>ECLIPSE_Account Dashboard_Loan_DDD_API_Design_v1_Workshop.xlsx</t>
        </is>
      </c>
      <c r="Y48" s="19" t="inlineStr">
        <is>
          <t>1.1 Loan Dashboard - Landing</t>
        </is>
      </c>
      <c r="Z48" s="19" t="inlineStr">
        <is>
          <t>API_Specs_Index!A2:H2</t>
        </is>
      </c>
      <c r="AA48" s="22" t="inlineStr">
        <is>
          <t>API-026</t>
        </is>
      </c>
      <c r="AB48" s="19" t="inlineStr">
        <is>
          <t>Mapped to Loan dashboard because the test case terms align with the 1.1 Loan Dashboard - Landing journey in the applicable API specification.</t>
        </is>
      </c>
      <c r="AC48" s="19" t="inlineStr">
        <is>
          <t>High</t>
        </is>
      </c>
      <c r="AD48" s="19" t="inlineStr">
        <is>
          <t>When user tap "Loan/Financing" tab and screen is loaded getDashboard dep-dashboard GET /v1/external/accounts?featureType={featureType} example : /v1/external/accounts?featureType=DASHBOARD_LOAN { "status": 200, "message": "Request processed succes...</t>
        </is>
      </c>
    </row>
    <row r="49" ht="303.6" customHeight="1" s="2">
      <c r="A49" s="15" t="inlineStr">
        <is>
          <t>TC-B1-0048</t>
        </is>
      </c>
      <c r="B49" s="16" t="inlineStr">
        <is>
          <t>TS-B1-034</t>
        </is>
      </c>
      <c r="C49" s="16" t="inlineStr">
        <is>
          <t>Acct Dashboard Financing</t>
        </is>
      </c>
      <c r="D49" s="16" t="inlineStr">
        <is>
          <t>Dashboard - Loan</t>
        </is>
      </c>
      <c r="E49" s="16" t="inlineStr">
        <is>
          <t>Reject invalid, cancelled, or expired authentication for Mortgage Loan (Conventional)</t>
        </is>
      </c>
      <c r="F49" s="16" t="inlineStr">
        <is>
          <t>Negative / Security</t>
        </is>
      </c>
      <c r="G49" s="16" t="inlineStr">
        <is>
          <t>High</t>
        </is>
      </c>
      <c r="H49" s="16" t="inlineStr">
        <is>
          <t>Eligible user; protected action requires authentication. Requirement: Not specified in FSD</t>
        </is>
      </c>
      <c r="I49" s="16" t="inlineStr">
        <is>
          <t>Mortgage Loan (Conventional)</t>
        </is>
      </c>
      <c r="J49" s="16" t="inlineStr">
        <is>
          <t>1. Start the protected action.
2. Enter invalid credentials, cancel, or allow the challenge to expire.
3. Observe the result.</t>
        </is>
      </c>
      <c r="K49" s="16" t="inlineStr">
        <is>
          <t>The action is not performed. The configured failure/lockout message is shown, sensitive data remains protected, and retry behavior follows the requirement.</t>
        </is>
      </c>
      <c r="L49" s="16" t="inlineStr">
        <is>
          <t>Not specified in FSD</t>
        </is>
      </c>
      <c r="M49" s="16" t="inlineStr">
        <is>
          <t>Active / Overdue / Closed</t>
        </is>
      </c>
      <c r="N49" s="16" t="inlineStr">
        <is>
          <t>Acct Dashboard Financing!F1:F62</t>
        </is>
      </c>
      <c r="O49" s="16" t="inlineStr">
        <is>
          <t>Not Run</t>
        </is>
      </c>
      <c r="P49" s="16" t="n"/>
      <c r="Q49" s="16" t="n"/>
      <c r="R49" s="17" t="n"/>
      <c r="S49" s="19" t="inlineStr">
        <is>
          <t>Loan API Design</t>
        </is>
      </c>
      <c r="T49" s="19" t="inlineStr">
        <is>
          <t>Loan dashboard</t>
        </is>
      </c>
      <c r="U49" s="19" t="inlineStr">
        <is>
          <t>GET</t>
        </is>
      </c>
      <c r="V49" s="19" t="inlineStr">
        <is>
          <t>/v1/external/accounts?accountGroup={accountGroup}</t>
        </is>
      </c>
      <c r="W49" s="19" t="inlineStr">
        <is>
          <t>dep-dashboard</t>
        </is>
      </c>
      <c r="X49" s="19" t="inlineStr">
        <is>
          <t>ECLIPSE_Account Dashboard_Loan_DDD_API_Design_v1_Workshop.xlsx</t>
        </is>
      </c>
      <c r="Y49" s="19" t="inlineStr">
        <is>
          <t>1.1 Loan Dashboard - Landing</t>
        </is>
      </c>
      <c r="Z49" s="19" t="inlineStr">
        <is>
          <t>API_Specs_Index!A2:H2</t>
        </is>
      </c>
      <c r="AA49" s="22" t="inlineStr">
        <is>
          <t>API-026</t>
        </is>
      </c>
      <c r="AB49" s="19" t="inlineStr">
        <is>
          <t>Mapped to Loan dashboard because the test case terms align with the 1.1 Loan Dashboard - Landing journey in the applicable API specification.</t>
        </is>
      </c>
      <c r="AC49" s="19" t="inlineStr">
        <is>
          <t>High</t>
        </is>
      </c>
      <c r="AD49" s="19" t="inlineStr">
        <is>
          <t>When user tap "Loan/Financing" tab and screen is loaded getDashboard dep-dashboard GET /v1/external/accounts?featureType={featureType} example : /v1/external/accounts?featureType=DASHBOARD_LOAN { "status": 200, "message": "Request processed succes...</t>
        </is>
      </c>
    </row>
    <row r="50" ht="409.6" customHeight="1" s="2">
      <c r="A50" s="12" t="inlineStr">
        <is>
          <t>TC-B1-0049</t>
        </is>
      </c>
      <c r="B50" s="13" t="inlineStr">
        <is>
          <t>TS-B1-035</t>
        </is>
      </c>
      <c r="C50" s="13" t="inlineStr">
        <is>
          <t>Acct Dashboard Financing</t>
        </is>
      </c>
      <c r="D50" s="13" t="inlineStr">
        <is>
          <t>Dashboard - Loan</t>
        </is>
      </c>
      <c r="E50" s="13" t="inlineStr">
        <is>
          <t>Validate Common Rules Reference for Mortgage Loan (Conventional)</t>
        </is>
      </c>
      <c r="F50" s="13" t="inlineStr">
        <is>
          <t>UI / Functional</t>
        </is>
      </c>
      <c r="G50" s="13" t="inlineStr">
        <is>
          <t>Medium</t>
        </is>
      </c>
      <c r="H50" s="13" t="inlineStr">
        <is>
          <t>Eligible user and product are available. User has reached the preceding journey step.</t>
        </is>
      </c>
      <c r="I50" s="13" t="inlineStr">
        <is>
          <t>Mortgage Loan (Conventional)</t>
        </is>
      </c>
      <c r="J50" s="13" t="inlineStr">
        <is>
          <t>1. Open Mortgage Loan (Conventional).
2. Navigate to Common Rules Reference.
3. Perform the action or trigger described by: Refer to Account Dashboard Common FSD.
4. Observe the page, validation, navigation, and resulting state.</t>
        </is>
      </c>
      <c r="K50" s="13" t="inlineStr">
        <is>
          <t>Common Rules Reference behaves according to the mapped requirement (Refer to Account Dashboard Common FSD); data, controls, navigation, and status are accurate and consistent.</t>
        </is>
      </c>
      <c r="L50" s="13" t="inlineStr">
        <is>
          <t>Not specified in FSD</t>
        </is>
      </c>
      <c r="M50" s="13" t="inlineStr">
        <is>
          <t>Active / Overdue / Closed</t>
        </is>
      </c>
      <c r="N50" s="13" t="inlineStr">
        <is>
          <t>Acct Dashboard Financing!A9:F9</t>
        </is>
      </c>
      <c r="O50" s="13" t="inlineStr">
        <is>
          <t>Not Run</t>
        </is>
      </c>
      <c r="P50" s="13" t="n"/>
      <c r="Q50" s="13" t="n"/>
      <c r="R50" s="14" t="n"/>
      <c r="S50" s="19" t="inlineStr">
        <is>
          <t>Loan API Design</t>
        </is>
      </c>
      <c r="T50" s="19" t="inlineStr">
        <is>
          <t>Loan dashboard</t>
        </is>
      </c>
      <c r="U50" s="19" t="inlineStr">
        <is>
          <t>GET</t>
        </is>
      </c>
      <c r="V50" s="19" t="inlineStr">
        <is>
          <t>/v1/external/accounts?accountGroup={accountGroup}</t>
        </is>
      </c>
      <c r="W50" s="19" t="inlineStr">
        <is>
          <t>dep-dashboard</t>
        </is>
      </c>
      <c r="X50" s="19" t="inlineStr">
        <is>
          <t>ECLIPSE_Account Dashboard_Loan_DDD_API_Design_v1_Workshop.xlsx</t>
        </is>
      </c>
      <c r="Y50" s="19" t="inlineStr">
        <is>
          <t>1.1 Loan Dashboard - Landing</t>
        </is>
      </c>
      <c r="Z50" s="19" t="inlineStr">
        <is>
          <t>API_Specs_Index!A2:H2</t>
        </is>
      </c>
      <c r="AA50" s="22" t="inlineStr">
        <is>
          <t>API-026</t>
        </is>
      </c>
      <c r="AB50" s="19" t="inlineStr">
        <is>
          <t>Mapped to Loan dashboard because the test case terms align with the 1.1 Loan Dashboard - Landing journey in the applicable API specification.</t>
        </is>
      </c>
      <c r="AC50" s="19" t="inlineStr">
        <is>
          <t>High</t>
        </is>
      </c>
      <c r="AD50" s="19" t="inlineStr">
        <is>
          <t>When user tap "Loan/Financing" tab and screen is loaded getDashboard dep-dashboard GET /v1/external/accounts?featureType={featureType} example : /v1/external/accounts?featureType=DASHBOARD_LOAN { "status": 200, "message": "Request processed succes...</t>
        </is>
      </c>
    </row>
    <row r="51" ht="386.4" customHeight="1" s="2">
      <c r="A51" s="15" t="inlineStr">
        <is>
          <t>TC-B1-0050</t>
        </is>
      </c>
      <c r="B51" s="16" t="inlineStr">
        <is>
          <t>TS-B1-036</t>
        </is>
      </c>
      <c r="C51" s="16" t="inlineStr">
        <is>
          <t>Acct Dashboard Financing</t>
        </is>
      </c>
      <c r="D51" s="16" t="inlineStr">
        <is>
          <t>Dashboard - Loan</t>
        </is>
      </c>
      <c r="E51" s="16" t="inlineStr">
        <is>
          <t>Validate 1.1 Loan Dashboard - Landing for Mortgage Loan (Conventional)</t>
        </is>
      </c>
      <c r="F51" s="16" t="inlineStr">
        <is>
          <t>UI / Functional</t>
        </is>
      </c>
      <c r="G51" s="16" t="inlineStr">
        <is>
          <t>Medium</t>
        </is>
      </c>
      <c r="H51" s="16" t="inlineStr">
        <is>
          <t>Eligible user and product are available. User has reached the preceding journey step.</t>
        </is>
      </c>
      <c r="I51" s="16" t="inlineStr">
        <is>
          <t>Mortgage Loan (Conventional)</t>
        </is>
      </c>
      <c r="J51" s="16" t="inlineStr">
        <is>
          <t>1. Open Mortgage Loan (Conventional).
2. Navigate to 1.1 Loan Dashboard - Landing.
3. Perform the action or trigger described by: Step 1.
4. Observe the page, validation, navigation, and resulting state.</t>
        </is>
      </c>
      <c r="K51" s="16" t="inlineStr">
        <is>
          <t>1.1 Loan Dashboard - Landing behaves according to the mapped requirement (Step 1); data, controls, navigation, and status are accurate and consistent.</t>
        </is>
      </c>
      <c r="L51" s="16" t="inlineStr">
        <is>
          <t>Not specified in FSD</t>
        </is>
      </c>
      <c r="M51" s="16" t="inlineStr">
        <is>
          <t>Active / Overdue / Closed</t>
        </is>
      </c>
      <c r="N51" s="16" t="inlineStr">
        <is>
          <t>Acct Dashboard Financing!A10:F10</t>
        </is>
      </c>
      <c r="O51" s="16" t="inlineStr">
        <is>
          <t>Not Run</t>
        </is>
      </c>
      <c r="P51" s="16" t="n"/>
      <c r="Q51" s="16" t="n"/>
      <c r="R51" s="17" t="n"/>
      <c r="S51" s="19" t="inlineStr">
        <is>
          <t>Loan API Design</t>
        </is>
      </c>
      <c r="T51" s="19" t="inlineStr">
        <is>
          <t>Loan dashboard</t>
        </is>
      </c>
      <c r="U51" s="19" t="inlineStr">
        <is>
          <t>GET</t>
        </is>
      </c>
      <c r="V51" s="19" t="inlineStr">
        <is>
          <t>/v1/external/accounts?accountGroup={accountGroup}</t>
        </is>
      </c>
      <c r="W51" s="19" t="inlineStr">
        <is>
          <t>dep-dashboard</t>
        </is>
      </c>
      <c r="X51" s="19" t="inlineStr">
        <is>
          <t>ECLIPSE_Account Dashboard_Loan_DDD_API_Design_v1_Workshop.xlsx</t>
        </is>
      </c>
      <c r="Y51" s="19" t="inlineStr">
        <is>
          <t>1.1 Loan Dashboard - Landing</t>
        </is>
      </c>
      <c r="Z51" s="19" t="inlineStr">
        <is>
          <t>API_Specs_Index!A2:H2</t>
        </is>
      </c>
      <c r="AA51" s="22" t="inlineStr">
        <is>
          <t>API-026</t>
        </is>
      </c>
      <c r="AB51" s="19" t="inlineStr">
        <is>
          <t>Mapped to Loan dashboard because the test case terms align with the 1.1 Loan Dashboard - Landing journey in the applicable API specification.</t>
        </is>
      </c>
      <c r="AC51" s="19" t="inlineStr">
        <is>
          <t>High</t>
        </is>
      </c>
      <c r="AD51" s="19" t="inlineStr">
        <is>
          <t>When user tap "Loan/Financing" tab and screen is loaded getDashboard dep-dashboard GET /v1/external/accounts?featureType={featureType} example : /v1/external/accounts?featureType=DASHBOARD_LOAN { "status": 200, "message": "Request processed succes...</t>
        </is>
      </c>
    </row>
    <row r="52" ht="409.6" customHeight="1" s="2">
      <c r="A52" s="12" t="inlineStr">
        <is>
          <t>TC-B1-0051</t>
        </is>
      </c>
      <c r="B52" s="13" t="inlineStr">
        <is>
          <t>TS-B1-037</t>
        </is>
      </c>
      <c r="C52" s="13" t="inlineStr">
        <is>
          <t>Acct Dashboard Financing</t>
        </is>
      </c>
      <c r="D52" s="13" t="inlineStr">
        <is>
          <t>Dashboard - Loan</t>
        </is>
      </c>
      <c r="E52" s="13" t="inlineStr">
        <is>
          <t>Validate 1.2.1 View All Trans for Mortgage Loan (Conventional)</t>
        </is>
      </c>
      <c r="F52" s="13" t="inlineStr">
        <is>
          <t>Functional</t>
        </is>
      </c>
      <c r="G52" s="13" t="inlineStr">
        <is>
          <t>Medium</t>
        </is>
      </c>
      <c r="H52" s="13" t="inlineStr">
        <is>
          <t>Eligible user and product are available. Trigger the stated condition: Conditional Step 3 - when View all transactions is selected</t>
        </is>
      </c>
      <c r="I52" s="13" t="inlineStr">
        <is>
          <t>Mortgage Loan (Conventional)</t>
        </is>
      </c>
      <c r="J52" s="13" t="inlineStr">
        <is>
          <t>1. Open Mortgage Loan (Conventional).
2. Navigate to 1.2.1 View All Trans.
3. Perform the action or trigger described by: Conditional Step 3 - when View all transactions is selected.
4. Observe the page, validation, navigation, and resulting state.</t>
        </is>
      </c>
      <c r="K52" s="13" t="inlineStr">
        <is>
          <t>1.2.1 View All Trans behaves according to the mapped requirement (Conditional Step 3 - when View all transactions is selected); data, controls, navigation, and status are accurate and consistent.</t>
        </is>
      </c>
      <c r="L52" s="13" t="inlineStr">
        <is>
          <t>Not specified in FSD</t>
        </is>
      </c>
      <c r="M52" s="13" t="inlineStr">
        <is>
          <t>Active / Overdue / Closed</t>
        </is>
      </c>
      <c r="N52" s="13" t="inlineStr">
        <is>
          <t>Acct Dashboard Financing!A12:F12</t>
        </is>
      </c>
      <c r="O52" s="13" t="inlineStr">
        <is>
          <t>Not Run</t>
        </is>
      </c>
      <c r="P52" s="13" t="n"/>
      <c r="Q52" s="13" t="n"/>
      <c r="R52" s="14" t="inlineStr">
        <is>
          <t>Conditional coverage required.</t>
        </is>
      </c>
      <c r="S52" s="19" t="inlineStr">
        <is>
          <t>Loan API Design</t>
        </is>
      </c>
      <c r="T52" s="19" t="inlineStr">
        <is>
          <t>View all transaction history</t>
        </is>
      </c>
      <c r="U52" s="19" t="inlineStr">
        <is>
          <t>GET</t>
        </is>
      </c>
      <c r="V52" s="19" t="inlineStr">
        <is>
          <t>/v1/external/accounts/account-type/{accountType}/account-id/{accountId}/transactions?startDate={startDate}&amp;endDate={endDate}&amp;page={page}&amp;limit={limit}</t>
        </is>
      </c>
      <c r="W52" s="19" t="inlineStr">
        <is>
          <t>info-loan</t>
        </is>
      </c>
      <c r="X52" s="19" t="inlineStr">
        <is>
          <t>ECLIPSE_Account Dashboard_Loan_DDD_API_Design_v1_Workshop.xlsx</t>
        </is>
      </c>
      <c r="Y52" s="19" t="inlineStr">
        <is>
          <t>1.2.1 View All Trans</t>
        </is>
      </c>
      <c r="Z52" s="19" t="inlineStr">
        <is>
          <t>API_Specs_Index!A5:H5</t>
        </is>
      </c>
      <c r="AA52" s="22" t="inlineStr">
        <is>
          <t>API-028</t>
        </is>
      </c>
      <c r="AB52" s="19" t="inlineStr">
        <is>
          <t>Mapped to View all transaction history because the test case terms align with the 1.2.1 View All Trans journey in the applicable API specification.</t>
        </is>
      </c>
      <c r="AC52" s="19" t="inlineStr">
        <is>
          <t>High</t>
        </is>
      </c>
      <c r="AD52"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53" ht="358.8" customHeight="1" s="2">
      <c r="A53" s="15" t="inlineStr">
        <is>
          <t>TC-B1-0052</t>
        </is>
      </c>
      <c r="B53" s="16" t="inlineStr">
        <is>
          <t>TS-B1-038</t>
        </is>
      </c>
      <c r="C53" s="16" t="inlineStr">
        <is>
          <t>Acct Dashboard Financing</t>
        </is>
      </c>
      <c r="D53" s="16" t="inlineStr">
        <is>
          <t>Dashboard - Loan</t>
        </is>
      </c>
      <c r="E53" s="16" t="inlineStr">
        <is>
          <t>Validate 1.4 Mortgage Loan Acc for Mortgage Loan (Conventional)</t>
        </is>
      </c>
      <c r="F53" s="16" t="inlineStr">
        <is>
          <t>Functional</t>
        </is>
      </c>
      <c r="G53" s="16" t="inlineStr">
        <is>
          <t>Medium</t>
        </is>
      </c>
      <c r="H53" s="16" t="inlineStr">
        <is>
          <t>Eligible user and product are available. User has reached the preceding journey step.</t>
        </is>
      </c>
      <c r="I53" s="16" t="inlineStr">
        <is>
          <t>Mortgage Loan (Conventional)</t>
        </is>
      </c>
      <c r="J53" s="16" t="inlineStr">
        <is>
          <t>1. Open Mortgage Loan (Conventional).
2. Navigate to 1.4 Mortgage Loan Acc.
3. Perform the action or trigger described by: Step 11.
4. Observe the page, validation, navigation, and resulting state.</t>
        </is>
      </c>
      <c r="K53" s="16" t="inlineStr">
        <is>
          <t>1.4 Mortgage Loan Acc behaves according to the mapped requirement (Step 11); data, controls, navigation, and status are accurate and consistent.</t>
        </is>
      </c>
      <c r="L53" s="16" t="inlineStr">
        <is>
          <t>Not specified in FSD</t>
        </is>
      </c>
      <c r="M53" s="16" t="inlineStr">
        <is>
          <t>Active / Overdue / Closed</t>
        </is>
      </c>
      <c r="N53" s="16" t="inlineStr">
        <is>
          <t>Acct Dashboard Financing!A20:F20</t>
        </is>
      </c>
      <c r="O53" s="16" t="inlineStr">
        <is>
          <t>Not Run</t>
        </is>
      </c>
      <c r="P53" s="16" t="n"/>
      <c r="Q53" s="16" t="n"/>
      <c r="R53" s="17" t="n"/>
      <c r="S53" s="19" t="inlineStr">
        <is>
          <t>Loan API Design</t>
        </is>
      </c>
      <c r="T53" s="19" t="inlineStr">
        <is>
          <t>Loan dashboard</t>
        </is>
      </c>
      <c r="U53" s="19" t="inlineStr">
        <is>
          <t>GET</t>
        </is>
      </c>
      <c r="V53" s="19" t="inlineStr">
        <is>
          <t>/v1/external/accounts?accountGroup={accountGroup}</t>
        </is>
      </c>
      <c r="W53" s="19" t="inlineStr">
        <is>
          <t>dep-dashboard</t>
        </is>
      </c>
      <c r="X53" s="19" t="inlineStr">
        <is>
          <t>ECLIPSE_Account Dashboard_Loan_DDD_API_Design_v1_Workshop.xlsx</t>
        </is>
      </c>
      <c r="Y53" s="19" t="inlineStr">
        <is>
          <t>1.1 Loan Dashboard - Landing</t>
        </is>
      </c>
      <c r="Z53" s="19" t="inlineStr">
        <is>
          <t>API_Specs_Index!A2:H2</t>
        </is>
      </c>
      <c r="AA53" s="22" t="inlineStr">
        <is>
          <t>API-026</t>
        </is>
      </c>
      <c r="AB53" s="19" t="inlineStr">
        <is>
          <t>Mapped to Loan dashboard because the test case terms align with the 1.1 Loan Dashboard - Landing journey in the applicable API specification.</t>
        </is>
      </c>
      <c r="AC53" s="19" t="inlineStr">
        <is>
          <t>High</t>
        </is>
      </c>
      <c r="AD53" s="19" t="inlineStr">
        <is>
          <t>When user tap "Loan/Financing" tab and screen is loaded getDashboard dep-dashboard GET /v1/external/accounts?featureType={featureType} example : /v1/external/accounts?featureType=DASHBOARD_LOAN { "status": 200, "message": "Request processed succes...</t>
        </is>
      </c>
    </row>
    <row r="54" ht="289.8" customHeight="1" s="2">
      <c r="A54" s="12" t="inlineStr">
        <is>
          <t>TC-B1-0053</t>
        </is>
      </c>
      <c r="B54" s="13" t="inlineStr">
        <is>
          <t>TS-B1-039</t>
        </is>
      </c>
      <c r="C54" s="13" t="inlineStr">
        <is>
          <t>Acct Dashboard Financing</t>
        </is>
      </c>
      <c r="D54" s="13" t="inlineStr">
        <is>
          <t>Dashboard - Loan</t>
        </is>
      </c>
      <c r="E54" s="13" t="inlineStr">
        <is>
          <t>Validate successful final state for Mortgage Loan (Conventional)</t>
        </is>
      </c>
      <c r="F54" s="13" t="inlineStr">
        <is>
          <t>Positive</t>
        </is>
      </c>
      <c r="G54" s="13" t="inlineStr">
        <is>
          <t>High</t>
        </is>
      </c>
      <c r="H54" s="13" t="inlineStr">
        <is>
          <t>All required inputs and services are valid. Expected statuses: Active / Overdue / Closed</t>
        </is>
      </c>
      <c r="I54" s="13" t="inlineStr">
        <is>
          <t>Mortgage Loan (Conventional)</t>
        </is>
      </c>
      <c r="J54" s="13" t="inlineStr">
        <is>
          <t>1. Complete the end-to-end journey with valid data.
2. Submit/confirm the final action.
3. Verify result, receipt/notification where applicable, and persisted state.</t>
        </is>
      </c>
      <c r="K54" s="13" t="inlineStr">
        <is>
          <t>A valid success status from the requirement is shown. The transaction or change is applied once, persisted, and reflected on refresh.</t>
        </is>
      </c>
      <c r="L54" s="13" t="inlineStr">
        <is>
          <t>Not specified in FSD</t>
        </is>
      </c>
      <c r="M54" s="13" t="inlineStr">
        <is>
          <t>Active / Overdue / Closed</t>
        </is>
      </c>
      <c r="N54" s="13" t="inlineStr">
        <is>
          <t>Acct Dashboard Financing!F1:F62</t>
        </is>
      </c>
      <c r="O54" s="13" t="inlineStr">
        <is>
          <t>Not Run</t>
        </is>
      </c>
      <c r="P54" s="13" t="n"/>
      <c r="Q54" s="13" t="n"/>
      <c r="R54" s="14" t="n"/>
      <c r="S54" s="19" t="inlineStr">
        <is>
          <t>Loan API Design</t>
        </is>
      </c>
      <c r="T54" s="19" t="inlineStr">
        <is>
          <t>Loan transaction history</t>
        </is>
      </c>
      <c r="U54" s="19" t="inlineStr">
        <is>
          <t>GET</t>
        </is>
      </c>
      <c r="V54" s="19" t="inlineStr">
        <is>
          <t>/v1/external/accounts/account-type/{accountType}/account-id/{accountId}/transactions</t>
        </is>
      </c>
      <c r="W54" s="19" t="inlineStr">
        <is>
          <t>info-loan</t>
        </is>
      </c>
      <c r="X54" s="19" t="inlineStr">
        <is>
          <t>ECLIPSE_Account Dashboard_Loan_DDD_API_Design_v1_Workshop.xlsx</t>
        </is>
      </c>
      <c r="Y54" s="19" t="inlineStr">
        <is>
          <t>1.2 Personal Loan Acc
1.2.4 PL Shariah Acc
1.3 Auto Loan Acc
1.3.1 Auto Loan Shariah
1.4 Mortgage Loan Acc
1.4.1 Mortgage Loan Shariah</t>
        </is>
      </c>
      <c r="Z54" s="19" t="inlineStr">
        <is>
          <t>API_Specs_Index!A4:H4</t>
        </is>
      </c>
      <c r="AA54" s="22" t="inlineStr">
        <is>
          <t>API-027</t>
        </is>
      </c>
      <c r="AB54" s="19" t="inlineStr">
        <is>
          <t>Mapped to Loan transaction history because the test case terms align with the 1.2 Personal Loan Acc
1.2.4 PL Shariah Acc
1.3 Auto Loan Acc
1.3.1 Auto Loan Shariah
1.4 Mortgage Loan Acc
1.4.1 Mortgage Loan Shariah journey in the applicable API specification.</t>
        </is>
      </c>
      <c r="AC54" s="19" t="inlineStr">
        <is>
          <t>High</t>
        </is>
      </c>
      <c r="AD54" s="19" t="inlineStr">
        <is>
          <t>Pending ESB Spec</t>
        </is>
      </c>
    </row>
    <row r="55" ht="345" customHeight="1" s="2">
      <c r="A55" s="15" t="inlineStr">
        <is>
          <t>TC-B1-0054</t>
        </is>
      </c>
      <c r="B55" s="16" t="inlineStr">
        <is>
          <t>TS-B1-039</t>
        </is>
      </c>
      <c r="C55" s="16" t="inlineStr">
        <is>
          <t>Acct Dashboard Financing</t>
        </is>
      </c>
      <c r="D55" s="16" t="inlineStr">
        <is>
          <t>Dashboard - Loan</t>
        </is>
      </c>
      <c r="E55" s="16" t="inlineStr">
        <is>
          <t>Validate service failure and retry for Mortgage Loan (Conventional)</t>
        </is>
      </c>
      <c r="F55" s="16" t="inlineStr">
        <is>
          <t>Negative</t>
        </is>
      </c>
      <c r="G55" s="16" t="inlineStr">
        <is>
          <t>High</t>
        </is>
      </c>
      <c r="H55" s="16" t="inlineStr">
        <is>
          <t>Journey is available; simulate a controlled downstream timeout or unsuccessful response. Expected statuses: Active / Overdue / Closed</t>
        </is>
      </c>
      <c r="I55" s="16" t="inlineStr">
        <is>
          <t>Mortgage Loan (Conventional)</t>
        </is>
      </c>
      <c r="J55" s="16" t="inlineStr">
        <is>
          <t>1. Progress to the final action.
2. Trigger a timeout, unavailable service, or unsuccessful response.
3. Verify the error message and retry behavior.
4. Retry after service recovery.</t>
        </is>
      </c>
      <c r="K55" s="16" t="inlineStr">
        <is>
          <t>No duplicate action occurs. The configured unsuccessful/processing state is shown, retry is safe, and final status becomes consistent after recovery.</t>
        </is>
      </c>
      <c r="L55" s="16" t="inlineStr">
        <is>
          <t>Not specified in FSD</t>
        </is>
      </c>
      <c r="M55" s="16" t="inlineStr">
        <is>
          <t>Active / Overdue / Closed</t>
        </is>
      </c>
      <c r="N55" s="16" t="inlineStr">
        <is>
          <t>Acct Dashboard Financing!F1:F62</t>
        </is>
      </c>
      <c r="O55" s="16" t="inlineStr">
        <is>
          <t>Not Run</t>
        </is>
      </c>
      <c r="P55" s="16" t="n"/>
      <c r="Q55" s="16" t="n"/>
      <c r="R55" s="17" t="n"/>
      <c r="S55" s="19" t="inlineStr">
        <is>
          <t>Loan API Design</t>
        </is>
      </c>
      <c r="T55" s="19" t="inlineStr">
        <is>
          <t>Loan dashboard</t>
        </is>
      </c>
      <c r="U55" s="19" t="inlineStr">
        <is>
          <t>GET</t>
        </is>
      </c>
      <c r="V55" s="19" t="inlineStr">
        <is>
          <t>/v1/external/accounts?accountGroup={accountGroup}</t>
        </is>
      </c>
      <c r="W55" s="19" t="inlineStr">
        <is>
          <t>dep-dashboard</t>
        </is>
      </c>
      <c r="X55" s="19" t="inlineStr">
        <is>
          <t>ECLIPSE_Account Dashboard_Loan_DDD_API_Design_v1_Workshop.xlsx</t>
        </is>
      </c>
      <c r="Y55" s="19" t="inlineStr">
        <is>
          <t>1.1 Loan Dashboard - Landing</t>
        </is>
      </c>
      <c r="Z55" s="19" t="inlineStr">
        <is>
          <t>API_Specs_Index!A2:H2</t>
        </is>
      </c>
      <c r="AA55" s="22" t="inlineStr">
        <is>
          <t>API-026</t>
        </is>
      </c>
      <c r="AB55" s="19" t="inlineStr">
        <is>
          <t>Mapped to Loan dashboard because the test case terms align with the 1.1 Loan Dashboard - Landing journey in the applicable API specification.</t>
        </is>
      </c>
      <c r="AC55" s="19" t="inlineStr">
        <is>
          <t>High</t>
        </is>
      </c>
      <c r="AD55" s="19" t="inlineStr">
        <is>
          <t>When user tap "Loan/Financing" tab and screen is loaded getDashboard dep-dashboard GET /v1/external/accounts?featureType={featureType} example : /v1/external/accounts?featureType=DASHBOARD_LOAN { "status": 200, "message": "Request processed succes...</t>
        </is>
      </c>
    </row>
    <row r="56" ht="220.8" customHeight="1" s="2">
      <c r="A56" s="12" t="inlineStr">
        <is>
          <t>TC-B1-0055</t>
        </is>
      </c>
      <c r="B56" s="13" t="inlineStr">
        <is>
          <t>TS-B1-040</t>
        </is>
      </c>
      <c r="C56" s="13" t="inlineStr">
        <is>
          <t>Acct Dashboard Financing</t>
        </is>
      </c>
      <c r="D56" s="13" t="inlineStr">
        <is>
          <t>Dashboard - Loan</t>
        </is>
      </c>
      <c r="E56" s="13" t="inlineStr">
        <is>
          <t>Open Mortgage Loan (Shariah) from valid entry point</t>
        </is>
      </c>
      <c r="F56" s="13" t="inlineStr">
        <is>
          <t>Positive</t>
        </is>
      </c>
      <c r="G56" s="13" t="inlineStr">
        <is>
          <t>Medium</t>
        </is>
      </c>
      <c r="H56" s="13" t="inlineStr">
        <is>
          <t>Eligible user: Loan account holder</t>
        </is>
      </c>
      <c r="I56" s="13" t="inlineStr">
        <is>
          <t>Mortgage Loan (Shariah)</t>
        </is>
      </c>
      <c r="J56" s="13" t="inlineStr">
        <is>
          <t>1. Sign in at the required access level.
2. Navigate using: Loan Dashboard - Landing.
3. Select Mortgage Loan (Shariah).</t>
        </is>
      </c>
      <c r="K56" s="13" t="inlineStr">
        <is>
          <t>The correct Dashboard - Loan page opens and relevant product information is displayed without error.</t>
        </is>
      </c>
      <c r="L56" s="13" t="inlineStr">
        <is>
          <t>Not specified in FSD</t>
        </is>
      </c>
      <c r="M56" s="13" t="inlineStr">
        <is>
          <t>Active / Overdue / Closed</t>
        </is>
      </c>
      <c r="N56" s="13" t="inlineStr">
        <is>
          <t>Acct Dashboard Financing!G1:G62</t>
        </is>
      </c>
      <c r="O56" s="13" t="inlineStr">
        <is>
          <t>Not Run</t>
        </is>
      </c>
      <c r="P56" s="13" t="n"/>
      <c r="Q56" s="13" t="n"/>
      <c r="R56" s="14" t="n"/>
      <c r="S56" s="19" t="inlineStr">
        <is>
          <t>Loan API Design</t>
        </is>
      </c>
      <c r="T56" s="19" t="inlineStr">
        <is>
          <t>Loan dashboard</t>
        </is>
      </c>
      <c r="U56" s="19" t="inlineStr">
        <is>
          <t>GET</t>
        </is>
      </c>
      <c r="V56" s="19" t="inlineStr">
        <is>
          <t>/v1/external/accounts?accountGroup={accountGroup}</t>
        </is>
      </c>
      <c r="W56" s="19" t="inlineStr">
        <is>
          <t>dep-dashboard</t>
        </is>
      </c>
      <c r="X56" s="19" t="inlineStr">
        <is>
          <t>ECLIPSE_Account Dashboard_Loan_DDD_API_Design_v1_Workshop.xlsx</t>
        </is>
      </c>
      <c r="Y56" s="19" t="inlineStr">
        <is>
          <t>1.1 Loan Dashboard - Landing</t>
        </is>
      </c>
      <c r="Z56" s="19" t="inlineStr">
        <is>
          <t>API_Specs_Index!A2:H2</t>
        </is>
      </c>
      <c r="AA56" s="22" t="inlineStr">
        <is>
          <t>API-026</t>
        </is>
      </c>
      <c r="AB56" s="19" t="inlineStr">
        <is>
          <t>Mapped to Loan dashboard because the test case terms align with the 1.1 Loan Dashboard - Landing journey in the applicable API specification.</t>
        </is>
      </c>
      <c r="AC56" s="19" t="inlineStr">
        <is>
          <t>High</t>
        </is>
      </c>
      <c r="AD56" s="19" t="inlineStr">
        <is>
          <t>When user tap "Loan/Financing" tab and screen is loaded getDashboard dep-dashboard GET /v1/external/accounts?featureType={featureType} example : /v1/external/accounts?featureType=DASHBOARD_LOAN { "status": 200, "message": "Request processed succes...</t>
        </is>
      </c>
    </row>
    <row r="57" ht="331.2" customHeight="1" s="2">
      <c r="A57" s="15" t="inlineStr">
        <is>
          <t>TC-B1-0056</t>
        </is>
      </c>
      <c r="B57" s="16" t="inlineStr">
        <is>
          <t>TS-B1-040</t>
        </is>
      </c>
      <c r="C57" s="16" t="inlineStr">
        <is>
          <t>Acct Dashboard Financing</t>
        </is>
      </c>
      <c r="D57" s="16" t="inlineStr">
        <is>
          <t>Dashboard - Loan</t>
        </is>
      </c>
      <c r="E57" s="16" t="inlineStr">
        <is>
          <t>Validate ineligible or unavailable state for Mortgage Loan (Shariah)</t>
        </is>
      </c>
      <c r="F57" s="16" t="inlineStr">
        <is>
          <t>Negative</t>
        </is>
      </c>
      <c r="G57" s="16" t="inlineStr">
        <is>
          <t>High</t>
        </is>
      </c>
      <c r="H57" s="16" t="inlineStr">
        <is>
          <t>User or product does not meet one configured eligibility condition. Eligible baseline: Loan account holder</t>
        </is>
      </c>
      <c r="I57" s="16" t="inlineStr">
        <is>
          <t>Mortgage Loan (Shariah)</t>
        </is>
      </c>
      <c r="J57" s="16" t="inlineStr">
        <is>
          <t>1. Prepare an ineligible, unsupported, blocked, or unavailable test profile.
2. Navigate using: Loan Dashboard - Landing.
3. Attempt to open Mortgage Loan (Shariah).</t>
        </is>
      </c>
      <c r="K57" s="16" t="inlineStr">
        <is>
          <t>Access is prevented or the feature is hidden/disabled. A clear message is shown and no unauthorised data or action is exposed.</t>
        </is>
      </c>
      <c r="L57" s="16" t="inlineStr">
        <is>
          <t>Not specified in FSD</t>
        </is>
      </c>
      <c r="M57" s="16" t="inlineStr">
        <is>
          <t>Active / Overdue / Closed</t>
        </is>
      </c>
      <c r="N57" s="16" t="inlineStr">
        <is>
          <t>Acct Dashboard Financing!G1:G62</t>
        </is>
      </c>
      <c r="O57" s="16" t="inlineStr">
        <is>
          <t>Not Run</t>
        </is>
      </c>
      <c r="P57" s="16" t="n"/>
      <c r="Q57" s="16" t="n"/>
      <c r="R57" s="17" t="n"/>
      <c r="S57" s="19" t="inlineStr">
        <is>
          <t>Loan API Design</t>
        </is>
      </c>
      <c r="T57" s="19" t="inlineStr">
        <is>
          <t>Loan dashboard</t>
        </is>
      </c>
      <c r="U57" s="19" t="inlineStr">
        <is>
          <t>GET</t>
        </is>
      </c>
      <c r="V57" s="19" t="inlineStr">
        <is>
          <t>/v1/external/accounts?accountGroup={accountGroup}</t>
        </is>
      </c>
      <c r="W57" s="19" t="inlineStr">
        <is>
          <t>dep-dashboard</t>
        </is>
      </c>
      <c r="X57" s="19" t="inlineStr">
        <is>
          <t>ECLIPSE_Account Dashboard_Loan_DDD_API_Design_v1_Workshop.xlsx</t>
        </is>
      </c>
      <c r="Y57" s="19" t="inlineStr">
        <is>
          <t>1.1 Loan Dashboard - Landing</t>
        </is>
      </c>
      <c r="Z57" s="19" t="inlineStr">
        <is>
          <t>API_Specs_Index!A2:H2</t>
        </is>
      </c>
      <c r="AA57" s="22" t="inlineStr">
        <is>
          <t>API-026</t>
        </is>
      </c>
      <c r="AB57" s="19" t="inlineStr">
        <is>
          <t>Mapped to Loan dashboard because the test case terms align with the 1.1 Loan Dashboard - Landing journey in the applicable API specification.</t>
        </is>
      </c>
      <c r="AC57" s="19" t="inlineStr">
        <is>
          <t>High</t>
        </is>
      </c>
      <c r="AD57" s="19" t="inlineStr">
        <is>
          <t>When user tap "Loan/Financing" tab and screen is loaded getDashboard dep-dashboard GET /v1/external/accounts?featureType={featureType} example : /v1/external/accounts?featureType=DASHBOARD_LOAN { "status": 200, "message": "Request processed succes...</t>
        </is>
      </c>
    </row>
    <row r="58" ht="248.4" customHeight="1" s="2">
      <c r="A58" s="12" t="inlineStr">
        <is>
          <t>TC-B1-0057</t>
        </is>
      </c>
      <c r="B58" s="13" t="inlineStr">
        <is>
          <t>TS-B1-041</t>
        </is>
      </c>
      <c r="C58" s="13" t="inlineStr">
        <is>
          <t>Acct Dashboard Financing</t>
        </is>
      </c>
      <c r="D58" s="13" t="inlineStr">
        <is>
          <t>Dashboard - Loan</t>
        </is>
      </c>
      <c r="E58" s="13" t="inlineStr">
        <is>
          <t>Complete required authentication for Mortgage Loan (Shariah)</t>
        </is>
      </c>
      <c r="F58" s="13" t="inlineStr">
        <is>
          <t>Security</t>
        </is>
      </c>
      <c r="G58" s="13" t="inlineStr">
        <is>
          <t>High</t>
        </is>
      </c>
      <c r="H58" s="13" t="inlineStr">
        <is>
          <t>Eligible user; authentication method is active. Requirement: Not specified in FSD</t>
        </is>
      </c>
      <c r="I58" s="13" t="inlineStr">
        <is>
          <t>Mortgage Loan (Shariah)</t>
        </is>
      </c>
      <c r="J58" s="13" t="inlineStr">
        <is>
          <t>1. Start the protected action.
2. Complete the configured authentication with valid credentials.
3. Continue the journey.</t>
        </is>
      </c>
      <c r="K58" s="13" t="inlineStr">
        <is>
          <t>Authentication succeeds, the protected action continues once, and the user returns to the correct journey context.</t>
        </is>
      </c>
      <c r="L58" s="13" t="inlineStr">
        <is>
          <t>Not specified in FSD</t>
        </is>
      </c>
      <c r="M58" s="13" t="inlineStr">
        <is>
          <t>Active / Overdue / Closed</t>
        </is>
      </c>
      <c r="N58" s="13" t="inlineStr">
        <is>
          <t>Acct Dashboard Financing!G1:G62</t>
        </is>
      </c>
      <c r="O58" s="13" t="inlineStr">
        <is>
          <t>Not Run</t>
        </is>
      </c>
      <c r="P58" s="13" t="n"/>
      <c r="Q58" s="13" t="n"/>
      <c r="R58" s="14" t="n"/>
      <c r="S58" s="19" t="inlineStr">
        <is>
          <t>Loan API Design</t>
        </is>
      </c>
      <c r="T58" s="19" t="inlineStr">
        <is>
          <t>Loan dashboard</t>
        </is>
      </c>
      <c r="U58" s="19" t="inlineStr">
        <is>
          <t>GET</t>
        </is>
      </c>
      <c r="V58" s="19" t="inlineStr">
        <is>
          <t>/v1/external/accounts?accountGroup={accountGroup}</t>
        </is>
      </c>
      <c r="W58" s="19" t="inlineStr">
        <is>
          <t>dep-dashboard</t>
        </is>
      </c>
      <c r="X58" s="19" t="inlineStr">
        <is>
          <t>ECLIPSE_Account Dashboard_Loan_DDD_API_Design_v1_Workshop.xlsx</t>
        </is>
      </c>
      <c r="Y58" s="19" t="inlineStr">
        <is>
          <t>1.1 Loan Dashboard - Landing</t>
        </is>
      </c>
      <c r="Z58" s="19" t="inlineStr">
        <is>
          <t>API_Specs_Index!A2:H2</t>
        </is>
      </c>
      <c r="AA58" s="22" t="inlineStr">
        <is>
          <t>API-026</t>
        </is>
      </c>
      <c r="AB58" s="19" t="inlineStr">
        <is>
          <t>Mapped to Loan dashboard because the test case terms align with the 1.1 Loan Dashboard - Landing journey in the applicable API specification.</t>
        </is>
      </c>
      <c r="AC58" s="19" t="inlineStr">
        <is>
          <t>High</t>
        </is>
      </c>
      <c r="AD58" s="19" t="inlineStr">
        <is>
          <t>When user tap "Loan/Financing" tab and screen is loaded getDashboard dep-dashboard GET /v1/external/accounts?featureType={featureType} example : /v1/external/accounts?featureType=DASHBOARD_LOAN { "status": 200, "message": "Request processed succes...</t>
        </is>
      </c>
    </row>
    <row r="59" ht="303.6" customHeight="1" s="2">
      <c r="A59" s="15" t="inlineStr">
        <is>
          <t>TC-B1-0058</t>
        </is>
      </c>
      <c r="B59" s="16" t="inlineStr">
        <is>
          <t>TS-B1-041</t>
        </is>
      </c>
      <c r="C59" s="16" t="inlineStr">
        <is>
          <t>Acct Dashboard Financing</t>
        </is>
      </c>
      <c r="D59" s="16" t="inlineStr">
        <is>
          <t>Dashboard - Loan</t>
        </is>
      </c>
      <c r="E59" s="16" t="inlineStr">
        <is>
          <t>Reject invalid, cancelled, or expired authentication for Mortgage Loan (Shariah)</t>
        </is>
      </c>
      <c r="F59" s="16" t="inlineStr">
        <is>
          <t>Negative / Security</t>
        </is>
      </c>
      <c r="G59" s="16" t="inlineStr">
        <is>
          <t>High</t>
        </is>
      </c>
      <c r="H59" s="16" t="inlineStr">
        <is>
          <t>Eligible user; protected action requires authentication. Requirement: Not specified in FSD</t>
        </is>
      </c>
      <c r="I59" s="16" t="inlineStr">
        <is>
          <t>Mortgage Loan (Shariah)</t>
        </is>
      </c>
      <c r="J59" s="16" t="inlineStr">
        <is>
          <t>1. Start the protected action.
2. Enter invalid credentials, cancel, or allow the challenge to expire.
3. Observe the result.</t>
        </is>
      </c>
      <c r="K59" s="16" t="inlineStr">
        <is>
          <t>The action is not performed. The configured failure/lockout message is shown, sensitive data remains protected, and retry behavior follows the requirement.</t>
        </is>
      </c>
      <c r="L59" s="16" t="inlineStr">
        <is>
          <t>Not specified in FSD</t>
        </is>
      </c>
      <c r="M59" s="16" t="inlineStr">
        <is>
          <t>Active / Overdue / Closed</t>
        </is>
      </c>
      <c r="N59" s="16" t="inlineStr">
        <is>
          <t>Acct Dashboard Financing!G1:G62</t>
        </is>
      </c>
      <c r="O59" s="16" t="inlineStr">
        <is>
          <t>Not Run</t>
        </is>
      </c>
      <c r="P59" s="16" t="n"/>
      <c r="Q59" s="16" t="n"/>
      <c r="R59" s="17" t="n"/>
      <c r="S59" s="19" t="inlineStr">
        <is>
          <t>Loan API Design</t>
        </is>
      </c>
      <c r="T59" s="19" t="inlineStr">
        <is>
          <t>Loan dashboard</t>
        </is>
      </c>
      <c r="U59" s="19" t="inlineStr">
        <is>
          <t>GET</t>
        </is>
      </c>
      <c r="V59" s="19" t="inlineStr">
        <is>
          <t>/v1/external/accounts?accountGroup={accountGroup}</t>
        </is>
      </c>
      <c r="W59" s="19" t="inlineStr">
        <is>
          <t>dep-dashboard</t>
        </is>
      </c>
      <c r="X59" s="19" t="inlineStr">
        <is>
          <t>ECLIPSE_Account Dashboard_Loan_DDD_API_Design_v1_Workshop.xlsx</t>
        </is>
      </c>
      <c r="Y59" s="19" t="inlineStr">
        <is>
          <t>1.1 Loan Dashboard - Landing</t>
        </is>
      </c>
      <c r="Z59" s="19" t="inlineStr">
        <is>
          <t>API_Specs_Index!A2:H2</t>
        </is>
      </c>
      <c r="AA59" s="22" t="inlineStr">
        <is>
          <t>API-026</t>
        </is>
      </c>
      <c r="AB59" s="19" t="inlineStr">
        <is>
          <t>Mapped to Loan dashboard because the test case terms align with the 1.1 Loan Dashboard - Landing journey in the applicable API specification.</t>
        </is>
      </c>
      <c r="AC59" s="19" t="inlineStr">
        <is>
          <t>High</t>
        </is>
      </c>
      <c r="AD59" s="19" t="inlineStr">
        <is>
          <t>When user tap "Loan/Financing" tab and screen is loaded getDashboard dep-dashboard GET /v1/external/accounts?featureType={featureType} example : /v1/external/accounts?featureType=DASHBOARD_LOAN { "status": 200, "message": "Request processed succes...</t>
        </is>
      </c>
    </row>
    <row r="60" ht="409.6" customHeight="1" s="2">
      <c r="A60" s="12" t="inlineStr">
        <is>
          <t>TC-B1-0059</t>
        </is>
      </c>
      <c r="B60" s="13" t="inlineStr">
        <is>
          <t>TS-B1-042</t>
        </is>
      </c>
      <c r="C60" s="13" t="inlineStr">
        <is>
          <t>Acct Dashboard Financing</t>
        </is>
      </c>
      <c r="D60" s="13" t="inlineStr">
        <is>
          <t>Dashboard - Loan</t>
        </is>
      </c>
      <c r="E60" s="13" t="inlineStr">
        <is>
          <t>Validate Common Rules Reference for Mortgage Loan (Shariah)</t>
        </is>
      </c>
      <c r="F60" s="13" t="inlineStr">
        <is>
          <t>UI / Functional</t>
        </is>
      </c>
      <c r="G60" s="13" t="inlineStr">
        <is>
          <t>Medium</t>
        </is>
      </c>
      <c r="H60" s="13" t="inlineStr">
        <is>
          <t>Eligible user and product are available. User has reached the preceding journey step.</t>
        </is>
      </c>
      <c r="I60" s="13" t="inlineStr">
        <is>
          <t>Mortgage Loan (Shariah)</t>
        </is>
      </c>
      <c r="J60" s="13" t="inlineStr">
        <is>
          <t>1. Open Mortgage Loan (Shariah).
2. Navigate to Common Rules Reference.
3. Perform the action or trigger described by: Refer to Account Dashboard Common FSD.
4. Observe the page, validation, navigation, and resulting state.</t>
        </is>
      </c>
      <c r="K60" s="13" t="inlineStr">
        <is>
          <t>Common Rules Reference behaves according to the mapped requirement (Refer to Account Dashboard Common FSD); data, controls, navigation, and status are accurate and consistent.</t>
        </is>
      </c>
      <c r="L60" s="13" t="inlineStr">
        <is>
          <t>Not specified in FSD</t>
        </is>
      </c>
      <c r="M60" s="13" t="inlineStr">
        <is>
          <t>Active / Overdue / Closed</t>
        </is>
      </c>
      <c r="N60" s="13" t="inlineStr">
        <is>
          <t>Acct Dashboard Financing!A9:G9</t>
        </is>
      </c>
      <c r="O60" s="13" t="inlineStr">
        <is>
          <t>Not Run</t>
        </is>
      </c>
      <c r="P60" s="13" t="n"/>
      <c r="Q60" s="13" t="n"/>
      <c r="R60" s="14" t="n"/>
      <c r="S60" s="19" t="inlineStr">
        <is>
          <t>Loan API Design</t>
        </is>
      </c>
      <c r="T60" s="19" t="inlineStr">
        <is>
          <t>Loan dashboard</t>
        </is>
      </c>
      <c r="U60" s="19" t="inlineStr">
        <is>
          <t>GET</t>
        </is>
      </c>
      <c r="V60" s="19" t="inlineStr">
        <is>
          <t>/v1/external/accounts?accountGroup={accountGroup}</t>
        </is>
      </c>
      <c r="W60" s="19" t="inlineStr">
        <is>
          <t>dep-dashboard</t>
        </is>
      </c>
      <c r="X60" s="19" t="inlineStr">
        <is>
          <t>ECLIPSE_Account Dashboard_Loan_DDD_API_Design_v1_Workshop.xlsx</t>
        </is>
      </c>
      <c r="Y60" s="19" t="inlineStr">
        <is>
          <t>1.1 Loan Dashboard - Landing</t>
        </is>
      </c>
      <c r="Z60" s="19" t="inlineStr">
        <is>
          <t>API_Specs_Index!A2:H2</t>
        </is>
      </c>
      <c r="AA60" s="22" t="inlineStr">
        <is>
          <t>API-026</t>
        </is>
      </c>
      <c r="AB60" s="19" t="inlineStr">
        <is>
          <t>Mapped to Loan dashboard because the test case terms align with the 1.1 Loan Dashboard - Landing journey in the applicable API specification.</t>
        </is>
      </c>
      <c r="AC60" s="19" t="inlineStr">
        <is>
          <t>High</t>
        </is>
      </c>
      <c r="AD60" s="19" t="inlineStr">
        <is>
          <t>When user tap "Loan/Financing" tab and screen is loaded getDashboard dep-dashboard GET /v1/external/accounts?featureType={featureType} example : /v1/external/accounts?featureType=DASHBOARD_LOAN { "status": 200, "message": "Request processed succes...</t>
        </is>
      </c>
    </row>
    <row r="61" ht="372.6" customHeight="1" s="2">
      <c r="A61" s="15" t="inlineStr">
        <is>
          <t>TC-B1-0060</t>
        </is>
      </c>
      <c r="B61" s="16" t="inlineStr">
        <is>
          <t>TS-B1-043</t>
        </is>
      </c>
      <c r="C61" s="16" t="inlineStr">
        <is>
          <t>Acct Dashboard Financing</t>
        </is>
      </c>
      <c r="D61" s="16" t="inlineStr">
        <is>
          <t>Dashboard - Loan</t>
        </is>
      </c>
      <c r="E61" s="16" t="inlineStr">
        <is>
          <t>Validate 1.1 Loan Dashboard - Landing for Mortgage Loan (Shariah)</t>
        </is>
      </c>
      <c r="F61" s="16" t="inlineStr">
        <is>
          <t>UI / Functional</t>
        </is>
      </c>
      <c r="G61" s="16" t="inlineStr">
        <is>
          <t>Medium</t>
        </is>
      </c>
      <c r="H61" s="16" t="inlineStr">
        <is>
          <t>Eligible user and product are available. User has reached the preceding journey step.</t>
        </is>
      </c>
      <c r="I61" s="16" t="inlineStr">
        <is>
          <t>Mortgage Loan (Shariah)</t>
        </is>
      </c>
      <c r="J61" s="16" t="inlineStr">
        <is>
          <t>1. Open Mortgage Loan (Shariah).
2. Navigate to 1.1 Loan Dashboard - Landing.
3. Perform the action or trigger described by: Step 1.
4. Observe the page, validation, navigation, and resulting state.</t>
        </is>
      </c>
      <c r="K61" s="16" t="inlineStr">
        <is>
          <t>1.1 Loan Dashboard - Landing behaves according to the mapped requirement (Step 1); data, controls, navigation, and status are accurate and consistent.</t>
        </is>
      </c>
      <c r="L61" s="16" t="inlineStr">
        <is>
          <t>Not specified in FSD</t>
        </is>
      </c>
      <c r="M61" s="16" t="inlineStr">
        <is>
          <t>Active / Overdue / Closed</t>
        </is>
      </c>
      <c r="N61" s="16" t="inlineStr">
        <is>
          <t>Acct Dashboard Financing!A10:G10</t>
        </is>
      </c>
      <c r="O61" s="16" t="inlineStr">
        <is>
          <t>Not Run</t>
        </is>
      </c>
      <c r="P61" s="16" t="n"/>
      <c r="Q61" s="16" t="n"/>
      <c r="R61" s="17" t="n"/>
      <c r="S61" s="19" t="inlineStr">
        <is>
          <t>Loan API Design</t>
        </is>
      </c>
      <c r="T61" s="19" t="inlineStr">
        <is>
          <t>Loan dashboard</t>
        </is>
      </c>
      <c r="U61" s="19" t="inlineStr">
        <is>
          <t>GET</t>
        </is>
      </c>
      <c r="V61" s="19" t="inlineStr">
        <is>
          <t>/v1/external/accounts?accountGroup={accountGroup}</t>
        </is>
      </c>
      <c r="W61" s="19" t="inlineStr">
        <is>
          <t>dep-dashboard</t>
        </is>
      </c>
      <c r="X61" s="19" t="inlineStr">
        <is>
          <t>ECLIPSE_Account Dashboard_Loan_DDD_API_Design_v1_Workshop.xlsx</t>
        </is>
      </c>
      <c r="Y61" s="19" t="inlineStr">
        <is>
          <t>1.1 Loan Dashboard - Landing</t>
        </is>
      </c>
      <c r="Z61" s="19" t="inlineStr">
        <is>
          <t>API_Specs_Index!A2:H2</t>
        </is>
      </c>
      <c r="AA61" s="22" t="inlineStr">
        <is>
          <t>API-026</t>
        </is>
      </c>
      <c r="AB61" s="19" t="inlineStr">
        <is>
          <t>Mapped to Loan dashboard because the test case terms align with the 1.1 Loan Dashboard - Landing journey in the applicable API specification.</t>
        </is>
      </c>
      <c r="AC61" s="19" t="inlineStr">
        <is>
          <t>High</t>
        </is>
      </c>
      <c r="AD61" s="19" t="inlineStr">
        <is>
          <t>When user tap "Loan/Financing" tab and screen is loaded getDashboard dep-dashboard GET /v1/external/accounts?featureType={featureType} example : /v1/external/accounts?featureType=DASHBOARD_LOAN { "status": 200, "message": "Request processed succes...</t>
        </is>
      </c>
    </row>
    <row r="62" ht="409.6" customHeight="1" s="2">
      <c r="A62" s="12" t="inlineStr">
        <is>
          <t>TC-B1-0061</t>
        </is>
      </c>
      <c r="B62" s="13" t="inlineStr">
        <is>
          <t>TS-B1-044</t>
        </is>
      </c>
      <c r="C62" s="13" t="inlineStr">
        <is>
          <t>Acct Dashboard Financing</t>
        </is>
      </c>
      <c r="D62" s="13" t="inlineStr">
        <is>
          <t>Dashboard - Loan</t>
        </is>
      </c>
      <c r="E62" s="13" t="inlineStr">
        <is>
          <t>Validate 1.2.1 View All Trans for Mortgage Loan (Shariah)</t>
        </is>
      </c>
      <c r="F62" s="13" t="inlineStr">
        <is>
          <t>Functional</t>
        </is>
      </c>
      <c r="G62" s="13" t="inlineStr">
        <is>
          <t>Medium</t>
        </is>
      </c>
      <c r="H62" s="13" t="inlineStr">
        <is>
          <t>Eligible user and product are available. Trigger the stated condition: Conditional Step 3 - when View all transactions is selected</t>
        </is>
      </c>
      <c r="I62" s="13" t="inlineStr">
        <is>
          <t>Mortgage Loan (Shariah)</t>
        </is>
      </c>
      <c r="J62" s="13" t="inlineStr">
        <is>
          <t>1. Open Mortgage Loan (Shariah).
2. Navigate to 1.2.1 View All Trans.
3. Perform the action or trigger described by: Conditional Step 3 - when View all transactions is selected.
4. Observe the page, validation, navigation, and resulting state.</t>
        </is>
      </c>
      <c r="K62" s="13" t="inlineStr">
        <is>
          <t>1.2.1 View All Trans behaves according to the mapped requirement (Conditional Step 3 - when View all transactions is selected); data, controls, navigation, and status are accurate and consistent.</t>
        </is>
      </c>
      <c r="L62" s="13" t="inlineStr">
        <is>
          <t>Not specified in FSD</t>
        </is>
      </c>
      <c r="M62" s="13" t="inlineStr">
        <is>
          <t>Active / Overdue / Closed</t>
        </is>
      </c>
      <c r="N62" s="13" t="inlineStr">
        <is>
          <t>Acct Dashboard Financing!A12:G12</t>
        </is>
      </c>
      <c r="O62" s="13" t="inlineStr">
        <is>
          <t>Not Run</t>
        </is>
      </c>
      <c r="P62" s="13" t="n"/>
      <c r="Q62" s="13" t="n"/>
      <c r="R62" s="14" t="inlineStr">
        <is>
          <t>Conditional coverage required.</t>
        </is>
      </c>
      <c r="S62" s="19" t="inlineStr">
        <is>
          <t>Loan API Design</t>
        </is>
      </c>
      <c r="T62" s="19" t="inlineStr">
        <is>
          <t>Loan transaction history</t>
        </is>
      </c>
      <c r="U62" s="19" t="inlineStr">
        <is>
          <t>GET</t>
        </is>
      </c>
      <c r="V62" s="19" t="inlineStr">
        <is>
          <t>/v1/external/accounts/account-type/{accountType}/account-id/{accountId}/transactions</t>
        </is>
      </c>
      <c r="W62" s="19" t="inlineStr">
        <is>
          <t>info-loan</t>
        </is>
      </c>
      <c r="X62" s="19" t="inlineStr">
        <is>
          <t>ECLIPSE_Account Dashboard_Loan_DDD_API_Design_v1_Workshop.xlsx</t>
        </is>
      </c>
      <c r="Y62" s="19" t="inlineStr">
        <is>
          <t>1.2 Personal Loan Acc
1.2.4 PL Shariah Acc
1.3 Auto Loan Acc
1.3.1 Auto Loan Shariah
1.4 Mortgage Loan Acc
1.4.1 Mortgage Loan Shariah</t>
        </is>
      </c>
      <c r="Z62" s="19" t="inlineStr">
        <is>
          <t>API_Specs_Index!A4:H4</t>
        </is>
      </c>
      <c r="AA62" s="22" t="inlineStr">
        <is>
          <t>API-027</t>
        </is>
      </c>
      <c r="AB62" s="19" t="inlineStr">
        <is>
          <t>Mapped to Loan transaction history because the test case terms align with the 1.2 Personal Loan Acc
1.2.4 PL Shariah Acc
1.3 Auto Loan Acc
1.3.1 Auto Loan Shariah
1.4 Mortgage Loan Acc
1.4.1 Mortgage Loan Shariah journey in the applicable API specification.</t>
        </is>
      </c>
      <c r="AC62" s="19" t="inlineStr">
        <is>
          <t>High</t>
        </is>
      </c>
      <c r="AD62" s="19" t="inlineStr">
        <is>
          <t>Pending ESB Spec</t>
        </is>
      </c>
    </row>
    <row r="63" ht="358.8" customHeight="1" s="2">
      <c r="A63" s="15" t="inlineStr">
        <is>
          <t>TC-B1-0062</t>
        </is>
      </c>
      <c r="B63" s="16" t="inlineStr">
        <is>
          <t>TS-B1-045</t>
        </is>
      </c>
      <c r="C63" s="16" t="inlineStr">
        <is>
          <t>Acct Dashboard Financing</t>
        </is>
      </c>
      <c r="D63" s="16" t="inlineStr">
        <is>
          <t>Dashboard - Loan</t>
        </is>
      </c>
      <c r="E63" s="16" t="inlineStr">
        <is>
          <t>Validate 1.4.1 Mortgage Loan Shariah for Mortgage Loan (Shariah)</t>
        </is>
      </c>
      <c r="F63" s="16" t="inlineStr">
        <is>
          <t>Functional</t>
        </is>
      </c>
      <c r="G63" s="16" t="inlineStr">
        <is>
          <t>Medium</t>
        </is>
      </c>
      <c r="H63" s="16" t="inlineStr">
        <is>
          <t>Eligible user and product are available. User has reached the preceding journey step.</t>
        </is>
      </c>
      <c r="I63" s="16" t="inlineStr">
        <is>
          <t>Mortgage Loan (Shariah)</t>
        </is>
      </c>
      <c r="J63" s="16" t="inlineStr">
        <is>
          <t>1. Open Mortgage Loan (Shariah).
2. Navigate to 1.4.1 Mortgage Loan Shariah.
3. Perform the action or trigger described by: Step 12.
4. Observe the page, validation, navigation, and resulting state.</t>
        </is>
      </c>
      <c r="K63" s="16" t="inlineStr">
        <is>
          <t>1.4.1 Mortgage Loan Shariah behaves according to the mapped requirement (Step 12); data, controls, navigation, and status are accurate and consistent.</t>
        </is>
      </c>
      <c r="L63" s="16" t="inlineStr">
        <is>
          <t>Not specified in FSD</t>
        </is>
      </c>
      <c r="M63" s="16" t="inlineStr">
        <is>
          <t>Active / Overdue / Closed</t>
        </is>
      </c>
      <c r="N63" s="16" t="inlineStr">
        <is>
          <t>Acct Dashboard Financing!A21:G21</t>
        </is>
      </c>
      <c r="O63" s="16" t="inlineStr">
        <is>
          <t>Not Run</t>
        </is>
      </c>
      <c r="P63" s="16" t="n"/>
      <c r="Q63" s="16" t="n"/>
      <c r="R63" s="17" t="n"/>
      <c r="S63" s="19" t="inlineStr">
        <is>
          <t>Loan API Design</t>
        </is>
      </c>
      <c r="T63" s="19" t="inlineStr">
        <is>
          <t>Loan dashboard</t>
        </is>
      </c>
      <c r="U63" s="19" t="inlineStr">
        <is>
          <t>GET</t>
        </is>
      </c>
      <c r="V63" s="19" t="inlineStr">
        <is>
          <t>/v1/external/accounts?accountGroup={accountGroup}</t>
        </is>
      </c>
      <c r="W63" s="19" t="inlineStr">
        <is>
          <t>dep-dashboard</t>
        </is>
      </c>
      <c r="X63" s="19" t="inlineStr">
        <is>
          <t>ECLIPSE_Account Dashboard_Loan_DDD_API_Design_v1_Workshop.xlsx</t>
        </is>
      </c>
      <c r="Y63" s="19" t="inlineStr">
        <is>
          <t>1.1 Loan Dashboard - Landing</t>
        </is>
      </c>
      <c r="Z63" s="19" t="inlineStr">
        <is>
          <t>API_Specs_Index!A2:H2</t>
        </is>
      </c>
      <c r="AA63" s="22" t="inlineStr">
        <is>
          <t>API-026</t>
        </is>
      </c>
      <c r="AB63" s="19" t="inlineStr">
        <is>
          <t>Mapped to Loan dashboard because the test case terms align with the 1.1 Loan Dashboard - Landing journey in the applicable API specification.</t>
        </is>
      </c>
      <c r="AC63" s="19" t="inlineStr">
        <is>
          <t>High</t>
        </is>
      </c>
      <c r="AD63" s="19" t="inlineStr">
        <is>
          <t>When user tap "Loan/Financing" tab and screen is loaded getDashboard dep-dashboard GET /v1/external/accounts?featureType={featureType} example : /v1/external/accounts?featureType=DASHBOARD_LOAN { "status": 200, "message": "Request processed succes...</t>
        </is>
      </c>
    </row>
    <row r="64" ht="289.8" customHeight="1" s="2">
      <c r="A64" s="12" t="inlineStr">
        <is>
          <t>TC-B1-0063</t>
        </is>
      </c>
      <c r="B64" s="13" t="inlineStr">
        <is>
          <t>TS-B1-046</t>
        </is>
      </c>
      <c r="C64" s="13" t="inlineStr">
        <is>
          <t>Acct Dashboard Financing</t>
        </is>
      </c>
      <c r="D64" s="13" t="inlineStr">
        <is>
          <t>Dashboard - Loan</t>
        </is>
      </c>
      <c r="E64" s="13" t="inlineStr">
        <is>
          <t>Validate successful final state for Mortgage Loan (Shariah)</t>
        </is>
      </c>
      <c r="F64" s="13" t="inlineStr">
        <is>
          <t>Positive</t>
        </is>
      </c>
      <c r="G64" s="13" t="inlineStr">
        <is>
          <t>High</t>
        </is>
      </c>
      <c r="H64" s="13" t="inlineStr">
        <is>
          <t>All required inputs and services are valid. Expected statuses: Active / Overdue / Closed</t>
        </is>
      </c>
      <c r="I64" s="13" t="inlineStr">
        <is>
          <t>Mortgage Loan (Shariah)</t>
        </is>
      </c>
      <c r="J64" s="13" t="inlineStr">
        <is>
          <t>1. Complete the end-to-end journey with valid data.
2. Submit/confirm the final action.
3. Verify result, receipt/notification where applicable, and persisted state.</t>
        </is>
      </c>
      <c r="K64" s="13" t="inlineStr">
        <is>
          <t>A valid success status from the requirement is shown. The transaction or change is applied once, persisted, and reflected on refresh.</t>
        </is>
      </c>
      <c r="L64" s="13" t="inlineStr">
        <is>
          <t>Not specified in FSD</t>
        </is>
      </c>
      <c r="M64" s="13" t="inlineStr">
        <is>
          <t>Active / Overdue / Closed</t>
        </is>
      </c>
      <c r="N64" s="13" t="inlineStr">
        <is>
          <t>Acct Dashboard Financing!G1:G62</t>
        </is>
      </c>
      <c r="O64" s="13" t="inlineStr">
        <is>
          <t>Not Run</t>
        </is>
      </c>
      <c r="P64" s="13" t="n"/>
      <c r="Q64" s="13" t="n"/>
      <c r="R64" s="14" t="n"/>
      <c r="S64" s="19" t="inlineStr">
        <is>
          <t>Loan API Design</t>
        </is>
      </c>
      <c r="T64" s="19" t="inlineStr">
        <is>
          <t>Loan transaction history</t>
        </is>
      </c>
      <c r="U64" s="19" t="inlineStr">
        <is>
          <t>GET</t>
        </is>
      </c>
      <c r="V64" s="19" t="inlineStr">
        <is>
          <t>/v1/external/accounts/account-type/{accountType}/account-id/{accountId}/transactions</t>
        </is>
      </c>
      <c r="W64" s="19" t="inlineStr">
        <is>
          <t>info-loan</t>
        </is>
      </c>
      <c r="X64" s="19" t="inlineStr">
        <is>
          <t>ECLIPSE_Account Dashboard_Loan_DDD_API_Design_v1_Workshop.xlsx</t>
        </is>
      </c>
      <c r="Y64" s="19" t="inlineStr">
        <is>
          <t>1.2 Personal Loan Acc
1.2.4 PL Shariah Acc
1.3 Auto Loan Acc
1.3.1 Auto Loan Shariah
1.4 Mortgage Loan Acc
1.4.1 Mortgage Loan Shariah</t>
        </is>
      </c>
      <c r="Z64" s="19" t="inlineStr">
        <is>
          <t>API_Specs_Index!A4:H4</t>
        </is>
      </c>
      <c r="AA64" s="22" t="inlineStr">
        <is>
          <t>API-027</t>
        </is>
      </c>
      <c r="AB64" s="19" t="inlineStr">
        <is>
          <t>Mapped to Loan transaction history because the test case terms align with the 1.2 Personal Loan Acc
1.2.4 PL Shariah Acc
1.3 Auto Loan Acc
1.3.1 Auto Loan Shariah
1.4 Mortgage Loan Acc
1.4.1 Mortgage Loan Shariah journey in the applicable API specification.</t>
        </is>
      </c>
      <c r="AC64" s="19" t="inlineStr">
        <is>
          <t>High</t>
        </is>
      </c>
      <c r="AD64" s="19" t="inlineStr">
        <is>
          <t>Pending ESB Spec</t>
        </is>
      </c>
    </row>
    <row r="65" ht="345" customHeight="1" s="2">
      <c r="A65" s="15" t="inlineStr">
        <is>
          <t>TC-B1-0064</t>
        </is>
      </c>
      <c r="B65" s="16" t="inlineStr">
        <is>
          <t>TS-B1-046</t>
        </is>
      </c>
      <c r="C65" s="16" t="inlineStr">
        <is>
          <t>Acct Dashboard Financing</t>
        </is>
      </c>
      <c r="D65" s="16" t="inlineStr">
        <is>
          <t>Dashboard - Loan</t>
        </is>
      </c>
      <c r="E65" s="16" t="inlineStr">
        <is>
          <t>Validate service failure and retry for Mortgage Loan (Shariah)</t>
        </is>
      </c>
      <c r="F65" s="16" t="inlineStr">
        <is>
          <t>Negative</t>
        </is>
      </c>
      <c r="G65" s="16" t="inlineStr">
        <is>
          <t>High</t>
        </is>
      </c>
      <c r="H65" s="16" t="inlineStr">
        <is>
          <t>Journey is available; simulate a controlled downstream timeout or unsuccessful response. Expected statuses: Active / Overdue / Closed</t>
        </is>
      </c>
      <c r="I65" s="16" t="inlineStr">
        <is>
          <t>Mortgage Loan (Shariah)</t>
        </is>
      </c>
      <c r="J65" s="16" t="inlineStr">
        <is>
          <t>1. Progress to the final action.
2. Trigger a timeout, unavailable service, or unsuccessful response.
3. Verify the error message and retry behavior.
4. Retry after service recovery.</t>
        </is>
      </c>
      <c r="K65" s="16" t="inlineStr">
        <is>
          <t>No duplicate action occurs. The configured unsuccessful/processing state is shown, retry is safe, and final status becomes consistent after recovery.</t>
        </is>
      </c>
      <c r="L65" s="16" t="inlineStr">
        <is>
          <t>Not specified in FSD</t>
        </is>
      </c>
      <c r="M65" s="16" t="inlineStr">
        <is>
          <t>Active / Overdue / Closed</t>
        </is>
      </c>
      <c r="N65" s="16" t="inlineStr">
        <is>
          <t>Acct Dashboard Financing!G1:G62</t>
        </is>
      </c>
      <c r="O65" s="16" t="inlineStr">
        <is>
          <t>Not Run</t>
        </is>
      </c>
      <c r="P65" s="16" t="n"/>
      <c r="Q65" s="16" t="n"/>
      <c r="R65" s="17" t="n"/>
      <c r="S65" s="19" t="inlineStr">
        <is>
          <t>Loan API Design</t>
        </is>
      </c>
      <c r="T65" s="19" t="inlineStr">
        <is>
          <t>Loan dashboard</t>
        </is>
      </c>
      <c r="U65" s="19" t="inlineStr">
        <is>
          <t>GET</t>
        </is>
      </c>
      <c r="V65" s="19" t="inlineStr">
        <is>
          <t>/v1/external/accounts?accountGroup={accountGroup}</t>
        </is>
      </c>
      <c r="W65" s="19" t="inlineStr">
        <is>
          <t>dep-dashboard</t>
        </is>
      </c>
      <c r="X65" s="19" t="inlineStr">
        <is>
          <t>ECLIPSE_Account Dashboard_Loan_DDD_API_Design_v1_Workshop.xlsx</t>
        </is>
      </c>
      <c r="Y65" s="19" t="inlineStr">
        <is>
          <t>1.1 Loan Dashboard - Landing</t>
        </is>
      </c>
      <c r="Z65" s="19" t="inlineStr">
        <is>
          <t>API_Specs_Index!A2:H2</t>
        </is>
      </c>
      <c r="AA65" s="22" t="inlineStr">
        <is>
          <t>API-026</t>
        </is>
      </c>
      <c r="AB65" s="19" t="inlineStr">
        <is>
          <t>Mapped to Loan dashboard because the test case terms align with the 1.1 Loan Dashboard - Landing journey in the applicable API specification.</t>
        </is>
      </c>
      <c r="AC65" s="19" t="inlineStr">
        <is>
          <t>High</t>
        </is>
      </c>
      <c r="AD65" s="19" t="inlineStr">
        <is>
          <t>When user tap "Loan/Financing" tab and screen is loaded getDashboard dep-dashboard GET /v1/external/accounts?featureType={featureType} example : /v1/external/accounts?featureType=DASHBOARD_LOAN { "status": 200, "message": "Request processed succes...</t>
        </is>
      </c>
    </row>
    <row r="66" ht="262.2" customHeight="1" s="2">
      <c r="A66" s="12" t="inlineStr">
        <is>
          <t>TC-B1-0065</t>
        </is>
      </c>
      <c r="B66" s="13" t="inlineStr">
        <is>
          <t>TS-B1-047</t>
        </is>
      </c>
      <c r="C66" s="13" t="inlineStr">
        <is>
          <t>Acct Dashboard Financing</t>
        </is>
      </c>
      <c r="D66" s="13" t="inlineStr">
        <is>
          <t>Dashboard - Credit Card / Card Management</t>
        </is>
      </c>
      <c r="E66" s="13" t="inlineStr">
        <is>
          <t>Open Credit Card (Visa/Mastercard) from valid entry point</t>
        </is>
      </c>
      <c r="F66" s="13" t="inlineStr">
        <is>
          <t>Positive</t>
        </is>
      </c>
      <c r="G66" s="13" t="inlineStr">
        <is>
          <t>Medium</t>
        </is>
      </c>
      <c r="H66" s="13" t="inlineStr">
        <is>
          <t>Eligible user: Principal cardholder and supplementary context</t>
        </is>
      </c>
      <c r="I66" s="13" t="inlineStr">
        <is>
          <t>Credit Card (Visa/Mastercard)</t>
        </is>
      </c>
      <c r="J66" s="13" t="inlineStr">
        <is>
          <t>1. Sign in at the required access level.
2. Navigate using: CC Dashboard - Landing.
3. Select Credit Card (Visa/Mastercard).</t>
        </is>
      </c>
      <c r="K66" s="13" t="inlineStr">
        <is>
          <t>The correct Dashboard - Credit Card / Card Management page opens and relevant product information is displayed without error.</t>
        </is>
      </c>
      <c r="L66" s="13" t="inlineStr">
        <is>
          <t>A&amp;A - refer to Authentication &amp; Authorisation FSD</t>
        </is>
      </c>
      <c r="M66" s="13" t="inlineStr">
        <is>
          <t>Request submitted / Request unsuccessful / Authorisation failed / Processing / Completed (per feature)</t>
        </is>
      </c>
      <c r="N66" s="13" t="inlineStr">
        <is>
          <t>Acct Dashboard Financing!H1:H62</t>
        </is>
      </c>
      <c r="O66" s="13" t="inlineStr">
        <is>
          <t>Not Run</t>
        </is>
      </c>
      <c r="P66" s="13" t="n"/>
      <c r="Q66" s="13" t="n"/>
      <c r="R66" s="14" t="n"/>
      <c r="S66" s="19" t="inlineStr">
        <is>
          <t>Credit Card API Design</t>
        </is>
      </c>
      <c r="T66" s="19" t="inlineStr">
        <is>
          <t>Cards dashboard</t>
        </is>
      </c>
      <c r="U66" s="19" t="inlineStr">
        <is>
          <t>GET</t>
        </is>
      </c>
      <c r="V66" s="19" t="inlineStr">
        <is>
          <t>/v1/external/accounts?accountGroup={accountGroup}</t>
        </is>
      </c>
      <c r="W66" s="19" t="inlineStr">
        <is>
          <t>dep-dashboard</t>
        </is>
      </c>
      <c r="X66" s="19" t="inlineStr">
        <is>
          <t>ECLIPSE_Account Dashboard_Credit_Card_DDD_API_Design_v1_Workshop.xlsx</t>
        </is>
      </c>
      <c r="Y66" s="19" t="inlineStr">
        <is>
          <t>2.1 CC Dashboard - Landing</t>
        </is>
      </c>
      <c r="Z66" s="19" t="inlineStr">
        <is>
          <t>API_Specs_Index!A2:H2</t>
        </is>
      </c>
      <c r="AA66" s="22" t="inlineStr">
        <is>
          <t>API-001</t>
        </is>
      </c>
      <c r="AB66" s="19" t="inlineStr">
        <is>
          <t>Mapped to Cards dashboard because the test case terms align with the 2.1 CC Dashboard - Landing journey in the applicable API specification.</t>
        </is>
      </c>
      <c r="AC66" s="19" t="inlineStr">
        <is>
          <t>High</t>
        </is>
      </c>
      <c r="AD66" s="19" t="inlineStr">
        <is>
          <t>1 User tap "Cards" and screen is loaded N/A dep-dashboard GET /v1/external/accounts?accountGroup={accountGroup} example : /v1/external/accounts?accountGroup=CARD { "status": 200, "message": "Request processed successfully", "timestamp": "2026-01-1...</t>
        </is>
      </c>
    </row>
    <row r="67" ht="345" customHeight="1" s="2">
      <c r="A67" s="15" t="inlineStr">
        <is>
          <t>TC-B1-0066</t>
        </is>
      </c>
      <c r="B67" s="16" t="inlineStr">
        <is>
          <t>TS-B1-047</t>
        </is>
      </c>
      <c r="C67" s="16" t="inlineStr">
        <is>
          <t>Acct Dashboard Financing</t>
        </is>
      </c>
      <c r="D67" s="16" t="inlineStr">
        <is>
          <t>Dashboard - Credit Card / Card Management</t>
        </is>
      </c>
      <c r="E67" s="16" t="inlineStr">
        <is>
          <t>Validate ineligible or unavailable state for Credit Card (Visa/Mastercard)</t>
        </is>
      </c>
      <c r="F67" s="16" t="inlineStr">
        <is>
          <t>Negative</t>
        </is>
      </c>
      <c r="G67" s="16" t="inlineStr">
        <is>
          <t>High</t>
        </is>
      </c>
      <c r="H67" s="16" t="inlineStr">
        <is>
          <t>User or product does not meet one configured eligibility condition. Eligible baseline: Principal cardholder and supplementary context</t>
        </is>
      </c>
      <c r="I67" s="16" t="inlineStr">
        <is>
          <t>Credit Card (Visa/Mastercard)</t>
        </is>
      </c>
      <c r="J67" s="16" t="inlineStr">
        <is>
          <t>1. Prepare an ineligible, unsupported, blocked, or unavailable test profile.
2. Navigate using: CC Dashboard - Landing.
3. Attempt to open Credit Card (Visa/Mastercard).</t>
        </is>
      </c>
      <c r="K67" s="16" t="inlineStr">
        <is>
          <t>Access is prevented or the feature is hidden/disabled. A clear message is shown and no unauthorised data or action is exposed.</t>
        </is>
      </c>
      <c r="L67" s="16" t="inlineStr">
        <is>
          <t>A&amp;A - refer to Authentication &amp; Authorisation FSD</t>
        </is>
      </c>
      <c r="M67" s="16" t="inlineStr">
        <is>
          <t>Request submitted / Request unsuccessful / Authorisation failed / Processing / Completed (per feature)</t>
        </is>
      </c>
      <c r="N67" s="16" t="inlineStr">
        <is>
          <t>Acct Dashboard Financing!H1:H62</t>
        </is>
      </c>
      <c r="O67" s="16" t="inlineStr">
        <is>
          <t>Not Run</t>
        </is>
      </c>
      <c r="P67" s="16" t="n"/>
      <c r="Q67" s="16" t="n"/>
      <c r="R67" s="17" t="n"/>
      <c r="S67" s="19" t="inlineStr">
        <is>
          <t>Credit Card API Design</t>
        </is>
      </c>
      <c r="T67" s="19" t="inlineStr">
        <is>
          <t>Cards dashboard</t>
        </is>
      </c>
      <c r="U67" s="19" t="inlineStr">
        <is>
          <t>GET</t>
        </is>
      </c>
      <c r="V67" s="19" t="inlineStr">
        <is>
          <t>/v1/external/accounts?accountGroup={accountGroup}</t>
        </is>
      </c>
      <c r="W67" s="19" t="inlineStr">
        <is>
          <t>dep-dashboard</t>
        </is>
      </c>
      <c r="X67" s="19" t="inlineStr">
        <is>
          <t>ECLIPSE_Account Dashboard_Credit_Card_DDD_API_Design_v1_Workshop.xlsx</t>
        </is>
      </c>
      <c r="Y67" s="19" t="inlineStr">
        <is>
          <t>2.1 CC Dashboard - Landing</t>
        </is>
      </c>
      <c r="Z67" s="19" t="inlineStr">
        <is>
          <t>API_Specs_Index!A2:H2</t>
        </is>
      </c>
      <c r="AA67" s="22" t="inlineStr">
        <is>
          <t>API-001</t>
        </is>
      </c>
      <c r="AB67" s="19" t="inlineStr">
        <is>
          <t>Mapped to Cards dashboard because the test case terms align with the 2.1 CC Dashboard - Landing journey in the applicable API specification.</t>
        </is>
      </c>
      <c r="AC67" s="19" t="inlineStr">
        <is>
          <t>High</t>
        </is>
      </c>
      <c r="AD67" s="19" t="inlineStr">
        <is>
          <t>1 User tap "Cards" and screen is loaded N/A dep-dashboard GET /v1/external/accounts?accountGroup={accountGroup} example : /v1/external/accounts?accountGroup=CARD { "status": 200, "message": "Request processed successfully", "timestamp": "2026-01-1...</t>
        </is>
      </c>
    </row>
    <row r="68" ht="248.4" customHeight="1" s="2">
      <c r="A68" s="12" t="inlineStr">
        <is>
          <t>TC-B1-0067</t>
        </is>
      </c>
      <c r="B68" s="13" t="inlineStr">
        <is>
          <t>TS-B1-048</t>
        </is>
      </c>
      <c r="C68" s="13" t="inlineStr">
        <is>
          <t>Acct Dashboard Financing</t>
        </is>
      </c>
      <c r="D68" s="13" t="inlineStr">
        <is>
          <t>Dashboard - Credit Card / Card Management</t>
        </is>
      </c>
      <c r="E68" s="13" t="inlineStr">
        <is>
          <t>Complete required authentication for Credit Card (Visa/Mastercard)</t>
        </is>
      </c>
      <c r="F68" s="13" t="inlineStr">
        <is>
          <t>Security</t>
        </is>
      </c>
      <c r="G68" s="13" t="inlineStr">
        <is>
          <t>High</t>
        </is>
      </c>
      <c r="H68" s="13" t="inlineStr">
        <is>
          <t>Eligible user; authentication method is active. Requirement: A&amp;A - refer to Authentication &amp; Authorisation FSD</t>
        </is>
      </c>
      <c r="I68" s="13" t="inlineStr">
        <is>
          <t>Credit Card (Visa/Mastercard)</t>
        </is>
      </c>
      <c r="J68" s="13" t="inlineStr">
        <is>
          <t>1. Start the protected action.
2. Complete the configured authentication with valid credentials.
3. Continue the journey.</t>
        </is>
      </c>
      <c r="K68" s="13" t="inlineStr">
        <is>
          <t>Authentication succeeds, the protected action continues once, and the user returns to the correct journey context.</t>
        </is>
      </c>
      <c r="L68" s="13" t="inlineStr">
        <is>
          <t>A&amp;A - refer to Authentication &amp; Authorisation FSD</t>
        </is>
      </c>
      <c r="M68" s="13" t="inlineStr">
        <is>
          <t>Request submitted / Request unsuccessful / Authorisation failed / Processing / Completed (per feature)</t>
        </is>
      </c>
      <c r="N68" s="13" t="inlineStr">
        <is>
          <t>Acct Dashboard Financing!H1:H62</t>
        </is>
      </c>
      <c r="O68" s="13" t="inlineStr">
        <is>
          <t>Not Run</t>
        </is>
      </c>
      <c r="P68" s="13" t="n"/>
      <c r="Q68" s="13" t="n"/>
      <c r="R68" s="14" t="n"/>
      <c r="S68" s="19" t="inlineStr">
        <is>
          <t>Credit Card API Design</t>
        </is>
      </c>
      <c r="T68" s="19" t="inlineStr">
        <is>
          <t>Cards dashboard</t>
        </is>
      </c>
      <c r="U68" s="19" t="inlineStr">
        <is>
          <t>GET</t>
        </is>
      </c>
      <c r="V68" s="19" t="inlineStr">
        <is>
          <t>/v1/external/accounts?accountGroup={accountGroup}</t>
        </is>
      </c>
      <c r="W68" s="19" t="inlineStr">
        <is>
          <t>dep-dashboard</t>
        </is>
      </c>
      <c r="X68" s="19" t="inlineStr">
        <is>
          <t>ECLIPSE_Account Dashboard_Credit_Card_DDD_API_Design_v1_Workshop.xlsx</t>
        </is>
      </c>
      <c r="Y68" s="19" t="inlineStr">
        <is>
          <t>2.1 CC Dashboard - Landing</t>
        </is>
      </c>
      <c r="Z68" s="19" t="inlineStr">
        <is>
          <t>API_Specs_Index!A2:H2</t>
        </is>
      </c>
      <c r="AA68" s="22" t="inlineStr">
        <is>
          <t>API-001</t>
        </is>
      </c>
      <c r="AB68" s="19" t="inlineStr">
        <is>
          <t>Mapped to Cards dashboard because the test case terms align with the 2.1 CC Dashboard - Landing journey in the applicable API specification.</t>
        </is>
      </c>
      <c r="AC68" s="19" t="inlineStr">
        <is>
          <t>Medium</t>
        </is>
      </c>
      <c r="AD68" s="19" t="inlineStr">
        <is>
          <t>1 User tap "Cards" and screen is loaded N/A dep-dashboard GET /v1/external/accounts?accountGroup={accountGroup} example : /v1/external/accounts?accountGroup=CARD { "status": 200, "message": "Request processed successfully", "timestamp": "2026-01-1...</t>
        </is>
      </c>
    </row>
    <row r="69" ht="303.6" customHeight="1" s="2">
      <c r="A69" s="15" t="inlineStr">
        <is>
          <t>TC-B1-0068</t>
        </is>
      </c>
      <c r="B69" s="16" t="inlineStr">
        <is>
          <t>TS-B1-048</t>
        </is>
      </c>
      <c r="C69" s="16" t="inlineStr">
        <is>
          <t>Acct Dashboard Financing</t>
        </is>
      </c>
      <c r="D69" s="16" t="inlineStr">
        <is>
          <t>Dashboard - Credit Card / Card Management</t>
        </is>
      </c>
      <c r="E69" s="16" t="inlineStr">
        <is>
          <t>Reject invalid, cancelled, or expired authentication for Credit Card (Visa/Mastercard)</t>
        </is>
      </c>
      <c r="F69" s="16" t="inlineStr">
        <is>
          <t>Negative / Security</t>
        </is>
      </c>
      <c r="G69" s="16" t="inlineStr">
        <is>
          <t>High</t>
        </is>
      </c>
      <c r="H69" s="16" t="inlineStr">
        <is>
          <t>Eligible user; protected action requires authentication. Requirement: A&amp;A - refer to Authentication &amp; Authorisation FSD</t>
        </is>
      </c>
      <c r="I69" s="16" t="inlineStr">
        <is>
          <t>Credit Card (Visa/Mastercard)</t>
        </is>
      </c>
      <c r="J69" s="16" t="inlineStr">
        <is>
          <t>1. Start the protected action.
2. Enter invalid credentials, cancel, or allow the challenge to expire.
3. Observe the result.</t>
        </is>
      </c>
      <c r="K69" s="16" t="inlineStr">
        <is>
          <t>The action is not performed. The configured failure/lockout message is shown, sensitive data remains protected, and retry behavior follows the requirement.</t>
        </is>
      </c>
      <c r="L69" s="16" t="inlineStr">
        <is>
          <t>A&amp;A - refer to Authentication &amp; Authorisation FSD</t>
        </is>
      </c>
      <c r="M69" s="16" t="inlineStr">
        <is>
          <t>Request submitted / Request unsuccessful / Authorisation failed / Processing / Completed (per feature)</t>
        </is>
      </c>
      <c r="N69" s="16" t="inlineStr">
        <is>
          <t>Acct Dashboard Financing!H1:H62</t>
        </is>
      </c>
      <c r="O69" s="16" t="inlineStr">
        <is>
          <t>Not Run</t>
        </is>
      </c>
      <c r="P69" s="16" t="n"/>
      <c r="Q69" s="16" t="n"/>
      <c r="R69" s="17" t="n"/>
      <c r="S69" s="19" t="inlineStr">
        <is>
          <t>Credit Card API Design</t>
        </is>
      </c>
      <c r="T69" s="19" t="inlineStr">
        <is>
          <t>Cards dashboard</t>
        </is>
      </c>
      <c r="U69" s="19" t="inlineStr">
        <is>
          <t>GET</t>
        </is>
      </c>
      <c r="V69" s="19" t="inlineStr">
        <is>
          <t>/v1/external/accounts?accountGroup={accountGroup}</t>
        </is>
      </c>
      <c r="W69" s="19" t="inlineStr">
        <is>
          <t>dep-dashboard</t>
        </is>
      </c>
      <c r="X69" s="19" t="inlineStr">
        <is>
          <t>ECLIPSE_Account Dashboard_Credit_Card_DDD_API_Design_v1_Workshop.xlsx</t>
        </is>
      </c>
      <c r="Y69" s="19" t="inlineStr">
        <is>
          <t>2.1 CC Dashboard - Landing</t>
        </is>
      </c>
      <c r="Z69" s="19" t="inlineStr">
        <is>
          <t>API_Specs_Index!A2:H2</t>
        </is>
      </c>
      <c r="AA69" s="22" t="inlineStr">
        <is>
          <t>API-001</t>
        </is>
      </c>
      <c r="AB69" s="19" t="inlineStr">
        <is>
          <t>Mapped to Cards dashboard because the test case terms align with the 2.1 CC Dashboard - Landing journey in the applicable API specification.</t>
        </is>
      </c>
      <c r="AC69" s="19" t="inlineStr">
        <is>
          <t>Medium</t>
        </is>
      </c>
      <c r="AD69" s="19" t="inlineStr">
        <is>
          <t>1 User tap "Cards" and screen is loaded N/A dep-dashboard GET /v1/external/accounts?accountGroup={accountGroup} example : /v1/external/accounts?accountGroup=CARD { "status": 200, "message": "Request processed successfully", "timestamp": "2026-01-1...</t>
        </is>
      </c>
    </row>
    <row r="70" ht="409.6" customHeight="1" s="2">
      <c r="A70" s="12" t="inlineStr">
        <is>
          <t>TC-B1-0069</t>
        </is>
      </c>
      <c r="B70" s="13" t="inlineStr">
        <is>
          <t>TS-B1-049</t>
        </is>
      </c>
      <c r="C70" s="13" t="inlineStr">
        <is>
          <t>Acct Dashboard Financing</t>
        </is>
      </c>
      <c r="D70" s="13" t="inlineStr">
        <is>
          <t>Dashboard - Credit Card / Card Management</t>
        </is>
      </c>
      <c r="E70" s="13" t="inlineStr">
        <is>
          <t>Validate Common Rules Reference for Credit Card (Visa/Mastercard)</t>
        </is>
      </c>
      <c r="F70" s="13" t="inlineStr">
        <is>
          <t>UI / Functional</t>
        </is>
      </c>
      <c r="G70" s="13" t="inlineStr">
        <is>
          <t>Medium</t>
        </is>
      </c>
      <c r="H70" s="13" t="inlineStr">
        <is>
          <t>Eligible user and product are available. User has reached the preceding journey step.</t>
        </is>
      </c>
      <c r="I70" s="13" t="inlineStr">
        <is>
          <t>Credit Card (Visa/Mastercard)</t>
        </is>
      </c>
      <c r="J70" s="13" t="inlineStr">
        <is>
          <t>1. Open Credit Card (Visa/Mastercard).
2. Navigate to Common Rules Reference.
3. Perform the action or trigger described by: Refer to Account Dashboard Common FSD.
4. Observe the page, validation, navigation, and resulting state.</t>
        </is>
      </c>
      <c r="K70" s="13" t="inlineStr">
        <is>
          <t>Common Rules Reference behaves according to the mapped requirement (Refer to Account Dashboard Common FSD); data, controls, navigation, and status are accurate and consistent.</t>
        </is>
      </c>
      <c r="L70" s="13" t="inlineStr">
        <is>
          <t>A&amp;A - refer to Authentication &amp; Authorisation FSD</t>
        </is>
      </c>
      <c r="M70" s="13" t="inlineStr">
        <is>
          <t>Request submitted / Request unsuccessful / Authorisation failed / Processing / Completed (per feature)</t>
        </is>
      </c>
      <c r="N70" s="13" t="inlineStr">
        <is>
          <t>Acct Dashboard Financing!A9:H9</t>
        </is>
      </c>
      <c r="O70" s="13" t="inlineStr">
        <is>
          <t>Not Run</t>
        </is>
      </c>
      <c r="P70" s="13" t="n"/>
      <c r="Q70" s="13" t="n"/>
      <c r="R70" s="14" t="n"/>
      <c r="S70" s="19" t="inlineStr">
        <is>
          <t>Credit Card API Design</t>
        </is>
      </c>
      <c r="T70" s="19" t="inlineStr">
        <is>
          <t>Credit card transaction history</t>
        </is>
      </c>
      <c r="U70" s="19" t="inlineStr">
        <is>
          <t>GET</t>
        </is>
      </c>
      <c r="V70" s="19" t="inlineStr">
        <is>
          <t>/v1/external/accounts/account-type/{accountType}/account-id/{accountId}/transactions?startDate={startDate}&amp;endDate={endDate}&amp;page={page}&amp;limit={limit}</t>
        </is>
      </c>
      <c r="W70" s="19" t="inlineStr">
        <is>
          <t>info-card</t>
        </is>
      </c>
      <c r="X70" s="19" t="inlineStr">
        <is>
          <t>ECLIPSE_Account Dashboard_Credit_Card_DDD_API_Design_v1_Workshop.xlsx</t>
        </is>
      </c>
      <c r="Y70" s="19" t="inlineStr">
        <is>
          <t>2.2 CC &gt; Transactions</t>
        </is>
      </c>
      <c r="Z70" s="19" t="inlineStr">
        <is>
          <t>API_Specs_Index!A7:H7</t>
        </is>
      </c>
      <c r="AA70" s="22" t="inlineStr">
        <is>
          <t>API-004</t>
        </is>
      </c>
      <c r="AB70" s="19" t="inlineStr">
        <is>
          <t>Mapped to Credit card transaction history because the test case terms align with the 2.2 CC &gt; Transactions journey in the applicable API specification.</t>
        </is>
      </c>
      <c r="AC70" s="19" t="inlineStr">
        <is>
          <t>High</t>
        </is>
      </c>
      <c r="AD70" s="19" t="inlineStr">
        <is>
          <t>No Screen User Action Business Logic API Name Microservice Ownership Method Endpoint Request JSON Success Response JSON Failed Response JSON ESB Eclipse DB Source BE Validation; 1 User tap one of the card from "Cards" Dashboard When the screen is loaded, 1. It shall conduct block code check to show yellow label accordingly (e.g blocked, temporarily blocked) 2. It shall display Principal card by default and if there is any...</t>
        </is>
      </c>
    </row>
    <row r="71" ht="386.4" customHeight="1" s="2">
      <c r="A71" s="15" t="inlineStr">
        <is>
          <t>TC-B1-0070</t>
        </is>
      </c>
      <c r="B71" s="16" t="inlineStr">
        <is>
          <t>TS-B1-050</t>
        </is>
      </c>
      <c r="C71" s="16" t="inlineStr">
        <is>
          <t>Acct Dashboard Financing</t>
        </is>
      </c>
      <c r="D71" s="16" t="inlineStr">
        <is>
          <t>Dashboard - Credit Card / Card Management</t>
        </is>
      </c>
      <c r="E71" s="16" t="inlineStr">
        <is>
          <t>Validate 2.1 CC Dashboard - Landing for Credit Card (Visa/Mastercard)</t>
        </is>
      </c>
      <c r="F71" s="16" t="inlineStr">
        <is>
          <t>UI / Functional</t>
        </is>
      </c>
      <c r="G71" s="16" t="inlineStr">
        <is>
          <t>Medium</t>
        </is>
      </c>
      <c r="H71" s="16" t="inlineStr">
        <is>
          <t>Eligible user and product are available. User has reached the preceding journey step.</t>
        </is>
      </c>
      <c r="I71" s="16" t="inlineStr">
        <is>
          <t>Credit Card (Visa/Mastercard)</t>
        </is>
      </c>
      <c r="J71" s="16" t="inlineStr">
        <is>
          <t>1. Open Credit Card (Visa/Mastercard).
2. Navigate to 2.1 CC Dashboard - Landing.
3. Perform the action or trigger described by: Step 13.
4. Observe the page, validation, navigation, and resulting state.</t>
        </is>
      </c>
      <c r="K71" s="16" t="inlineStr">
        <is>
          <t>2.1 CC Dashboard - Landing behaves according to the mapped requirement (Step 13); data, controls, navigation, and status are accurate and consistent.</t>
        </is>
      </c>
      <c r="L71" s="16" t="inlineStr">
        <is>
          <t>A&amp;A - refer to Authentication &amp; Authorisation FSD</t>
        </is>
      </c>
      <c r="M71" s="16" t="inlineStr">
        <is>
          <t>Request submitted / Request unsuccessful / Authorisation failed / Processing / Completed (per feature)</t>
        </is>
      </c>
      <c r="N71" s="16" t="inlineStr">
        <is>
          <t>Acct Dashboard Financing!A22:H22</t>
        </is>
      </c>
      <c r="O71" s="16" t="inlineStr">
        <is>
          <t>Not Run</t>
        </is>
      </c>
      <c r="P71" s="16" t="n"/>
      <c r="Q71" s="16" t="n"/>
      <c r="R71" s="17" t="n"/>
      <c r="S71" s="19" t="inlineStr">
        <is>
          <t>Credit Card API Design</t>
        </is>
      </c>
      <c r="T71" s="19" t="inlineStr">
        <is>
          <t>Cards dashboard</t>
        </is>
      </c>
      <c r="U71" s="19" t="inlineStr">
        <is>
          <t>GET</t>
        </is>
      </c>
      <c r="V71" s="19" t="inlineStr">
        <is>
          <t>/v1/external/accounts?accountGroup={accountGroup}</t>
        </is>
      </c>
      <c r="W71" s="19" t="inlineStr">
        <is>
          <t>dep-dashboard</t>
        </is>
      </c>
      <c r="X71" s="19" t="inlineStr">
        <is>
          <t>ECLIPSE_Account Dashboard_Credit_Card_DDD_API_Design_v1_Workshop.xlsx</t>
        </is>
      </c>
      <c r="Y71" s="19" t="inlineStr">
        <is>
          <t>2.1 CC Dashboard - Landing</t>
        </is>
      </c>
      <c r="Z71" s="19" t="inlineStr">
        <is>
          <t>API_Specs_Index!A2:H2</t>
        </is>
      </c>
      <c r="AA71" s="22" t="inlineStr">
        <is>
          <t>API-001</t>
        </is>
      </c>
      <c r="AB71" s="19" t="inlineStr">
        <is>
          <t>Mapped to Cards dashboard because the test case terms align with the 2.1 CC Dashboard - Landing journey in the applicable API specification.</t>
        </is>
      </c>
      <c r="AC71" s="19" t="inlineStr">
        <is>
          <t>High</t>
        </is>
      </c>
      <c r="AD71" s="19" t="inlineStr">
        <is>
          <t>1 User tap "Cards" and screen is loaded N/A dep-dashboard GET /v1/external/accounts?accountGroup={accountGroup} example : /v1/external/accounts?accountGroup=CARD { "status": 200, "message": "Request processed successfully", "timestamp": "2026-01-1...</t>
        </is>
      </c>
    </row>
    <row r="72" ht="409.6" customHeight="1" s="2">
      <c r="A72" s="12" t="inlineStr">
        <is>
          <t>TC-B1-0071</t>
        </is>
      </c>
      <c r="B72" s="13" t="inlineStr">
        <is>
          <t>TS-B1-051</t>
        </is>
      </c>
      <c r="C72" s="13" t="inlineStr">
        <is>
          <t>Acct Dashboard Financing</t>
        </is>
      </c>
      <c r="D72" s="13" t="inlineStr">
        <is>
          <t>Dashboard - Credit Card / Card Management</t>
        </is>
      </c>
      <c r="E72" s="13" t="inlineStr">
        <is>
          <t>Validate 2.1.2 Card Details for Credit Card (Visa/Mastercard)</t>
        </is>
      </c>
      <c r="F72" s="13" t="inlineStr">
        <is>
          <t>UI / Functional</t>
        </is>
      </c>
      <c r="G72" s="13" t="inlineStr">
        <is>
          <t>Medium</t>
        </is>
      </c>
      <c r="H72" s="13" t="inlineStr">
        <is>
          <t>Eligible user and product are available. Trigger the stated condition: Optional Step 14 - when Card Details quick action is tapped</t>
        </is>
      </c>
      <c r="I72" s="13" t="inlineStr">
        <is>
          <t>Credit Card (Visa/Mastercard)</t>
        </is>
      </c>
      <c r="J72" s="13" t="inlineStr">
        <is>
          <t>1. Open Credit Card (Visa/Mastercard).
2. Navigate to 2.1.2 Card Details.
3. Perform the action or trigger described by: Optional Step 14 - when Card Details quick action is tapped.
4. Observe the page, validation, navigation, and resulting state.</t>
        </is>
      </c>
      <c r="K72" s="13" t="inlineStr">
        <is>
          <t>2.1.2 Card Details behaves according to the mapped requirement (Optional Step 14 - when Card Details quick action is tapped); data, controls, navigation, and status are accurate and consistent.</t>
        </is>
      </c>
      <c r="L72" s="13" t="inlineStr">
        <is>
          <t>A&amp;A - refer to Authentication &amp; Authorisation FSD</t>
        </is>
      </c>
      <c r="M72" s="13" t="inlineStr">
        <is>
          <t>Request submitted / Request unsuccessful / Authorisation failed / Processing / Completed (per feature)</t>
        </is>
      </c>
      <c r="N72" s="13" t="inlineStr">
        <is>
          <t>Acct Dashboard Financing!A23:H23</t>
        </is>
      </c>
      <c r="O72" s="13" t="inlineStr">
        <is>
          <t>Not Run</t>
        </is>
      </c>
      <c r="P72" s="13" t="n"/>
      <c r="Q72" s="13" t="n"/>
      <c r="R72" s="14" t="inlineStr">
        <is>
          <t>Conditional coverage required.</t>
        </is>
      </c>
      <c r="S72" s="19" t="inlineStr">
        <is>
          <t>Credit Card API Design</t>
        </is>
      </c>
      <c r="T72" s="19" t="inlineStr">
        <is>
          <t>Cards dashboard</t>
        </is>
      </c>
      <c r="U72" s="19" t="inlineStr">
        <is>
          <t>GET</t>
        </is>
      </c>
      <c r="V72" s="19" t="inlineStr">
        <is>
          <t>/v1/external/accounts?accountGroup={accountGroup}</t>
        </is>
      </c>
      <c r="W72" s="19" t="inlineStr">
        <is>
          <t>dep-dashboard</t>
        </is>
      </c>
      <c r="X72" s="19" t="inlineStr">
        <is>
          <t>ECLIPSE_Account Dashboard_Credit_Card_DDD_API_Design_v1_Workshop.xlsx</t>
        </is>
      </c>
      <c r="Y72" s="19" t="inlineStr">
        <is>
          <t>2.1 CC Dashboard - Landing</t>
        </is>
      </c>
      <c r="Z72" s="19" t="inlineStr">
        <is>
          <t>API_Specs_Index!A2:H2</t>
        </is>
      </c>
      <c r="AA72" s="22" t="inlineStr">
        <is>
          <t>API-001</t>
        </is>
      </c>
      <c r="AB72" s="19" t="inlineStr">
        <is>
          <t>Mapped to Cards dashboard because the test case terms align with the 2.1 CC Dashboard - Landing journey in the applicable API specification.</t>
        </is>
      </c>
      <c r="AC72" s="19" t="inlineStr">
        <is>
          <t>Medium</t>
        </is>
      </c>
      <c r="AD72" s="19" t="inlineStr">
        <is>
          <t>1 User tap "Cards" and screen is loaded N/A dep-dashboard GET /v1/external/accounts?accountGroup={accountGroup} example : /v1/external/accounts?accountGroup=CARD { "status": 200, "message": "Request processed successfully", "timestamp": "2026-01-1...</t>
        </is>
      </c>
    </row>
    <row r="73" ht="409.6" customHeight="1" s="2">
      <c r="A73" s="15" t="inlineStr">
        <is>
          <t>TC-B1-0072</t>
        </is>
      </c>
      <c r="B73" s="16" t="inlineStr">
        <is>
          <t>TS-B1-052</t>
        </is>
      </c>
      <c r="C73" s="16" t="inlineStr">
        <is>
          <t>Acct Dashboard Financing</t>
        </is>
      </c>
      <c r="D73" s="16" t="inlineStr">
        <is>
          <t>Dashboard - Credit Card / Card Management</t>
        </is>
      </c>
      <c r="E73" s="16" t="inlineStr">
        <is>
          <t>Validate 2.1.3 CC Activation for Credit Card (Visa/Mastercard)</t>
        </is>
      </c>
      <c r="F73" s="16" t="inlineStr">
        <is>
          <t>Functional</t>
        </is>
      </c>
      <c r="G73" s="16" t="inlineStr">
        <is>
          <t>High</t>
        </is>
      </c>
      <c r="H73" s="16" t="inlineStr">
        <is>
          <t>Eligible user and product are available. Trigger the stated condition: Conditional Step 15 - pending activation and card type Visa/Mastercard</t>
        </is>
      </c>
      <c r="I73" s="16" t="inlineStr">
        <is>
          <t>Credit Card (Visa/Mastercard)</t>
        </is>
      </c>
      <c r="J73" s="16" t="inlineStr">
        <is>
          <t>1. Open Credit Card (Visa/Mastercard).
2. Navigate to 2.1.3 CC Activation.
3. Perform the action or trigger described by: Conditional Step 15 - pending activation and card type Visa/Mastercard.
4. Observe the page, validation, navigation, and resulting state.</t>
        </is>
      </c>
      <c r="K73" s="16" t="inlineStr">
        <is>
          <t>2.1.3 CC Activation behaves according to the mapped requirement (Conditional Step 15 - pending activation and card type Visa/Mastercard); data, controls, navigation, and status are accurate and consistent.</t>
        </is>
      </c>
      <c r="L73" s="16" t="inlineStr">
        <is>
          <t>A&amp;A - refer to Authentication &amp; Authorisation FSD</t>
        </is>
      </c>
      <c r="M73" s="16" t="inlineStr">
        <is>
          <t>Request submitted / Request unsuccessful / Authorisation failed / Processing / Completed (per feature)</t>
        </is>
      </c>
      <c r="N73" s="16" t="inlineStr">
        <is>
          <t>Acct Dashboard Financing!A24:H24</t>
        </is>
      </c>
      <c r="O73" s="16" t="inlineStr">
        <is>
          <t>Not Run</t>
        </is>
      </c>
      <c r="P73" s="16" t="n"/>
      <c r="Q73" s="16" t="n"/>
      <c r="R73" s="17" t="inlineStr">
        <is>
          <t>Conditional coverage required.</t>
        </is>
      </c>
      <c r="S73" s="19" t="inlineStr">
        <is>
          <t>Credit Card API Design</t>
        </is>
      </c>
      <c r="T73" s="19" t="inlineStr">
        <is>
          <t>Credit card activation + set card pin</t>
        </is>
      </c>
      <c r="U73" s="19" t="inlineStr">
        <is>
          <t>POST</t>
        </is>
      </c>
      <c r="V73" s="19" t="inlineStr">
        <is>
          <t>/v1/external/credit-card/activate</t>
        </is>
      </c>
      <c r="W73" s="19" t="inlineStr">
        <is>
          <t>dep-card</t>
        </is>
      </c>
      <c r="X73" s="19" t="inlineStr">
        <is>
          <t>ECLIPSE_Account Dashboard_Credit_Card_DDD_API_Design_v1_Workshop.xlsx</t>
        </is>
      </c>
      <c r="Y73" s="19" t="inlineStr">
        <is>
          <t>2.1.3 CC Activation</t>
        </is>
      </c>
      <c r="Z73" s="19" t="inlineStr">
        <is>
          <t>API_Specs_Index!A6:H6</t>
        </is>
      </c>
      <c r="AA73" s="22" t="inlineStr">
        <is>
          <t>API-003</t>
        </is>
      </c>
      <c r="AB73" s="19" t="inlineStr">
        <is>
          <t>Mapped to Credit card activation + set card pin because the test case terms align with the 2.1.3 CC Activation journey in the applicable API specification.</t>
        </is>
      </c>
      <c r="AC73" s="19" t="inlineStr">
        <is>
          <t>High</t>
        </is>
      </c>
      <c r="AD73" s="19" t="inlineStr">
        <is>
          <t>1 User tap "Activate Now" Credit Card Activation Rule a. Upon tapping on [Activate now] button, system to perform the following checking: - Validate card type using Visa or Mastercard or JCB by BIN whether allows to activate the credit card i. All...; User tap [✓] button Upon click [✓] button, system to perform the following: 1. If any New PIN box is empty, display snackbar with error message "Required field." 2. If any Confirm PIN box is empty, display snackbar with error message "Required fie...</t>
        </is>
      </c>
    </row>
    <row r="74" ht="386.4" customHeight="1" s="2">
      <c r="A74" s="12" t="inlineStr">
        <is>
          <t>TC-B1-0073</t>
        </is>
      </c>
      <c r="B74" s="13" t="inlineStr">
        <is>
          <t>TS-B1-053</t>
        </is>
      </c>
      <c r="C74" s="13" t="inlineStr">
        <is>
          <t>Acct Dashboard Financing</t>
        </is>
      </c>
      <c r="D74" s="13" t="inlineStr">
        <is>
          <t>Dashboard - Credit Card / Card Management</t>
        </is>
      </c>
      <c r="E74" s="13" t="inlineStr">
        <is>
          <t>Validate 2.2 CC &gt; Transactions for Credit Card (Visa/Mastercard)</t>
        </is>
      </c>
      <c r="F74" s="13" t="inlineStr">
        <is>
          <t>Functional</t>
        </is>
      </c>
      <c r="G74" s="13" t="inlineStr">
        <is>
          <t>Medium</t>
        </is>
      </c>
      <c r="H74" s="13" t="inlineStr">
        <is>
          <t>Eligible user and product are available. User has reached the preceding journey step.</t>
        </is>
      </c>
      <c r="I74" s="13" t="inlineStr">
        <is>
          <t>Credit Card (Visa/Mastercard)</t>
        </is>
      </c>
      <c r="J74" s="13" t="inlineStr">
        <is>
          <t>1. Open Credit Card (Visa/Mastercard).
2. Navigate to 2.2 CC &gt; Transactions.
3. Perform the action or trigger described by: Step 17.
4. Observe the page, validation, navigation, and resulting state.</t>
        </is>
      </c>
      <c r="K74" s="13" t="inlineStr">
        <is>
          <t>2.2 CC &gt; Transactions behaves according to the mapped requirement (Step 17); data, controls, navigation, and status are accurate and consistent.</t>
        </is>
      </c>
      <c r="L74" s="13" t="inlineStr">
        <is>
          <t>A&amp;A - refer to Authentication &amp; Authorisation FSD</t>
        </is>
      </c>
      <c r="M74" s="13" t="inlineStr">
        <is>
          <t>Request submitted / Request unsuccessful / Authorisation failed / Processing / Completed (per feature)</t>
        </is>
      </c>
      <c r="N74" s="13" t="inlineStr">
        <is>
          <t>Acct Dashboard Financing!A26:H26</t>
        </is>
      </c>
      <c r="O74" s="13" t="inlineStr">
        <is>
          <t>Not Run</t>
        </is>
      </c>
      <c r="P74" s="13" t="n"/>
      <c r="Q74" s="13" t="n"/>
      <c r="R74" s="14" t="n"/>
      <c r="S74" s="19" t="inlineStr">
        <is>
          <t>Credit Card API Design</t>
        </is>
      </c>
      <c r="T74" s="19" t="inlineStr">
        <is>
          <t>Credit card transaction history</t>
        </is>
      </c>
      <c r="U74" s="19" t="inlineStr">
        <is>
          <t>GET</t>
        </is>
      </c>
      <c r="V74" s="19" t="inlineStr">
        <is>
          <t>/v1/external/accounts/account-type/{accountType}/account-id/{accountId}/transactions?startDate={startDate}&amp;endDate={endDate}&amp;page={page}&amp;limit={limit}</t>
        </is>
      </c>
      <c r="W74" s="19" t="inlineStr">
        <is>
          <t>info-card</t>
        </is>
      </c>
      <c r="X74" s="19" t="inlineStr">
        <is>
          <t>ECLIPSE_Account Dashboard_Credit_Card_DDD_API_Design_v1_Workshop.xlsx</t>
        </is>
      </c>
      <c r="Y74" s="19" t="inlineStr">
        <is>
          <t>2.2 CC &gt; Transactions</t>
        </is>
      </c>
      <c r="Z74" s="19" t="inlineStr">
        <is>
          <t>API_Specs_Index!A7:H7</t>
        </is>
      </c>
      <c r="AA74" s="22" t="inlineStr">
        <is>
          <t>API-004</t>
        </is>
      </c>
      <c r="AB74" s="19" t="inlineStr">
        <is>
          <t>Mapped to Credit card transaction history because the test case terms align with the 2.2 CC &gt; Transactions journey in the applicable API specification.</t>
        </is>
      </c>
      <c r="AC74" s="19" t="inlineStr">
        <is>
          <t>High</t>
        </is>
      </c>
      <c r="AD74" s="19" t="inlineStr">
        <is>
          <t>No Screen User Action Business Logic API Name Microservice Ownership Method Endpoint Request JSON Success Response JSON Failed Response JSON ESB Eclipse DB Source BE Validation; 1 User tap one of the card from "Cards" Dashboard When the screen is loaded, 1. It shall conduct block code check to show yellow label accordingly (e.g blocked, temporarily blocked) 2. It shall display Principal card by default and if there is any...</t>
        </is>
      </c>
    </row>
    <row r="75" ht="409.6" customHeight="1" s="2">
      <c r="A75" s="15" t="inlineStr">
        <is>
          <t>TC-B1-0074</t>
        </is>
      </c>
      <c r="B75" s="16" t="inlineStr">
        <is>
          <t>TS-B1-054</t>
        </is>
      </c>
      <c r="C75" s="16" t="inlineStr">
        <is>
          <t>Acct Dashboard Financing</t>
        </is>
      </c>
      <c r="D75" s="16" t="inlineStr">
        <is>
          <t>Dashboard - Credit Card / Card Management</t>
        </is>
      </c>
      <c r="E75" s="16" t="inlineStr">
        <is>
          <t>Validate 2.2.1 CC View All Trans for Credit Card (Visa/Mastercard)</t>
        </is>
      </c>
      <c r="F75" s="16" t="inlineStr">
        <is>
          <t>Functional</t>
        </is>
      </c>
      <c r="G75" s="16" t="inlineStr">
        <is>
          <t>Medium</t>
        </is>
      </c>
      <c r="H75" s="16" t="inlineStr">
        <is>
          <t>Eligible user and product are available. Trigger the stated condition: Optional Step 18 - when View all transactions is selected</t>
        </is>
      </c>
      <c r="I75" s="16" t="inlineStr">
        <is>
          <t>Credit Card (Visa/Mastercard)</t>
        </is>
      </c>
      <c r="J75" s="16" t="inlineStr">
        <is>
          <t>1. Open Credit Card (Visa/Mastercard).
2. Navigate to 2.2.1 CC View All Trans.
3. Perform the action or trigger described by: Optional Step 18 - when View all transactions is selected.
4. Observe the page, validation, navigation, and resulting state.</t>
        </is>
      </c>
      <c r="K75" s="16" t="inlineStr">
        <is>
          <t>2.2.1 CC View All Trans behaves according to the mapped requirement (Optional Step 18 - when View all transactions is selected); data, controls, navigation, and status are accurate and consistent.</t>
        </is>
      </c>
      <c r="L75" s="16" t="inlineStr">
        <is>
          <t>A&amp;A - refer to Authentication &amp; Authorisation FSD</t>
        </is>
      </c>
      <c r="M75" s="16" t="inlineStr">
        <is>
          <t>Request submitted / Request unsuccessful / Authorisation failed / Processing / Completed (per feature)</t>
        </is>
      </c>
      <c r="N75" s="16" t="inlineStr">
        <is>
          <t>Acct Dashboard Financing!A27:H27</t>
        </is>
      </c>
      <c r="O75" s="16" t="inlineStr">
        <is>
          <t>Not Run</t>
        </is>
      </c>
      <c r="P75" s="16" t="n"/>
      <c r="Q75" s="16" t="n"/>
      <c r="R75" s="17" t="inlineStr">
        <is>
          <t>Conditional coverage required.</t>
        </is>
      </c>
      <c r="S75" s="19" t="inlineStr">
        <is>
          <t>Credit Card API Design</t>
        </is>
      </c>
      <c r="T75" s="19" t="inlineStr">
        <is>
          <t>Credit card view all transaction history</t>
        </is>
      </c>
      <c r="U75" s="19" t="inlineStr">
        <is>
          <t>GET</t>
        </is>
      </c>
      <c r="V75" s="19" t="inlineStr">
        <is>
          <t>/v1/external/accounts/account-type/{accountType}/account-id/{accountId}/transactions?startDate={startDate}&amp;endDate={endDate}&amp;page={page}&amp;limit={limit}</t>
        </is>
      </c>
      <c r="W75" s="19" t="inlineStr">
        <is>
          <t>info-card</t>
        </is>
      </c>
      <c r="X75" s="19" t="inlineStr">
        <is>
          <t>ECLIPSE_Account Dashboard_Credit_Card_DDD_API_Design_v1_Workshop.xlsx</t>
        </is>
      </c>
      <c r="Y75" s="19" t="inlineStr">
        <is>
          <t>2.2.1 CC View All Trans</t>
        </is>
      </c>
      <c r="Z75" s="19" t="inlineStr">
        <is>
          <t>API_Specs_Index!A8:H8</t>
        </is>
      </c>
      <c r="AA75" s="22" t="inlineStr">
        <is>
          <t>API-005</t>
        </is>
      </c>
      <c r="AB75" s="19" t="inlineStr">
        <is>
          <t>Mapped to Credit card view all transaction history because the test case terms align with the 2.2.1 CC View All Trans journey in the applicable API specification.</t>
        </is>
      </c>
      <c r="AC75" s="19" t="inlineStr">
        <is>
          <t>High</t>
        </is>
      </c>
      <c r="AD75" s="19" t="inlineStr">
        <is>
          <t>1 User tap "View all transactions" hyperlink General rule a. Transaction listing defaults to YTD+24 months records, loading 20 transactions per batch and fetching the next batch automatically as the user scrolls. b. An ‘End of List’ indicator will...; 2 User key in keyword at Search "View All Transaction with Searching" rule a. The system shall support live search, where results are dynamically filtered and displayed from the loaded data pool as the user types, with pagination in batches of 20 ...; 3 User tap "Filter" -&gt; click "Apply" info-card GET /v1/external/accounts/account-type/{accountType}/account-id/{accountId}/transactions?startDate={startDate}&amp;endDate={endDate}&amp;page={page}&amp;limit={limit} example : /v1/external/accounts/account-type/...; 4 User tap [Export Transaction] 1. Send to email getAccountStatement info-card GET /v1/external/accounts/account-type/{accountType}/account-id/{accountId}/statement?statementType={statementType}&amp;statementFormat={statementFormat} example : /v1/exte...</t>
        </is>
      </c>
    </row>
    <row r="76" ht="409.6" customHeight="1" s="2">
      <c r="A76" s="12" t="inlineStr">
        <is>
          <t>TC-B1-0075</t>
        </is>
      </c>
      <c r="B76" s="13" t="inlineStr">
        <is>
          <t>TS-B1-055</t>
        </is>
      </c>
      <c r="C76" s="13" t="inlineStr">
        <is>
          <t>Acct Dashboard Financing</t>
        </is>
      </c>
      <c r="D76" s="13" t="inlineStr">
        <is>
          <t>Dashboard - Credit Card / Card Management</t>
        </is>
      </c>
      <c r="E76" s="13" t="inlineStr">
        <is>
          <t>Validate 2.2.1.1 Convert TREATS for Credit Card (Visa/Mastercard)</t>
        </is>
      </c>
      <c r="F76" s="13" t="inlineStr">
        <is>
          <t>Functional</t>
        </is>
      </c>
      <c r="G76" s="13" t="inlineStr">
        <is>
          <t>Medium</t>
        </is>
      </c>
      <c r="H76" s="13" t="inlineStr">
        <is>
          <t>Eligible user and product are available. Trigger the stated condition: Conditional Step 19 - Refer to Rewards FSD</t>
        </is>
      </c>
      <c r="I76" s="13" t="inlineStr">
        <is>
          <t>Credit Card (Visa/Mastercard)</t>
        </is>
      </c>
      <c r="J76" s="13" t="inlineStr">
        <is>
          <t>1. Open Credit Card (Visa/Mastercard).
2. Navigate to 2.2.1.1 Convert TREATS.
3. Perform the action or trigger described by: Conditional Step 19 - Refer to Rewards FSD.
4. Observe the page, validation, navigation, and resulting state.</t>
        </is>
      </c>
      <c r="K76" s="13" t="inlineStr">
        <is>
          <t>2.2.1.1 Convert TREATS behaves according to the mapped requirement (Conditional Step 19 - Refer to Rewards FSD); data, controls, navigation, and status are accurate and consistent.</t>
        </is>
      </c>
      <c r="L76" s="13" t="inlineStr">
        <is>
          <t>A&amp;A - refer to Authentication &amp; Authorisation FSD</t>
        </is>
      </c>
      <c r="M76" s="13" t="inlineStr">
        <is>
          <t>Request submitted / Request unsuccessful / Authorisation failed / Processing / Completed (per feature)</t>
        </is>
      </c>
      <c r="N76" s="13" t="inlineStr">
        <is>
          <t>Acct Dashboard Financing!A28:H28</t>
        </is>
      </c>
      <c r="O76" s="13" t="inlineStr">
        <is>
          <t>Not Run</t>
        </is>
      </c>
      <c r="P76" s="13" t="n"/>
      <c r="Q76" s="13" t="n"/>
      <c r="R76" s="14" t="inlineStr">
        <is>
          <t>Conditional coverage required.</t>
        </is>
      </c>
      <c r="S76" s="19" t="inlineStr">
        <is>
          <t>Credit Card API Design</t>
        </is>
      </c>
      <c r="T76" s="19" t="inlineStr">
        <is>
          <t>Cards dashboard</t>
        </is>
      </c>
      <c r="U76" s="19" t="inlineStr">
        <is>
          <t>GET</t>
        </is>
      </c>
      <c r="V76" s="19" t="inlineStr">
        <is>
          <t>/v1/external/accounts?accountGroup={accountGroup}</t>
        </is>
      </c>
      <c r="W76" s="19" t="inlineStr">
        <is>
          <t>dep-dashboard</t>
        </is>
      </c>
      <c r="X76" s="19" t="inlineStr">
        <is>
          <t>ECLIPSE_Account Dashboard_Credit_Card_DDD_API_Design_v1_Workshop.xlsx</t>
        </is>
      </c>
      <c r="Y76" s="19" t="inlineStr">
        <is>
          <t>2.1 CC Dashboard - Landing</t>
        </is>
      </c>
      <c r="Z76" s="19" t="inlineStr">
        <is>
          <t>API_Specs_Index!A2:H2</t>
        </is>
      </c>
      <c r="AA76" s="22" t="inlineStr">
        <is>
          <t>API-001</t>
        </is>
      </c>
      <c r="AB76" s="19" t="inlineStr">
        <is>
          <t>Mapped to Cards dashboard because the test case terms align with the 2.1 CC Dashboard - Landing journey in the applicable API specification.</t>
        </is>
      </c>
      <c r="AC76" s="19" t="inlineStr">
        <is>
          <t>Medium</t>
        </is>
      </c>
      <c r="AD76" s="19" t="inlineStr">
        <is>
          <t>1 User tap "Cards" and screen is loaded N/A dep-dashboard GET /v1/external/accounts?accountGroup={accountGroup} example : /v1/external/accounts?accountGroup=CARD { "status": 200, "message": "Request processed successfully", "timestamp": "2026-01-1...</t>
        </is>
      </c>
    </row>
    <row r="77" ht="409.6" customHeight="1" s="2">
      <c r="A77" s="15" t="inlineStr">
        <is>
          <t>TC-B1-0076</t>
        </is>
      </c>
      <c r="B77" s="16" t="inlineStr">
        <is>
          <t>TS-B1-056</t>
        </is>
      </c>
      <c r="C77" s="16" t="inlineStr">
        <is>
          <t>Acct Dashboard Financing</t>
        </is>
      </c>
      <c r="D77" s="16" t="inlineStr">
        <is>
          <t>Dashboard - Credit Card / Card Management</t>
        </is>
      </c>
      <c r="E77" s="16" t="inlineStr">
        <is>
          <t>Validate 2.2.1.2 View Receipts for Credit Card (Visa/Mastercard)</t>
        </is>
      </c>
      <c r="F77" s="16" t="inlineStr">
        <is>
          <t>Functional</t>
        </is>
      </c>
      <c r="G77" s="16" t="inlineStr">
        <is>
          <t>Medium</t>
        </is>
      </c>
      <c r="H77" s="16" t="inlineStr">
        <is>
          <t>Eligible user and product are available. Trigger the stated condition: Conditional Step 20 - when receipt-eligible transaction is selected</t>
        </is>
      </c>
      <c r="I77" s="16" t="inlineStr">
        <is>
          <t>Credit Card (Visa/Mastercard)</t>
        </is>
      </c>
      <c r="J77" s="16" t="inlineStr">
        <is>
          <t>1. Open Credit Card (Visa/Mastercard).
2. Navigate to 2.2.1.2 View Receipts.
3. Perform the action or trigger described by: Conditional Step 20 - when receipt-eligible transaction is selected.
4. Observe the page, validation, navigation, and resulting state.</t>
        </is>
      </c>
      <c r="K77" s="16" t="inlineStr">
        <is>
          <t>2.2.1.2 View Receipts behaves according to the mapped requirement (Conditional Step 20 - when receipt-eligible transaction is selected); data, controls, navigation, and status are accurate and consistent.</t>
        </is>
      </c>
      <c r="L77" s="16" t="inlineStr">
        <is>
          <t>A&amp;A - refer to Authentication &amp; Authorisation FSD</t>
        </is>
      </c>
      <c r="M77" s="16" t="inlineStr">
        <is>
          <t>Request submitted / Request unsuccessful / Authorisation failed / Processing / Completed (per feature)</t>
        </is>
      </c>
      <c r="N77" s="16" t="inlineStr">
        <is>
          <t>Acct Dashboard Financing!A29:H29</t>
        </is>
      </c>
      <c r="O77" s="16" t="inlineStr">
        <is>
          <t>Not Run</t>
        </is>
      </c>
      <c r="P77" s="16" t="n"/>
      <c r="Q77" s="16" t="n"/>
      <c r="R77" s="17" t="inlineStr">
        <is>
          <t>Conditional coverage required.</t>
        </is>
      </c>
      <c r="S77" s="19" t="inlineStr">
        <is>
          <t>Credit Card API Design</t>
        </is>
      </c>
      <c r="T77" s="19" t="inlineStr">
        <is>
          <t>Credit card view all transaction history</t>
        </is>
      </c>
      <c r="U77" s="19" t="inlineStr">
        <is>
          <t>GET</t>
        </is>
      </c>
      <c r="V77" s="19" t="inlineStr">
        <is>
          <t>/v1/external/accounts/account-type/{accountType}/account-id/{accountId}/transactions?startDate={startDate}&amp;endDate={endDate}&amp;page={page}&amp;limit={limit}</t>
        </is>
      </c>
      <c r="W77" s="19" t="inlineStr">
        <is>
          <t>info-card</t>
        </is>
      </c>
      <c r="X77" s="19" t="inlineStr">
        <is>
          <t>ECLIPSE_Account Dashboard_Credit_Card_DDD_API_Design_v1_Workshop.xlsx</t>
        </is>
      </c>
      <c r="Y77" s="19" t="inlineStr">
        <is>
          <t>2.2.1 CC View All Trans</t>
        </is>
      </c>
      <c r="Z77" s="19" t="inlineStr">
        <is>
          <t>API_Specs_Index!A8:H8</t>
        </is>
      </c>
      <c r="AA77" s="22" t="inlineStr">
        <is>
          <t>API-005</t>
        </is>
      </c>
      <c r="AB77" s="19" t="inlineStr">
        <is>
          <t>Mapped to Credit card view all transaction history because the test case terms align with the 2.2.1 CC View All Trans journey in the applicable API specification.</t>
        </is>
      </c>
      <c r="AC77" s="19" t="inlineStr">
        <is>
          <t>High</t>
        </is>
      </c>
      <c r="AD77" s="19" t="inlineStr">
        <is>
          <t>1 User tap "View all transactions" hyperlink General rule a. Transaction listing defaults to YTD+24 months records, loading 20 transactions per batch and fetching the next batch automatically as the user scrolls. b. An ‘End of List’ indicator will...; 2 User key in keyword at Search "View All Transaction with Searching" rule a. The system shall support live search, where results are dynamically filtered and displayed from the loaded data pool as the user types, with pagination in batches of 20 ...; 3 User tap "Filter" -&gt; click "Apply" info-card GET /v1/external/accounts/account-type/{accountType}/account-id/{accountId}/transactions?startDate={startDate}&amp;endDate={endDate}&amp;page={page}&amp;limit={limit} example : /v1/external/accounts/account-type/...; 4 User tap [Export Transaction] 1. Send to email getAccountStatement info-card GET /v1/external/accounts/account-type/{accountType}/account-id/{accountId}/statement?statementType={statementType}&amp;statementFormat={statementFormat} example : /v1/exte...</t>
        </is>
      </c>
    </row>
    <row r="78" ht="409.6" customHeight="1" s="2">
      <c r="A78" s="12" t="inlineStr">
        <is>
          <t>TC-B1-0077</t>
        </is>
      </c>
      <c r="B78" s="13" t="inlineStr">
        <is>
          <t>TS-B1-057</t>
        </is>
      </c>
      <c r="C78" s="13" t="inlineStr">
        <is>
          <t>Acct Dashboard Financing</t>
        </is>
      </c>
      <c r="D78" s="13" t="inlineStr">
        <is>
          <t>Dashboard - Credit Card / Card Management</t>
        </is>
      </c>
      <c r="E78" s="13" t="inlineStr">
        <is>
          <t>Validate 2.2.1.3 Card Statement for Credit Card (Visa/Mastercard)</t>
        </is>
      </c>
      <c r="F78" s="13" t="inlineStr">
        <is>
          <t>Functional</t>
        </is>
      </c>
      <c r="G78" s="13" t="inlineStr">
        <is>
          <t>Medium</t>
        </is>
      </c>
      <c r="H78" s="13" t="inlineStr">
        <is>
          <t>Eligible user and product are available. Trigger the stated condition: Conditional Step 21 - Needs PO/BA clarification (JIRA TBC; integration "?")</t>
        </is>
      </c>
      <c r="I78" s="13" t="inlineStr">
        <is>
          <t>Credit Card (Visa/Mastercard)</t>
        </is>
      </c>
      <c r="J78" s="13" t="inlineStr">
        <is>
          <t>1. Open Credit Card (Visa/Mastercard).
2. Navigate to 2.2.1.3 Card Statement.
3. Perform the action or trigger described by: Conditional Step 21 - Needs PO/BA clarification (JIRA TBC; integration "?").
4. Observe the page, validation, navigation, and resulting state.</t>
        </is>
      </c>
      <c r="K78" s="13" t="inlineStr">
        <is>
          <t>2.2.1.3 Card Statement behaves according to the mapped requirement (Conditional Step 21 - Needs PO/BA clarification (JIRA TBC; integration "?")); data, controls, navigation, and status are accurate and consistent.</t>
        </is>
      </c>
      <c r="L78" s="13" t="inlineStr">
        <is>
          <t>A&amp;A - refer to Authentication &amp; Authorisation FSD</t>
        </is>
      </c>
      <c r="M78" s="13" t="inlineStr">
        <is>
          <t>Request submitted / Request unsuccessful / Authorisation failed / Processing / Completed (per feature)</t>
        </is>
      </c>
      <c r="N78" s="13" t="inlineStr">
        <is>
          <t>Acct Dashboard Financing!A30:H30</t>
        </is>
      </c>
      <c r="O78" s="13" t="inlineStr">
        <is>
          <t>Not Run</t>
        </is>
      </c>
      <c r="P78" s="13" t="n"/>
      <c r="Q78" s="13" t="n"/>
      <c r="R78" s="14" t="inlineStr">
        <is>
          <t>Conditional coverage required.</t>
        </is>
      </c>
      <c r="S78" s="19" t="inlineStr">
        <is>
          <t>Credit Card API Design</t>
        </is>
      </c>
      <c r="T78" s="19" t="inlineStr">
        <is>
          <t>Cards dashboard</t>
        </is>
      </c>
      <c r="U78" s="19" t="inlineStr">
        <is>
          <t>GET</t>
        </is>
      </c>
      <c r="V78" s="19" t="inlineStr">
        <is>
          <t>/v1/external/accounts?accountGroup={accountGroup}</t>
        </is>
      </c>
      <c r="W78" s="19" t="inlineStr">
        <is>
          <t>dep-dashboard</t>
        </is>
      </c>
      <c r="X78" s="19" t="inlineStr">
        <is>
          <t>ECLIPSE_Account Dashboard_Credit_Card_DDD_API_Design_v1_Workshop.xlsx</t>
        </is>
      </c>
      <c r="Y78" s="19" t="inlineStr">
        <is>
          <t>2.1 CC Dashboard - Landing</t>
        </is>
      </c>
      <c r="Z78" s="19" t="inlineStr">
        <is>
          <t>API_Specs_Index!A2:H2</t>
        </is>
      </c>
      <c r="AA78" s="22" t="inlineStr">
        <is>
          <t>API-001</t>
        </is>
      </c>
      <c r="AB78" s="19" t="inlineStr">
        <is>
          <t>Mapped to Cards dashboard because the test case terms align with the 2.1 CC Dashboard - Landing journey in the applicable API specification.</t>
        </is>
      </c>
      <c r="AC78" s="19" t="inlineStr">
        <is>
          <t>Medium</t>
        </is>
      </c>
      <c r="AD78" s="19" t="inlineStr">
        <is>
          <t>1 User tap "Cards" and screen is loaded N/A dep-dashboard GET /v1/external/accounts?accountGroup={accountGroup} example : /v1/external/accounts?accountGroup=CARD { "status": 200, "message": "Request processed successfully", "timestamp": "2026-01-1...</t>
        </is>
      </c>
    </row>
    <row r="79" ht="386.4" customHeight="1" s="2">
      <c r="A79" s="15" t="inlineStr">
        <is>
          <t>TC-B1-0078</t>
        </is>
      </c>
      <c r="B79" s="16" t="inlineStr">
        <is>
          <t>TS-B1-058</t>
        </is>
      </c>
      <c r="C79" s="16" t="inlineStr">
        <is>
          <t>Acct Dashboard Financing</t>
        </is>
      </c>
      <c r="D79" s="16" t="inlineStr">
        <is>
          <t>Dashboard - Credit Card / Card Management</t>
        </is>
      </c>
      <c r="E79" s="16" t="inlineStr">
        <is>
          <t>Validate 2.3 CC &gt; Summary for Credit Card (Visa/Mastercard)</t>
        </is>
      </c>
      <c r="F79" s="16" t="inlineStr">
        <is>
          <t>UI / Functional</t>
        </is>
      </c>
      <c r="G79" s="16" t="inlineStr">
        <is>
          <t>Medium</t>
        </is>
      </c>
      <c r="H79" s="16" t="inlineStr">
        <is>
          <t>Eligible user and product are available. User has reached the preceding journey step.</t>
        </is>
      </c>
      <c r="I79" s="16" t="inlineStr">
        <is>
          <t>Credit Card (Visa/Mastercard)</t>
        </is>
      </c>
      <c r="J79" s="16" t="inlineStr">
        <is>
          <t>1. Open Credit Card (Visa/Mastercard).
2. Navigate to 2.3 CC &gt; Summary.
3. Perform the action or trigger described by: Step 22.
4. Observe the page, validation, navigation, and resulting state.</t>
        </is>
      </c>
      <c r="K79" s="16" t="inlineStr">
        <is>
          <t>2.3 CC &gt; Summary behaves according to the mapped requirement (Step 22); data, controls, navigation, and status are accurate and consistent.</t>
        </is>
      </c>
      <c r="L79" s="16" t="inlineStr">
        <is>
          <t>A&amp;A - refer to Authentication &amp; Authorisation FSD</t>
        </is>
      </c>
      <c r="M79" s="16" t="inlineStr">
        <is>
          <t>Request submitted / Request unsuccessful / Authorisation failed / Processing / Completed (per feature)</t>
        </is>
      </c>
      <c r="N79" s="16" t="inlineStr">
        <is>
          <t>Acct Dashboard Financing!A31:H31</t>
        </is>
      </c>
      <c r="O79" s="16" t="inlineStr">
        <is>
          <t>Not Run</t>
        </is>
      </c>
      <c r="P79" s="16" t="n"/>
      <c r="Q79" s="16" t="n"/>
      <c r="R79" s="17" t="n"/>
      <c r="S79" s="19" t="inlineStr">
        <is>
          <t>Credit Card API Design</t>
        </is>
      </c>
      <c r="T79" s="19" t="inlineStr">
        <is>
          <t>Credit card detail</t>
        </is>
      </c>
      <c r="U79" s="19" t="inlineStr">
        <is>
          <t>GET</t>
        </is>
      </c>
      <c r="V79" s="19" t="inlineStr">
        <is>
          <t>/v1/external/accounts/account-type/{accountType}/account-id/{accountId}/detail</t>
        </is>
      </c>
      <c r="W79" s="19" t="inlineStr">
        <is>
          <t>info-card</t>
        </is>
      </c>
      <c r="X79" s="19" t="inlineStr">
        <is>
          <t>ECLIPSE_Account Dashboard_Credit_Card_DDD_API_Design_v1_Workshop.xlsx</t>
        </is>
      </c>
      <c r="Y79" s="19" t="inlineStr">
        <is>
          <t>2.3 CC &gt; Summary</t>
        </is>
      </c>
      <c r="Z79" s="19" t="inlineStr">
        <is>
          <t>API_Specs_Index!A15:H15</t>
        </is>
      </c>
      <c r="AA79" s="22" t="inlineStr">
        <is>
          <t>API-002</t>
        </is>
      </c>
      <c r="AB79" s="19" t="inlineStr">
        <is>
          <t>Mapped to Credit card detail because the test case terms align with the 2.3 CC &gt; Summary journey in the applicable API specification.</t>
        </is>
      </c>
      <c r="AC79" s="19" t="inlineStr">
        <is>
          <t>High</t>
        </is>
      </c>
      <c r="AD79" s="19" t="inlineStr">
        <is>
          <t>1 User tap one of the account at "Cards" tab info-card GET /v1/external/accounts/account-type/{accountType}/account-id/{accountId}/detail example : /v1/external/accounts/account-type/CC/account-id/2223553213221142/detail { "status": 200, "message"...</t>
        </is>
      </c>
    </row>
    <row r="80" ht="372.6" customHeight="1" s="2">
      <c r="A80" s="12" t="inlineStr">
        <is>
          <t>TC-B1-0079</t>
        </is>
      </c>
      <c r="B80" s="13" t="inlineStr">
        <is>
          <t>TS-B1-059</t>
        </is>
      </c>
      <c r="C80" s="13" t="inlineStr">
        <is>
          <t>Acct Dashboard Financing</t>
        </is>
      </c>
      <c r="D80" s="13" t="inlineStr">
        <is>
          <t>Dashboard - Credit Card / Card Management</t>
        </is>
      </c>
      <c r="E80" s="13" t="inlineStr">
        <is>
          <t>Validate 2.4 CC &gt; Manage for Credit Card (Visa/Mastercard)</t>
        </is>
      </c>
      <c r="F80" s="13" t="inlineStr">
        <is>
          <t>Functional</t>
        </is>
      </c>
      <c r="G80" s="13" t="inlineStr">
        <is>
          <t>Medium</t>
        </is>
      </c>
      <c r="H80" s="13" t="inlineStr">
        <is>
          <t>Eligible user and product are available. User has reached the preceding journey step.</t>
        </is>
      </c>
      <c r="I80" s="13" t="inlineStr">
        <is>
          <t>Credit Card (Visa/Mastercard)</t>
        </is>
      </c>
      <c r="J80" s="13" t="inlineStr">
        <is>
          <t>1. Open Credit Card (Visa/Mastercard).
2. Navigate to 2.4 CC &gt; Manage.
3. Perform the action or trigger described by: Step 23.
4. Observe the page, validation, navigation, and resulting state.</t>
        </is>
      </c>
      <c r="K80" s="13" t="inlineStr">
        <is>
          <t>2.4 CC &gt; Manage behaves according to the mapped requirement (Step 23); data, controls, navigation, and status are accurate and consistent.</t>
        </is>
      </c>
      <c r="L80" s="13" t="inlineStr">
        <is>
          <t>A&amp;A - refer to Authentication &amp; Authorisation FSD</t>
        </is>
      </c>
      <c r="M80" s="13" t="inlineStr">
        <is>
          <t>Request submitted / Request unsuccessful / Authorisation failed / Processing / Completed (per feature)</t>
        </is>
      </c>
      <c r="N80" s="13" t="inlineStr">
        <is>
          <t>Acct Dashboard Financing!A32:H32</t>
        </is>
      </c>
      <c r="O80" s="13" t="inlineStr">
        <is>
          <t>Not Run</t>
        </is>
      </c>
      <c r="P80" s="13" t="n"/>
      <c r="Q80" s="13" t="n"/>
      <c r="R80" s="14" t="n"/>
      <c r="S80" s="19" t="inlineStr">
        <is>
          <t>Credit Card API Design</t>
        </is>
      </c>
      <c r="T80" s="19" t="inlineStr">
        <is>
          <t>Cards dashboard</t>
        </is>
      </c>
      <c r="U80" s="19" t="inlineStr">
        <is>
          <t>GET</t>
        </is>
      </c>
      <c r="V80" s="19" t="inlineStr">
        <is>
          <t>/v1/external/accounts?accountGroup={accountGroup}</t>
        </is>
      </c>
      <c r="W80" s="19" t="inlineStr">
        <is>
          <t>dep-dashboard</t>
        </is>
      </c>
      <c r="X80" s="19" t="inlineStr">
        <is>
          <t>ECLIPSE_Account Dashboard_Credit_Card_DDD_API_Design_v1_Workshop.xlsx</t>
        </is>
      </c>
      <c r="Y80" s="19" t="inlineStr">
        <is>
          <t>2.1 CC Dashboard - Landing</t>
        </is>
      </c>
      <c r="Z80" s="19" t="inlineStr">
        <is>
          <t>API_Specs_Index!A2:H2</t>
        </is>
      </c>
      <c r="AA80" s="22" t="inlineStr">
        <is>
          <t>API-001</t>
        </is>
      </c>
      <c r="AB80" s="19" t="inlineStr">
        <is>
          <t>Mapped to Cards dashboard because the test case terms align with the 2.1 CC Dashboard - Landing journey in the applicable API specification.</t>
        </is>
      </c>
      <c r="AC80" s="19" t="inlineStr">
        <is>
          <t>Medium</t>
        </is>
      </c>
      <c r="AD80" s="19" t="inlineStr">
        <is>
          <t>1 User tap "Cards" and screen is loaded N/A dep-dashboard GET /v1/external/accounts?accountGroup={accountGroup} example : /v1/external/accounts?accountGroup=CARD { "status": 200, "message": "Request processed successfully", "timestamp": "2026-01-1...</t>
        </is>
      </c>
    </row>
    <row r="81" ht="409.6" customHeight="1" s="2">
      <c r="A81" s="15" t="inlineStr">
        <is>
          <t>TC-B1-0080</t>
        </is>
      </c>
      <c r="B81" s="16" t="inlineStr">
        <is>
          <t>TS-B1-060</t>
        </is>
      </c>
      <c r="C81" s="16" t="inlineStr">
        <is>
          <t>Acct Dashboard Financing</t>
        </is>
      </c>
      <c r="D81" s="16" t="inlineStr">
        <is>
          <t>Dashboard - Credit Card / Card Management</t>
        </is>
      </c>
      <c r="E81" s="16" t="inlineStr">
        <is>
          <t>Validate 2.4.1 XCash for Credit Card (Visa/Mastercard)</t>
        </is>
      </c>
      <c r="F81" s="16" t="inlineStr">
        <is>
          <t>Functional</t>
        </is>
      </c>
      <c r="G81" s="16" t="inlineStr">
        <is>
          <t>Medium</t>
        </is>
      </c>
      <c r="H81" s="16" t="inlineStr">
        <is>
          <t>Eligible user and product are available. Trigger the stated condition: Conditional Step 24 - if XCash eligible and enabled</t>
        </is>
      </c>
      <c r="I81" s="16" t="inlineStr">
        <is>
          <t>Credit Card (Visa/Mastercard)</t>
        </is>
      </c>
      <c r="J81" s="16" t="inlineStr">
        <is>
          <t>1. Open Credit Card (Visa/Mastercard).
2. Navigate to 2.4.1 XCash.
3. Perform the action or trigger described by: Conditional Step 24 - if XCash eligible and enabled.
4. Observe the page, validation, navigation, and resulting state.</t>
        </is>
      </c>
      <c r="K81" s="16" t="inlineStr">
        <is>
          <t>2.4.1 XCash behaves according to the mapped requirement (Conditional Step 24 - if XCash eligible and enabled); data, controls, navigation, and status are accurate and consistent.</t>
        </is>
      </c>
      <c r="L81" s="16" t="inlineStr">
        <is>
          <t>A&amp;A - refer to Authentication &amp; Authorisation FSD</t>
        </is>
      </c>
      <c r="M81" s="16" t="inlineStr">
        <is>
          <t>Request submitted / Request unsuccessful / Authorisation failed / Processing / Completed (per feature)</t>
        </is>
      </c>
      <c r="N81" s="16" t="inlineStr">
        <is>
          <t>Acct Dashboard Financing!A33:H33</t>
        </is>
      </c>
      <c r="O81" s="16" t="inlineStr">
        <is>
          <t>Not Run</t>
        </is>
      </c>
      <c r="P81" s="16" t="n"/>
      <c r="Q81" s="16" t="n"/>
      <c r="R81" s="17" t="inlineStr">
        <is>
          <t>Conditional coverage required.</t>
        </is>
      </c>
      <c r="S81" s="19" t="inlineStr">
        <is>
          <t>Credit Card API Design</t>
        </is>
      </c>
      <c r="T81" s="19" t="inlineStr">
        <is>
          <t>Cards dashboard</t>
        </is>
      </c>
      <c r="U81" s="19" t="inlineStr">
        <is>
          <t>GET</t>
        </is>
      </c>
      <c r="V81" s="19" t="inlineStr">
        <is>
          <t>/v1/external/accounts?accountGroup={accountGroup}</t>
        </is>
      </c>
      <c r="W81" s="19" t="inlineStr">
        <is>
          <t>dep-dashboard</t>
        </is>
      </c>
      <c r="X81" s="19" t="inlineStr">
        <is>
          <t>ECLIPSE_Account Dashboard_Credit_Card_DDD_API_Design_v1_Workshop.xlsx</t>
        </is>
      </c>
      <c r="Y81" s="19" t="inlineStr">
        <is>
          <t>2.1 CC Dashboard - Landing</t>
        </is>
      </c>
      <c r="Z81" s="19" t="inlineStr">
        <is>
          <t>API_Specs_Index!A2:H2</t>
        </is>
      </c>
      <c r="AA81" s="22" t="inlineStr">
        <is>
          <t>API-001</t>
        </is>
      </c>
      <c r="AB81" s="19" t="inlineStr">
        <is>
          <t>Mapped to Cards dashboard because the test case terms align with the 2.1 CC Dashboard - Landing journey in the applicable API specification.</t>
        </is>
      </c>
      <c r="AC81" s="19" t="inlineStr">
        <is>
          <t>Medium</t>
        </is>
      </c>
      <c r="AD81" s="19" t="inlineStr">
        <is>
          <t>1 User tap "Cards" and screen is loaded N/A dep-dashboard GET /v1/external/accounts?accountGroup={accountGroup} example : /v1/external/accounts?accountGroup=CARD { "status": 200, "message": "Request processed successfully", "timestamp": "2026-01-1...</t>
        </is>
      </c>
    </row>
    <row r="82" ht="409.6" customHeight="1" s="2">
      <c r="A82" s="12" t="inlineStr">
        <is>
          <t>TC-B1-0081</t>
        </is>
      </c>
      <c r="B82" s="13" t="inlineStr">
        <is>
          <t>TS-B1-061</t>
        </is>
      </c>
      <c r="C82" s="13" t="inlineStr">
        <is>
          <t>Acct Dashboard Financing</t>
        </is>
      </c>
      <c r="D82" s="13" t="inlineStr">
        <is>
          <t>Dashboard - Credit Card / Card Management</t>
        </is>
      </c>
      <c r="E82" s="13" t="inlineStr">
        <is>
          <t>Validate 2.4.1.1 XCash Apply Input for Credit Card (Visa/Mastercard)</t>
        </is>
      </c>
      <c r="F82" s="13" t="inlineStr">
        <is>
          <t>Functional</t>
        </is>
      </c>
      <c r="G82" s="13" t="inlineStr">
        <is>
          <t>Medium</t>
        </is>
      </c>
      <c r="H82" s="13" t="inlineStr">
        <is>
          <t>Eligible user and product are available. Trigger the stated condition: Conditional Step 25 - if proceeding with XCash</t>
        </is>
      </c>
      <c r="I82" s="13" t="inlineStr">
        <is>
          <t>Credit Card (Visa/Mastercard)</t>
        </is>
      </c>
      <c r="J82" s="13" t="inlineStr">
        <is>
          <t>1. Open Credit Card (Visa/Mastercard).
2. Navigate to 2.4.1.1 XCash Apply Input.
3. Perform the action or trigger described by: Conditional Step 25 - if proceeding with XCash.
4. Observe the page, validation, navigation, and resulting state.</t>
        </is>
      </c>
      <c r="K82" s="13" t="inlineStr">
        <is>
          <t>2.4.1.1 XCash Apply Input behaves according to the mapped requirement (Conditional Step 25 - if proceeding with XCash); data, controls, navigation, and status are accurate and consistent.</t>
        </is>
      </c>
      <c r="L82" s="13" t="inlineStr">
        <is>
          <t>A&amp;A - refer to Authentication &amp; Authorisation FSD</t>
        </is>
      </c>
      <c r="M82" s="13" t="inlineStr">
        <is>
          <t>Request submitted / Request unsuccessful / Authorisation failed / Processing / Completed (per feature)</t>
        </is>
      </c>
      <c r="N82" s="13" t="inlineStr">
        <is>
          <t>Acct Dashboard Financing!A34:H34</t>
        </is>
      </c>
      <c r="O82" s="13" t="inlineStr">
        <is>
          <t>Not Run</t>
        </is>
      </c>
      <c r="P82" s="13" t="n"/>
      <c r="Q82" s="13" t="n"/>
      <c r="R82" s="14" t="inlineStr">
        <is>
          <t>Conditional coverage required.</t>
        </is>
      </c>
      <c r="S82" s="19" t="inlineStr">
        <is>
          <t>Credit Card API Design</t>
        </is>
      </c>
      <c r="T82" s="19" t="inlineStr">
        <is>
          <t>Cards dashboard</t>
        </is>
      </c>
      <c r="U82" s="19" t="inlineStr">
        <is>
          <t>GET</t>
        </is>
      </c>
      <c r="V82" s="19" t="inlineStr">
        <is>
          <t>/v1/external/accounts?accountGroup={accountGroup}</t>
        </is>
      </c>
      <c r="W82" s="19" t="inlineStr">
        <is>
          <t>dep-dashboard</t>
        </is>
      </c>
      <c r="X82" s="19" t="inlineStr">
        <is>
          <t>ECLIPSE_Account Dashboard_Credit_Card_DDD_API_Design_v1_Workshop.xlsx</t>
        </is>
      </c>
      <c r="Y82" s="19" t="inlineStr">
        <is>
          <t>2.1 CC Dashboard - Landing</t>
        </is>
      </c>
      <c r="Z82" s="19" t="inlineStr">
        <is>
          <t>API_Specs_Index!A2:H2</t>
        </is>
      </c>
      <c r="AA82" s="22" t="inlineStr">
        <is>
          <t>API-001</t>
        </is>
      </c>
      <c r="AB82" s="19" t="inlineStr">
        <is>
          <t>Mapped to Cards dashboard because the test case terms align with the 2.1 CC Dashboard - Landing journey in the applicable API specification.</t>
        </is>
      </c>
      <c r="AC82" s="19" t="inlineStr">
        <is>
          <t>Medium</t>
        </is>
      </c>
      <c r="AD82" s="19" t="inlineStr">
        <is>
          <t>1 User tap "Cards" and screen is loaded N/A dep-dashboard GET /v1/external/accounts?accountGroup={accountGroup} example : /v1/external/accounts?accountGroup=CARD { "status": 200, "message": "Request processed successfully", "timestamp": "2026-01-1...</t>
        </is>
      </c>
    </row>
    <row r="83" ht="409.6" customHeight="1" s="2">
      <c r="A83" s="15" t="inlineStr">
        <is>
          <t>TC-B1-0082</t>
        </is>
      </c>
      <c r="B83" s="16" t="inlineStr">
        <is>
          <t>TS-B1-062</t>
        </is>
      </c>
      <c r="C83" s="16" t="inlineStr">
        <is>
          <t>Acct Dashboard Financing</t>
        </is>
      </c>
      <c r="D83" s="16" t="inlineStr">
        <is>
          <t>Dashboard - Credit Card / Card Management</t>
        </is>
      </c>
      <c r="E83" s="16" t="inlineStr">
        <is>
          <t>Validate 2.4.1.2 XCash Apply Acc for Credit Card (Visa/Mastercard)</t>
        </is>
      </c>
      <c r="F83" s="16" t="inlineStr">
        <is>
          <t>Functional</t>
        </is>
      </c>
      <c r="G83" s="16" t="inlineStr">
        <is>
          <t>Medium</t>
        </is>
      </c>
      <c r="H83" s="16" t="inlineStr">
        <is>
          <t>Eligible user and product are available. Trigger the stated condition: Conditional Step 26 - if proceeding with XCash</t>
        </is>
      </c>
      <c r="I83" s="16" t="inlineStr">
        <is>
          <t>Credit Card (Visa/Mastercard)</t>
        </is>
      </c>
      <c r="J83" s="16" t="inlineStr">
        <is>
          <t>1. Open Credit Card (Visa/Mastercard).
2. Navigate to 2.4.1.2 XCash Apply Acc.
3. Perform the action or trigger described by: Conditional Step 26 - if proceeding with XCash.
4. Observe the page, validation, navigation, and resulting state.</t>
        </is>
      </c>
      <c r="K83" s="16" t="inlineStr">
        <is>
          <t>2.4.1.2 XCash Apply Acc behaves according to the mapped requirement (Conditional Step 26 - if proceeding with XCash); data, controls, navigation, and status are accurate and consistent.</t>
        </is>
      </c>
      <c r="L83" s="16" t="inlineStr">
        <is>
          <t>A&amp;A - refer to Authentication &amp; Authorisation FSD</t>
        </is>
      </c>
      <c r="M83" s="16" t="inlineStr">
        <is>
          <t>Request submitted / Request unsuccessful / Authorisation failed / Processing / Completed (per feature)</t>
        </is>
      </c>
      <c r="N83" s="16" t="inlineStr">
        <is>
          <t>Acct Dashboard Financing!A35:H35</t>
        </is>
      </c>
      <c r="O83" s="16" t="inlineStr">
        <is>
          <t>Not Run</t>
        </is>
      </c>
      <c r="P83" s="16" t="n"/>
      <c r="Q83" s="16" t="n"/>
      <c r="R83" s="17" t="inlineStr">
        <is>
          <t>Conditional coverage required.</t>
        </is>
      </c>
      <c r="S83" s="19" t="inlineStr">
        <is>
          <t>Credit Card API Design</t>
        </is>
      </c>
      <c r="T83" s="19" t="inlineStr">
        <is>
          <t>Cards dashboard</t>
        </is>
      </c>
      <c r="U83" s="19" t="inlineStr">
        <is>
          <t>GET</t>
        </is>
      </c>
      <c r="V83" s="19" t="inlineStr">
        <is>
          <t>/v1/external/accounts?accountGroup={accountGroup}</t>
        </is>
      </c>
      <c r="W83" s="19" t="inlineStr">
        <is>
          <t>dep-dashboard</t>
        </is>
      </c>
      <c r="X83" s="19" t="inlineStr">
        <is>
          <t>ECLIPSE_Account Dashboard_Credit_Card_DDD_API_Design_v1_Workshop.xlsx</t>
        </is>
      </c>
      <c r="Y83" s="19" t="inlineStr">
        <is>
          <t>2.1 CC Dashboard - Landing</t>
        </is>
      </c>
      <c r="Z83" s="19" t="inlineStr">
        <is>
          <t>API_Specs_Index!A2:H2</t>
        </is>
      </c>
      <c r="AA83" s="22" t="inlineStr">
        <is>
          <t>API-001</t>
        </is>
      </c>
      <c r="AB83" s="19" t="inlineStr">
        <is>
          <t>Mapped to Cards dashboard because the test case terms align with the 2.1 CC Dashboard - Landing journey in the applicable API specification.</t>
        </is>
      </c>
      <c r="AC83" s="19" t="inlineStr">
        <is>
          <t>Medium</t>
        </is>
      </c>
      <c r="AD83" s="19" t="inlineStr">
        <is>
          <t>1 User tap "Cards" and screen is loaded N/A dep-dashboard GET /v1/external/accounts?accountGroup={accountGroup} example : /v1/external/accounts?accountGroup=CARD { "status": 200, "message": "Request processed successfully", "timestamp": "2026-01-1...</t>
        </is>
      </c>
    </row>
    <row r="84" ht="409.6" customHeight="1" s="2">
      <c r="A84" s="12" t="inlineStr">
        <is>
          <t>TC-B1-0083</t>
        </is>
      </c>
      <c r="B84" s="13" t="inlineStr">
        <is>
          <t>TS-B1-063</t>
        </is>
      </c>
      <c r="C84" s="13" t="inlineStr">
        <is>
          <t>Acct Dashboard Financing</t>
        </is>
      </c>
      <c r="D84" s="13" t="inlineStr">
        <is>
          <t>Dashboard - Credit Card / Card Management</t>
        </is>
      </c>
      <c r="E84" s="13" t="inlineStr">
        <is>
          <t>Validate 2.4.1.3 XCash Apply TnC for Credit Card (Visa/Mastercard)</t>
        </is>
      </c>
      <c r="F84" s="13" t="inlineStr">
        <is>
          <t>Functional</t>
        </is>
      </c>
      <c r="G84" s="13" t="inlineStr">
        <is>
          <t>Medium</t>
        </is>
      </c>
      <c r="H84" s="13" t="inlineStr">
        <is>
          <t>Eligible user and product are available. Trigger the stated condition: Conditional Step 27 - if proceeding with XCash</t>
        </is>
      </c>
      <c r="I84" s="13" t="inlineStr">
        <is>
          <t>Credit Card (Visa/Mastercard)</t>
        </is>
      </c>
      <c r="J84" s="13" t="inlineStr">
        <is>
          <t>1. Open Credit Card (Visa/Mastercard).
2. Navigate to 2.4.1.3 XCash Apply TnC.
3. Perform the action or trigger described by: Conditional Step 27 - if proceeding with XCash.
4. Observe the page, validation, navigation, and resulting state.</t>
        </is>
      </c>
      <c r="K84" s="13" t="inlineStr">
        <is>
          <t>2.4.1.3 XCash Apply TnC behaves according to the mapped requirement (Conditional Step 27 - if proceeding with XCash); data, controls, navigation, and status are accurate and consistent.</t>
        </is>
      </c>
      <c r="L84" s="13" t="inlineStr">
        <is>
          <t>A&amp;A - refer to Authentication &amp; Authorisation FSD</t>
        </is>
      </c>
      <c r="M84" s="13" t="inlineStr">
        <is>
          <t>Request submitted / Request unsuccessful / Authorisation failed / Processing / Completed (per feature)</t>
        </is>
      </c>
      <c r="N84" s="13" t="inlineStr">
        <is>
          <t>Acct Dashboard Financing!A36:H36</t>
        </is>
      </c>
      <c r="O84" s="13" t="inlineStr">
        <is>
          <t>Not Run</t>
        </is>
      </c>
      <c r="P84" s="13" t="n"/>
      <c r="Q84" s="13" t="n"/>
      <c r="R84" s="14" t="inlineStr">
        <is>
          <t>Conditional coverage required.</t>
        </is>
      </c>
      <c r="S84" s="19" t="inlineStr">
        <is>
          <t>Credit Card API Design</t>
        </is>
      </c>
      <c r="T84" s="19" t="inlineStr">
        <is>
          <t>Cards dashboard</t>
        </is>
      </c>
      <c r="U84" s="19" t="inlineStr">
        <is>
          <t>GET</t>
        </is>
      </c>
      <c r="V84" s="19" t="inlineStr">
        <is>
          <t>/v1/external/accounts?accountGroup={accountGroup}</t>
        </is>
      </c>
      <c r="W84" s="19" t="inlineStr">
        <is>
          <t>dep-dashboard</t>
        </is>
      </c>
      <c r="X84" s="19" t="inlineStr">
        <is>
          <t>ECLIPSE_Account Dashboard_Credit_Card_DDD_API_Design_v1_Workshop.xlsx</t>
        </is>
      </c>
      <c r="Y84" s="19" t="inlineStr">
        <is>
          <t>2.1 CC Dashboard - Landing</t>
        </is>
      </c>
      <c r="Z84" s="19" t="inlineStr">
        <is>
          <t>API_Specs_Index!A2:H2</t>
        </is>
      </c>
      <c r="AA84" s="22" t="inlineStr">
        <is>
          <t>API-001</t>
        </is>
      </c>
      <c r="AB84" s="19" t="inlineStr">
        <is>
          <t>Mapped to Cards dashboard because the test case terms align with the 2.1 CC Dashboard - Landing journey in the applicable API specification.</t>
        </is>
      </c>
      <c r="AC84" s="19" t="inlineStr">
        <is>
          <t>Medium</t>
        </is>
      </c>
      <c r="AD84" s="19" t="inlineStr">
        <is>
          <t>1 User tap "Cards" and screen is loaded N/A dep-dashboard GET /v1/external/accounts?accountGroup={accountGroup} example : /v1/external/accounts?accountGroup=CARD { "status": 200, "message": "Request processed successfully", "timestamp": "2026-01-1...</t>
        </is>
      </c>
    </row>
    <row r="85" ht="409.6" customHeight="1" s="2">
      <c r="A85" s="15" t="inlineStr">
        <is>
          <t>TC-B1-0084</t>
        </is>
      </c>
      <c r="B85" s="16" t="inlineStr">
        <is>
          <t>TS-B1-064</t>
        </is>
      </c>
      <c r="C85" s="16" t="inlineStr">
        <is>
          <t>Acct Dashboard Financing</t>
        </is>
      </c>
      <c r="D85" s="16" t="inlineStr">
        <is>
          <t>Dashboard - Credit Card / Card Management</t>
        </is>
      </c>
      <c r="E85" s="16" t="inlineStr">
        <is>
          <t>Validate 2.4.1.4 XCash Apply Confirm for Credit Card (Visa/Mastercard)</t>
        </is>
      </c>
      <c r="F85" s="16" t="inlineStr">
        <is>
          <t>Functional</t>
        </is>
      </c>
      <c r="G85" s="16" t="inlineStr">
        <is>
          <t>Medium</t>
        </is>
      </c>
      <c r="H85" s="16" t="inlineStr">
        <is>
          <t>Eligible user and product are available. Trigger the stated condition: Conditional Step 28 - if proceeding with XCash</t>
        </is>
      </c>
      <c r="I85" s="16" t="inlineStr">
        <is>
          <t>Credit Card (Visa/Mastercard)</t>
        </is>
      </c>
      <c r="J85" s="16" t="inlineStr">
        <is>
          <t>1. Open Credit Card (Visa/Mastercard).
2. Navigate to 2.4.1.4 XCash Apply Confirm.
3. Perform the action or trigger described by: Conditional Step 28 - if proceeding with XCash.
4. Observe the page, validation, navigation, and resulting state.</t>
        </is>
      </c>
      <c r="K85" s="16" t="inlineStr">
        <is>
          <t>2.4.1.4 XCash Apply Confirm behaves according to the mapped requirement (Conditional Step 28 - if proceeding with XCash); data, controls, navigation, and status are accurate and consistent.</t>
        </is>
      </c>
      <c r="L85" s="16" t="inlineStr">
        <is>
          <t>A&amp;A - refer to Authentication &amp; Authorisation FSD</t>
        </is>
      </c>
      <c r="M85" s="16" t="inlineStr">
        <is>
          <t>Request submitted / Request unsuccessful / Authorisation failed / Processing / Completed (per feature)</t>
        </is>
      </c>
      <c r="N85" s="16" t="inlineStr">
        <is>
          <t>Acct Dashboard Financing!A37:H37</t>
        </is>
      </c>
      <c r="O85" s="16" t="inlineStr">
        <is>
          <t>Not Run</t>
        </is>
      </c>
      <c r="P85" s="16" t="n"/>
      <c r="Q85" s="16" t="n"/>
      <c r="R85" s="17" t="inlineStr">
        <is>
          <t>Conditional coverage required.</t>
        </is>
      </c>
      <c r="S85" s="19" t="inlineStr">
        <is>
          <t>Credit Card API Design</t>
        </is>
      </c>
      <c r="T85" s="19" t="inlineStr">
        <is>
          <t>Apply installment convertion</t>
        </is>
      </c>
      <c r="U85" s="19" t="inlineStr">
        <is>
          <t>POST</t>
        </is>
      </c>
      <c r="V85" s="19" t="inlineStr">
        <is>
          <t>/v1/external/credit-card/apply-instalment-conversion</t>
        </is>
      </c>
      <c r="W85" s="19" t="inlineStr">
        <is>
          <t>dep-card</t>
        </is>
      </c>
      <c r="X85" s="19" t="inlineStr">
        <is>
          <t>ECLIPSE_Account Dashboard_Credit_Card_DDD_API_Design_v1_Workshop.xlsx</t>
        </is>
      </c>
      <c r="Y85" s="19" t="inlineStr">
        <is>
          <t>2.4.2.2 Inst Conv Confirm</t>
        </is>
      </c>
      <c r="Z85" s="19" t="inlineStr">
        <is>
          <t>API_Specs_Index!A20:H20</t>
        </is>
      </c>
      <c r="AA85" s="22" t="inlineStr">
        <is>
          <t>API-009</t>
        </is>
      </c>
      <c r="AB85" s="19" t="inlineStr">
        <is>
          <t>Mapped to Apply installment convertion because the test case terms align with the 2.4.2.2 Inst Conv Confirm journey in the applicable API specification.</t>
        </is>
      </c>
      <c r="AC85" s="19" t="inlineStr">
        <is>
          <t>High</t>
        </is>
      </c>
      <c r="AD85" s="19" t="inlineStr">
        <is>
          <t>No additional validation notes were documented in the source index.</t>
        </is>
      </c>
    </row>
    <row r="86" ht="409.6" customHeight="1" s="2">
      <c r="A86" s="12" t="inlineStr">
        <is>
          <t>TC-B1-0085</t>
        </is>
      </c>
      <c r="B86" s="13" t="inlineStr">
        <is>
          <t>TS-B1-065</t>
        </is>
      </c>
      <c r="C86" s="13" t="inlineStr">
        <is>
          <t>Acct Dashboard Financing</t>
        </is>
      </c>
      <c r="D86" s="13" t="inlineStr">
        <is>
          <t>Dashboard - Credit Card / Card Management</t>
        </is>
      </c>
      <c r="E86" s="13" t="inlineStr">
        <is>
          <t>Validate 2.4.1.5 XCash Apply Ack for Credit Card (Visa/Mastercard)</t>
        </is>
      </c>
      <c r="F86" s="13" t="inlineStr">
        <is>
          <t>Functional</t>
        </is>
      </c>
      <c r="G86" s="13" t="inlineStr">
        <is>
          <t>Medium</t>
        </is>
      </c>
      <c r="H86" s="13" t="inlineStr">
        <is>
          <t>Eligible user and product are available. Trigger the stated condition: Conditional Step 29 - if proceeding with XCash</t>
        </is>
      </c>
      <c r="I86" s="13" t="inlineStr">
        <is>
          <t>Credit Card (Visa/Mastercard)</t>
        </is>
      </c>
      <c r="J86" s="13" t="inlineStr">
        <is>
          <t>1. Open Credit Card (Visa/Mastercard).
2. Navigate to 2.4.1.5 XCash Apply Ack.
3. Perform the action or trigger described by: Conditional Step 29 - if proceeding with XCash.
4. Observe the page, validation, navigation, and resulting state.</t>
        </is>
      </c>
      <c r="K86" s="13" t="inlineStr">
        <is>
          <t>2.4.1.5 XCash Apply Ack behaves according to the mapped requirement (Conditional Step 29 - if proceeding with XCash); data, controls, navigation, and status are accurate and consistent.</t>
        </is>
      </c>
      <c r="L86" s="13" t="inlineStr">
        <is>
          <t>A&amp;A - refer to Authentication &amp; Authorisation FSD</t>
        </is>
      </c>
      <c r="M86" s="13" t="inlineStr">
        <is>
          <t>Request submitted / Request unsuccessful / Authorisation failed / Processing / Completed (per feature)</t>
        </is>
      </c>
      <c r="N86" s="13" t="inlineStr">
        <is>
          <t>Acct Dashboard Financing!A38:H38</t>
        </is>
      </c>
      <c r="O86" s="13" t="inlineStr">
        <is>
          <t>Not Run</t>
        </is>
      </c>
      <c r="P86" s="13" t="n"/>
      <c r="Q86" s="13" t="n"/>
      <c r="R86" s="14" t="inlineStr">
        <is>
          <t>Conditional coverage required.</t>
        </is>
      </c>
      <c r="S86" s="19" t="inlineStr">
        <is>
          <t>Credit Card API Design</t>
        </is>
      </c>
      <c r="T86" s="19" t="inlineStr">
        <is>
          <t>Cards dashboard</t>
        </is>
      </c>
      <c r="U86" s="19" t="inlineStr">
        <is>
          <t>GET</t>
        </is>
      </c>
      <c r="V86" s="19" t="inlineStr">
        <is>
          <t>/v1/external/accounts?accountGroup={accountGroup}</t>
        </is>
      </c>
      <c r="W86" s="19" t="inlineStr">
        <is>
          <t>dep-dashboard</t>
        </is>
      </c>
      <c r="X86" s="19" t="inlineStr">
        <is>
          <t>ECLIPSE_Account Dashboard_Credit_Card_DDD_API_Design_v1_Workshop.xlsx</t>
        </is>
      </c>
      <c r="Y86" s="19" t="inlineStr">
        <is>
          <t>2.1 CC Dashboard - Landing</t>
        </is>
      </c>
      <c r="Z86" s="19" t="inlineStr">
        <is>
          <t>API_Specs_Index!A2:H2</t>
        </is>
      </c>
      <c r="AA86" s="22" t="inlineStr">
        <is>
          <t>API-001</t>
        </is>
      </c>
      <c r="AB86" s="19" t="inlineStr">
        <is>
          <t>Mapped to Cards dashboard because the test case terms align with the 2.1 CC Dashboard - Landing journey in the applicable API specification.</t>
        </is>
      </c>
      <c r="AC86" s="19" t="inlineStr">
        <is>
          <t>Medium</t>
        </is>
      </c>
      <c r="AD86" s="19" t="inlineStr">
        <is>
          <t>1 User tap "Cards" and screen is loaded N/A dep-dashboard GET /v1/external/accounts?accountGroup={accountGroup} example : /v1/external/accounts?accountGroup=CARD { "status": 200, "message": "Request processed successfully", "timestamp": "2026-01-1...</t>
        </is>
      </c>
    </row>
    <row r="87" ht="409.6" customHeight="1" s="2">
      <c r="A87" s="15" t="inlineStr">
        <is>
          <t>TC-B1-0086</t>
        </is>
      </c>
      <c r="B87" s="16" t="inlineStr">
        <is>
          <t>TS-B1-066</t>
        </is>
      </c>
      <c r="C87" s="16" t="inlineStr">
        <is>
          <t>Acct Dashboard Financing</t>
        </is>
      </c>
      <c r="D87" s="16" t="inlineStr">
        <is>
          <t>Dashboard - Credit Card / Card Management</t>
        </is>
      </c>
      <c r="E87" s="16" t="inlineStr">
        <is>
          <t>Validate 2.4.1.6 XCash Rcpt &amp; Notif for Credit Card (Visa/Mastercard)</t>
        </is>
      </c>
      <c r="F87" s="16" t="inlineStr">
        <is>
          <t>Functional</t>
        </is>
      </c>
      <c r="G87" s="16" t="inlineStr">
        <is>
          <t>Medium</t>
        </is>
      </c>
      <c r="H87" s="16" t="inlineStr">
        <is>
          <t>Eligible user and product are available. Trigger the stated condition: Conditional Step 30 - if proceeding with XCash</t>
        </is>
      </c>
      <c r="I87" s="16" t="inlineStr">
        <is>
          <t>Credit Card (Visa/Mastercard)</t>
        </is>
      </c>
      <c r="J87" s="16" t="inlineStr">
        <is>
          <t>1. Open Credit Card (Visa/Mastercard).
2. Navigate to 2.4.1.6 XCash Rcpt &amp; Notif.
3. Perform the action or trigger described by: Conditional Step 30 - if proceeding with XCash.
4. Observe the page, validation, navigation, and resulting state.</t>
        </is>
      </c>
      <c r="K87" s="16" t="inlineStr">
        <is>
          <t>2.4.1.6 XCash Rcpt &amp; Notif behaves according to the mapped requirement (Conditional Step 30 - if proceeding with XCash); data, controls, navigation, and status are accurate and consistent.</t>
        </is>
      </c>
      <c r="L87" s="16" t="inlineStr">
        <is>
          <t>A&amp;A - refer to Authentication &amp; Authorisation FSD</t>
        </is>
      </c>
      <c r="M87" s="16" t="inlineStr">
        <is>
          <t>Request submitted / Request unsuccessful / Authorisation failed / Processing / Completed (per feature)</t>
        </is>
      </c>
      <c r="N87" s="16" t="inlineStr">
        <is>
          <t>Acct Dashboard Financing!A39:H39</t>
        </is>
      </c>
      <c r="O87" s="16" t="inlineStr">
        <is>
          <t>Not Run</t>
        </is>
      </c>
      <c r="P87" s="16" t="n"/>
      <c r="Q87" s="16" t="n"/>
      <c r="R87" s="17" t="inlineStr">
        <is>
          <t>Conditional coverage required.</t>
        </is>
      </c>
      <c r="S87" s="19" t="inlineStr">
        <is>
          <t>Credit Card API Design</t>
        </is>
      </c>
      <c r="T87" s="19" t="inlineStr">
        <is>
          <t>Cards dashboard</t>
        </is>
      </c>
      <c r="U87" s="19" t="inlineStr">
        <is>
          <t>GET</t>
        </is>
      </c>
      <c r="V87" s="19" t="inlineStr">
        <is>
          <t>/v1/external/accounts?accountGroup={accountGroup}</t>
        </is>
      </c>
      <c r="W87" s="19" t="inlineStr">
        <is>
          <t>dep-dashboard</t>
        </is>
      </c>
      <c r="X87" s="19" t="inlineStr">
        <is>
          <t>ECLIPSE_Account Dashboard_Credit_Card_DDD_API_Design_v1_Workshop.xlsx</t>
        </is>
      </c>
      <c r="Y87" s="19" t="inlineStr">
        <is>
          <t>2.1 CC Dashboard - Landing</t>
        </is>
      </c>
      <c r="Z87" s="19" t="inlineStr">
        <is>
          <t>API_Specs_Index!A2:H2</t>
        </is>
      </c>
      <c r="AA87" s="22" t="inlineStr">
        <is>
          <t>API-001</t>
        </is>
      </c>
      <c r="AB87" s="19" t="inlineStr">
        <is>
          <t>Mapped to Cards dashboard because the test case terms align with the 2.1 CC Dashboard - Landing journey in the applicable API specification.</t>
        </is>
      </c>
      <c r="AC87" s="19" t="inlineStr">
        <is>
          <t>Medium</t>
        </is>
      </c>
      <c r="AD87" s="19" t="inlineStr">
        <is>
          <t>1 User tap "Cards" and screen is loaded N/A dep-dashboard GET /v1/external/accounts?accountGroup={accountGroup} example : /v1/external/accounts?accountGroup=CARD { "status": 200, "message": "Request processed successfully", "timestamp": "2026-01-1...</t>
        </is>
      </c>
    </row>
    <row r="88" ht="409.6" customHeight="1" s="2">
      <c r="A88" s="12" t="inlineStr">
        <is>
          <t>TC-B1-0087</t>
        </is>
      </c>
      <c r="B88" s="13" t="inlineStr">
        <is>
          <t>TS-B1-067</t>
        </is>
      </c>
      <c r="C88" s="13" t="inlineStr">
        <is>
          <t>Acct Dashboard Financing</t>
        </is>
      </c>
      <c r="D88" s="13" t="inlineStr">
        <is>
          <t>Dashboard - Credit Card / Card Management</t>
        </is>
      </c>
      <c r="E88" s="13" t="inlineStr">
        <is>
          <t>Validate 2.4.2 Instalment Convert for Credit Card (Visa/Mastercard)</t>
        </is>
      </c>
      <c r="F88" s="13" t="inlineStr">
        <is>
          <t>Functional</t>
        </is>
      </c>
      <c r="G88" s="13" t="inlineStr">
        <is>
          <t>Medium</t>
        </is>
      </c>
      <c r="H88" s="13" t="inlineStr">
        <is>
          <t>Eligible user and product are available. Trigger the stated condition: Conditional Step 31 - if eligible transaction exists</t>
        </is>
      </c>
      <c r="I88" s="13" t="inlineStr">
        <is>
          <t>Credit Card (Visa/Mastercard)</t>
        </is>
      </c>
      <c r="J88" s="13" t="inlineStr">
        <is>
          <t>1. Open Credit Card (Visa/Mastercard).
2. Navigate to 2.4.2 Instalment Convert.
3. Perform the action or trigger described by: Conditional Step 31 - if eligible transaction exists.
4. Observe the page, validation, navigation, and resulting state.</t>
        </is>
      </c>
      <c r="K88" s="13" t="inlineStr">
        <is>
          <t>2.4.2 Instalment Convert behaves according to the mapped requirement (Conditional Step 31 - if eligible transaction exists); data, controls, navigation, and status are accurate and consistent.</t>
        </is>
      </c>
      <c r="L88" s="13" t="inlineStr">
        <is>
          <t>A&amp;A - refer to Authentication &amp; Authorisation FSD</t>
        </is>
      </c>
      <c r="M88" s="13" t="inlineStr">
        <is>
          <t>Request submitted / Request unsuccessful / Authorisation failed / Processing / Completed (per feature)</t>
        </is>
      </c>
      <c r="N88" s="13" t="inlineStr">
        <is>
          <t>Acct Dashboard Financing!A40:H40</t>
        </is>
      </c>
      <c r="O88" s="13" t="inlineStr">
        <is>
          <t>Not Run</t>
        </is>
      </c>
      <c r="P88" s="13" t="n"/>
      <c r="Q88" s="13" t="n"/>
      <c r="R88" s="14" t="inlineStr">
        <is>
          <t>Conditional coverage required.</t>
        </is>
      </c>
      <c r="S88" s="19" t="inlineStr">
        <is>
          <t>Credit Card API Design</t>
        </is>
      </c>
      <c r="T88" s="19" t="inlineStr">
        <is>
          <t>Credit card transaction history</t>
        </is>
      </c>
      <c r="U88" s="19" t="inlineStr">
        <is>
          <t>GET</t>
        </is>
      </c>
      <c r="V88" s="19" t="inlineStr">
        <is>
          <t>/v1/external/accounts/account-type/{accountType}/account-id/{accountId}/transactions?startDate={startDate}&amp;endDate={endDate}&amp;page={page}&amp;limit={limit}</t>
        </is>
      </c>
      <c r="W88" s="19" t="inlineStr">
        <is>
          <t>info-card</t>
        </is>
      </c>
      <c r="X88" s="19" t="inlineStr">
        <is>
          <t>ECLIPSE_Account Dashboard_Credit_Card_DDD_API_Design_v1_Workshop.xlsx</t>
        </is>
      </c>
      <c r="Y88" s="19" t="inlineStr">
        <is>
          <t>2.2 CC &gt; Transactions</t>
        </is>
      </c>
      <c r="Z88" s="19" t="inlineStr">
        <is>
          <t>API_Specs_Index!A7:H7</t>
        </is>
      </c>
      <c r="AA88" s="22" t="inlineStr">
        <is>
          <t>API-004</t>
        </is>
      </c>
      <c r="AB88" s="19" t="inlineStr">
        <is>
          <t>Mapped to Credit card transaction history because the test case terms align with the 2.2 CC &gt; Transactions journey in the applicable API specification.</t>
        </is>
      </c>
      <c r="AC88" s="19" t="inlineStr">
        <is>
          <t>High</t>
        </is>
      </c>
      <c r="AD88" s="19" t="inlineStr">
        <is>
          <t>No Screen User Action Business Logic API Name Microservice Ownership Method Endpoint Request JSON Success Response JSON Failed Response JSON ESB Eclipse DB Source BE Validation; 1 User tap one of the card from "Cards" Dashboard When the screen is loaded, 1. It shall conduct block code check to show yellow label accordingly (e.g blocked, temporarily blocked) 2. It shall display Principal card by default and if there is any...</t>
        </is>
      </c>
    </row>
    <row r="89" ht="409.6" customHeight="1" s="2">
      <c r="A89" s="15" t="inlineStr">
        <is>
          <t>TC-B1-0088</t>
        </is>
      </c>
      <c r="B89" s="16" t="inlineStr">
        <is>
          <t>TS-B1-068</t>
        </is>
      </c>
      <c r="C89" s="16" t="inlineStr">
        <is>
          <t>Acct Dashboard Financing</t>
        </is>
      </c>
      <c r="D89" s="16" t="inlineStr">
        <is>
          <t>Dashboard - Credit Card / Card Management</t>
        </is>
      </c>
      <c r="E89" s="16" t="inlineStr">
        <is>
          <t>Validate 2.4.2.1 Inst Conv TnC for Credit Card (Visa/Mastercard)</t>
        </is>
      </c>
      <c r="F89" s="16" t="inlineStr">
        <is>
          <t>Functional</t>
        </is>
      </c>
      <c r="G89" s="16" t="inlineStr">
        <is>
          <t>Medium</t>
        </is>
      </c>
      <c r="H89" s="16" t="inlineStr">
        <is>
          <t>Eligible user and product are available. Trigger the stated condition: Conditional Step 32 - if proceeding with instalment conversion</t>
        </is>
      </c>
      <c r="I89" s="16" t="inlineStr">
        <is>
          <t>Credit Card (Visa/Mastercard)</t>
        </is>
      </c>
      <c r="J89" s="16" t="inlineStr">
        <is>
          <t>1. Open Credit Card (Visa/Mastercard).
2. Navigate to 2.4.2.1 Inst Conv TnC.
3. Perform the action or trigger described by: Conditional Step 32 - if proceeding with instalment conversion.
4. Observe the page, validation, navigation, and resulting state.</t>
        </is>
      </c>
      <c r="K89" s="16" t="inlineStr">
        <is>
          <t>2.4.2.1 Inst Conv TnC behaves according to the mapped requirement (Conditional Step 32 - if proceeding with instalment conversion); data, controls, navigation, and status are accurate and consistent.</t>
        </is>
      </c>
      <c r="L89" s="16" t="inlineStr">
        <is>
          <t>A&amp;A - refer to Authentication &amp; Authorisation FSD</t>
        </is>
      </c>
      <c r="M89" s="16" t="inlineStr">
        <is>
          <t>Request submitted / Request unsuccessful / Authorisation failed / Processing / Completed (per feature)</t>
        </is>
      </c>
      <c r="N89" s="16" t="inlineStr">
        <is>
          <t>Acct Dashboard Financing!A41:H41</t>
        </is>
      </c>
      <c r="O89" s="16" t="inlineStr">
        <is>
          <t>Not Run</t>
        </is>
      </c>
      <c r="P89" s="16" t="n"/>
      <c r="Q89" s="16" t="n"/>
      <c r="R89" s="17" t="inlineStr">
        <is>
          <t>Conditional coverage required.</t>
        </is>
      </c>
      <c r="S89" s="19" t="inlineStr">
        <is>
          <t>Credit Card API Design</t>
        </is>
      </c>
      <c r="T89" s="19" t="inlineStr">
        <is>
          <t>Apply installment convertion</t>
        </is>
      </c>
      <c r="U89" s="19" t="inlineStr">
        <is>
          <t>POST</t>
        </is>
      </c>
      <c r="V89" s="19" t="inlineStr">
        <is>
          <t>/v1/external/credit-card/apply-instalment-conversion</t>
        </is>
      </c>
      <c r="W89" s="19" t="inlineStr">
        <is>
          <t>dep-card</t>
        </is>
      </c>
      <c r="X89" s="19" t="inlineStr">
        <is>
          <t>ECLIPSE_Account Dashboard_Credit_Card_DDD_API_Design_v1_Workshop.xlsx</t>
        </is>
      </c>
      <c r="Y89" s="19" t="inlineStr">
        <is>
          <t>2.4.2.2 Inst Conv Confirm</t>
        </is>
      </c>
      <c r="Z89" s="19" t="inlineStr">
        <is>
          <t>API_Specs_Index!A20:H20</t>
        </is>
      </c>
      <c r="AA89" s="22" t="inlineStr">
        <is>
          <t>API-009</t>
        </is>
      </c>
      <c r="AB89" s="19" t="inlineStr">
        <is>
          <t>Mapped to Apply installment convertion because the test case terms align with the 2.4.2.2 Inst Conv Confirm journey in the applicable API specification.</t>
        </is>
      </c>
      <c r="AC89" s="19" t="inlineStr">
        <is>
          <t>High</t>
        </is>
      </c>
      <c r="AD89" s="19" t="inlineStr">
        <is>
          <t>No additional validation notes were documented in the source index.</t>
        </is>
      </c>
    </row>
    <row r="90" ht="409.6" customHeight="1" s="2">
      <c r="A90" s="12" t="inlineStr">
        <is>
          <t>TC-B1-0089</t>
        </is>
      </c>
      <c r="B90" s="13" t="inlineStr">
        <is>
          <t>TS-B1-069</t>
        </is>
      </c>
      <c r="C90" s="13" t="inlineStr">
        <is>
          <t>Acct Dashboard Financing</t>
        </is>
      </c>
      <c r="D90" s="13" t="inlineStr">
        <is>
          <t>Dashboard - Credit Card / Card Management</t>
        </is>
      </c>
      <c r="E90" s="13" t="inlineStr">
        <is>
          <t>Validate 2.4.2.2 Inst Conv Confirm for Credit Card (Visa/Mastercard)</t>
        </is>
      </c>
      <c r="F90" s="13" t="inlineStr">
        <is>
          <t>Functional</t>
        </is>
      </c>
      <c r="G90" s="13" t="inlineStr">
        <is>
          <t>Medium</t>
        </is>
      </c>
      <c r="H90" s="13" t="inlineStr">
        <is>
          <t>Eligible user and product are available. Trigger the stated condition: Conditional Step 33 - if proceeding with instalment conversion</t>
        </is>
      </c>
      <c r="I90" s="13" t="inlineStr">
        <is>
          <t>Credit Card (Visa/Mastercard)</t>
        </is>
      </c>
      <c r="J90" s="13" t="inlineStr">
        <is>
          <t>1. Open Credit Card (Visa/Mastercard).
2. Navigate to 2.4.2.2 Inst Conv Confirm.
3. Perform the action or trigger described by: Conditional Step 33 - if proceeding with instalment conversion.
4. Observe the page, validation, navigation, and resulting state.</t>
        </is>
      </c>
      <c r="K90" s="13" t="inlineStr">
        <is>
          <t>2.4.2.2 Inst Conv Confirm behaves according to the mapped requirement (Conditional Step 33 - if proceeding with instalment conversion); data, controls, navigation, and status are accurate and consistent.</t>
        </is>
      </c>
      <c r="L90" s="13" t="inlineStr">
        <is>
          <t>A&amp;A - refer to Authentication &amp; Authorisation FSD</t>
        </is>
      </c>
      <c r="M90" s="13" t="inlineStr">
        <is>
          <t>Request submitted / Request unsuccessful / Authorisation failed / Processing / Completed (per feature)</t>
        </is>
      </c>
      <c r="N90" s="13" t="inlineStr">
        <is>
          <t>Acct Dashboard Financing!A42:H42</t>
        </is>
      </c>
      <c r="O90" s="13" t="inlineStr">
        <is>
          <t>Not Run</t>
        </is>
      </c>
      <c r="P90" s="13" t="n"/>
      <c r="Q90" s="13" t="n"/>
      <c r="R90" s="14" t="inlineStr">
        <is>
          <t>Conditional coverage required.</t>
        </is>
      </c>
      <c r="S90" s="19" t="inlineStr">
        <is>
          <t>Credit Card API Design</t>
        </is>
      </c>
      <c r="T90" s="19" t="inlineStr">
        <is>
          <t>Apply installment convertion</t>
        </is>
      </c>
      <c r="U90" s="19" t="inlineStr">
        <is>
          <t>POST</t>
        </is>
      </c>
      <c r="V90" s="19" t="inlineStr">
        <is>
          <t>/v1/external/credit-card/apply-instalment-conversion</t>
        </is>
      </c>
      <c r="W90" s="19" t="inlineStr">
        <is>
          <t>dep-card</t>
        </is>
      </c>
      <c r="X90" s="19" t="inlineStr">
        <is>
          <t>ECLIPSE_Account Dashboard_Credit_Card_DDD_API_Design_v1_Workshop.xlsx</t>
        </is>
      </c>
      <c r="Y90" s="19" t="inlineStr">
        <is>
          <t>2.4.2.2 Inst Conv Confirm</t>
        </is>
      </c>
      <c r="Z90" s="19" t="inlineStr">
        <is>
          <t>API_Specs_Index!A20:H20</t>
        </is>
      </c>
      <c r="AA90" s="22" t="inlineStr">
        <is>
          <t>API-009</t>
        </is>
      </c>
      <c r="AB90" s="19" t="inlineStr">
        <is>
          <t>Mapped to Apply installment convertion because the test case terms align with the 2.4.2.2 Inst Conv Confirm journey in the applicable API specification.</t>
        </is>
      </c>
      <c r="AC90" s="19" t="inlineStr">
        <is>
          <t>High</t>
        </is>
      </c>
      <c r="AD90" s="19" t="inlineStr">
        <is>
          <t>No additional validation notes were documented in the source index.</t>
        </is>
      </c>
    </row>
    <row r="91" ht="409.6" customHeight="1" s="2">
      <c r="A91" s="15" t="inlineStr">
        <is>
          <t>TC-B1-0090</t>
        </is>
      </c>
      <c r="B91" s="16" t="inlineStr">
        <is>
          <t>TS-B1-070</t>
        </is>
      </c>
      <c r="C91" s="16" t="inlineStr">
        <is>
          <t>Acct Dashboard Financing</t>
        </is>
      </c>
      <c r="D91" s="16" t="inlineStr">
        <is>
          <t>Dashboard - Credit Card / Card Management</t>
        </is>
      </c>
      <c r="E91" s="16" t="inlineStr">
        <is>
          <t>Validate 2.4.2.3 Inst Conv Ack for Credit Card (Visa/Mastercard)</t>
        </is>
      </c>
      <c r="F91" s="16" t="inlineStr">
        <is>
          <t>Functional</t>
        </is>
      </c>
      <c r="G91" s="16" t="inlineStr">
        <is>
          <t>Medium</t>
        </is>
      </c>
      <c r="H91" s="16" t="inlineStr">
        <is>
          <t>Eligible user and product are available. Trigger the stated condition: Conditional Step 34 - if proceeding with instalment conversion</t>
        </is>
      </c>
      <c r="I91" s="16" t="inlineStr">
        <is>
          <t>Credit Card (Visa/Mastercard)</t>
        </is>
      </c>
      <c r="J91" s="16" t="inlineStr">
        <is>
          <t>1. Open Credit Card (Visa/Mastercard).
2. Navigate to 2.4.2.3 Inst Conv Ack.
3. Perform the action or trigger described by: Conditional Step 34 - if proceeding with instalment conversion.
4. Observe the page, validation, navigation, and resulting state.</t>
        </is>
      </c>
      <c r="K91" s="16" t="inlineStr">
        <is>
          <t>2.4.2.3 Inst Conv Ack behaves according to the mapped requirement (Conditional Step 34 - if proceeding with instalment conversion); data, controls, navigation, and status are accurate and consistent.</t>
        </is>
      </c>
      <c r="L91" s="16" t="inlineStr">
        <is>
          <t>A&amp;A - refer to Authentication &amp; Authorisation FSD</t>
        </is>
      </c>
      <c r="M91" s="16" t="inlineStr">
        <is>
          <t>Request submitted / Request unsuccessful / Authorisation failed / Processing / Completed (per feature)</t>
        </is>
      </c>
      <c r="N91" s="16" t="inlineStr">
        <is>
          <t>Acct Dashboard Financing!A43:H43</t>
        </is>
      </c>
      <c r="O91" s="16" t="inlineStr">
        <is>
          <t>Not Run</t>
        </is>
      </c>
      <c r="P91" s="16" t="n"/>
      <c r="Q91" s="16" t="n"/>
      <c r="R91" s="17" t="inlineStr">
        <is>
          <t>Conditional coverage required.</t>
        </is>
      </c>
      <c r="S91" s="19" t="inlineStr">
        <is>
          <t>Credit Card API Design</t>
        </is>
      </c>
      <c r="T91" s="19" t="inlineStr">
        <is>
          <t>Apply installment convertion</t>
        </is>
      </c>
      <c r="U91" s="19" t="inlineStr">
        <is>
          <t>POST</t>
        </is>
      </c>
      <c r="V91" s="19" t="inlineStr">
        <is>
          <t>/v1/external/credit-card/apply-instalment-conversion</t>
        </is>
      </c>
      <c r="W91" s="19" t="inlineStr">
        <is>
          <t>dep-card</t>
        </is>
      </c>
      <c r="X91" s="19" t="inlineStr">
        <is>
          <t>ECLIPSE_Account Dashboard_Credit_Card_DDD_API_Design_v1_Workshop.xlsx</t>
        </is>
      </c>
      <c r="Y91" s="19" t="inlineStr">
        <is>
          <t>2.4.2.2 Inst Conv Confirm</t>
        </is>
      </c>
      <c r="Z91" s="19" t="inlineStr">
        <is>
          <t>API_Specs_Index!A20:H20</t>
        </is>
      </c>
      <c r="AA91" s="22" t="inlineStr">
        <is>
          <t>API-009</t>
        </is>
      </c>
      <c r="AB91" s="19" t="inlineStr">
        <is>
          <t>Mapped to Apply installment convertion because the test case terms align with the 2.4.2.2 Inst Conv Confirm journey in the applicable API specification.</t>
        </is>
      </c>
      <c r="AC91" s="19" t="inlineStr">
        <is>
          <t>High</t>
        </is>
      </c>
      <c r="AD91" s="19" t="inlineStr">
        <is>
          <t>No additional validation notes were documented in the source index.</t>
        </is>
      </c>
    </row>
    <row r="92" ht="409.6" customHeight="1" s="2">
      <c r="A92" s="12" t="inlineStr">
        <is>
          <t>TC-B1-0091</t>
        </is>
      </c>
      <c r="B92" s="13" t="inlineStr">
        <is>
          <t>TS-B1-071</t>
        </is>
      </c>
      <c r="C92" s="13" t="inlineStr">
        <is>
          <t>Acct Dashboard Financing</t>
        </is>
      </c>
      <c r="D92" s="13" t="inlineStr">
        <is>
          <t>Dashboard - Credit Card / Card Management</t>
        </is>
      </c>
      <c r="E92" s="13" t="inlineStr">
        <is>
          <t>Validate 2.4.2.4 Inst Conv Rcpt &amp; Notif for Credit Card (Visa/Mastercard)</t>
        </is>
      </c>
      <c r="F92" s="13" t="inlineStr">
        <is>
          <t>Functional</t>
        </is>
      </c>
      <c r="G92" s="13" t="inlineStr">
        <is>
          <t>Medium</t>
        </is>
      </c>
      <c r="H92" s="13" t="inlineStr">
        <is>
          <t>Eligible user and product are available. Trigger the stated condition: Conditional Step 35 - if proceeding with instalment conversion</t>
        </is>
      </c>
      <c r="I92" s="13" t="inlineStr">
        <is>
          <t>Credit Card (Visa/Mastercard)</t>
        </is>
      </c>
      <c r="J92" s="13" t="inlineStr">
        <is>
          <t>1. Open Credit Card (Visa/Mastercard).
2. Navigate to 2.4.2.4 Inst Conv Rcpt &amp; Notif.
3. Perform the action or trigger described by: Conditional Step 35 - if proceeding with instalment conversion.
4. Observe the page, validation, navigation, and resulting state.</t>
        </is>
      </c>
      <c r="K92" s="13" t="inlineStr">
        <is>
          <t>2.4.2.4 Inst Conv Rcpt &amp; Notif behaves according to the mapped requirement (Conditional Step 35 - if proceeding with instalment conversion); data, controls, navigation, and status are accurate and consistent.</t>
        </is>
      </c>
      <c r="L92" s="13" t="inlineStr">
        <is>
          <t>A&amp;A - refer to Authentication &amp; Authorisation FSD</t>
        </is>
      </c>
      <c r="M92" s="13" t="inlineStr">
        <is>
          <t>Request submitted / Request unsuccessful / Authorisation failed / Processing / Completed (per feature)</t>
        </is>
      </c>
      <c r="N92" s="13" t="inlineStr">
        <is>
          <t>Acct Dashboard Financing!A44:H44</t>
        </is>
      </c>
      <c r="O92" s="13" t="inlineStr">
        <is>
          <t>Not Run</t>
        </is>
      </c>
      <c r="P92" s="13" t="n"/>
      <c r="Q92" s="13" t="n"/>
      <c r="R92" s="14" t="inlineStr">
        <is>
          <t>Conditional coverage required.</t>
        </is>
      </c>
      <c r="S92" s="19" t="inlineStr">
        <is>
          <t>Credit Card API Design</t>
        </is>
      </c>
      <c r="T92" s="19" t="inlineStr">
        <is>
          <t>Apply installment convertion</t>
        </is>
      </c>
      <c r="U92" s="19" t="inlineStr">
        <is>
          <t>POST</t>
        </is>
      </c>
      <c r="V92" s="19" t="inlineStr">
        <is>
          <t>/v1/external/credit-card/apply-instalment-conversion</t>
        </is>
      </c>
      <c r="W92" s="19" t="inlineStr">
        <is>
          <t>dep-card</t>
        </is>
      </c>
      <c r="X92" s="19" t="inlineStr">
        <is>
          <t>ECLIPSE_Account Dashboard_Credit_Card_DDD_API_Design_v1_Workshop.xlsx</t>
        </is>
      </c>
      <c r="Y92" s="19" t="inlineStr">
        <is>
          <t>2.4.2.2 Inst Conv Confirm</t>
        </is>
      </c>
      <c r="Z92" s="19" t="inlineStr">
        <is>
          <t>API_Specs_Index!A20:H20</t>
        </is>
      </c>
      <c r="AA92" s="22" t="inlineStr">
        <is>
          <t>API-009</t>
        </is>
      </c>
      <c r="AB92" s="19" t="inlineStr">
        <is>
          <t>Mapped to Apply installment convertion because the test case terms align with the 2.4.2.2 Inst Conv Confirm journey in the applicable API specification.</t>
        </is>
      </c>
      <c r="AC92" s="19" t="inlineStr">
        <is>
          <t>High</t>
        </is>
      </c>
      <c r="AD92" s="19" t="inlineStr">
        <is>
          <t>No additional validation notes were documented in the source index.</t>
        </is>
      </c>
    </row>
    <row r="93" ht="409.6" customHeight="1" s="2">
      <c r="A93" s="15" t="inlineStr">
        <is>
          <t>TC-B1-0092</t>
        </is>
      </c>
      <c r="B93" s="16" t="inlineStr">
        <is>
          <t>TS-B1-072</t>
        </is>
      </c>
      <c r="C93" s="16" t="inlineStr">
        <is>
          <t>Acct Dashboard Financing</t>
        </is>
      </c>
      <c r="D93" s="16" t="inlineStr">
        <is>
          <t>Dashboard - Credit Card / Card Management</t>
        </is>
      </c>
      <c r="E93" s="16" t="inlineStr">
        <is>
          <t>Validate 2.4.3 Increase Credit Limit for Credit Card (Visa/Mastercard)</t>
        </is>
      </c>
      <c r="F93" s="16" t="inlineStr">
        <is>
          <t>Functional</t>
        </is>
      </c>
      <c r="G93" s="16" t="inlineStr">
        <is>
          <t>High</t>
        </is>
      </c>
      <c r="H93" s="16" t="inlineStr">
        <is>
          <t>Eligible user and product are available. Trigger the stated condition: Conditional Step 36 - if card eligible per MoB and policy</t>
        </is>
      </c>
      <c r="I93" s="16" t="inlineStr">
        <is>
          <t>Credit Card (Visa/Mastercard)</t>
        </is>
      </c>
      <c r="J93" s="16" t="inlineStr">
        <is>
          <t>1. Open Credit Card (Visa/Mastercard).
2. Navigate to 2.4.3 Increase Credit Limit.
3. Perform the action or trigger described by: Conditional Step 36 - if card eligible per MoB and policy.
4. Observe the page, validation, navigation, and resulting state.</t>
        </is>
      </c>
      <c r="K93" s="16" t="inlineStr">
        <is>
          <t>2.4.3 Increase Credit Limit behaves according to the mapped requirement (Conditional Step 36 - if card eligible per MoB and policy); data, controls, navigation, and status are accurate and consistent.</t>
        </is>
      </c>
      <c r="L93" s="16" t="inlineStr">
        <is>
          <t>A&amp;A - refer to Authentication &amp; Authorisation FSD</t>
        </is>
      </c>
      <c r="M93" s="16" t="inlineStr">
        <is>
          <t>Request submitted / Request unsuccessful / Authorisation failed / Processing / Completed (per feature)</t>
        </is>
      </c>
      <c r="N93" s="16" t="inlineStr">
        <is>
          <t>Acct Dashboard Financing!A45:H45</t>
        </is>
      </c>
      <c r="O93" s="16" t="inlineStr">
        <is>
          <t>Not Run</t>
        </is>
      </c>
      <c r="P93" s="16" t="n"/>
      <c r="Q93" s="16" t="n"/>
      <c r="R93" s="17" t="inlineStr">
        <is>
          <t>Conditional coverage required.</t>
        </is>
      </c>
      <c r="S93" s="19" t="inlineStr">
        <is>
          <t>Credit Card API Design</t>
        </is>
      </c>
      <c r="T93" s="19" t="inlineStr">
        <is>
          <t>Credit card transaction history</t>
        </is>
      </c>
      <c r="U93" s="19" t="inlineStr">
        <is>
          <t>GET</t>
        </is>
      </c>
      <c r="V93" s="19" t="inlineStr">
        <is>
          <t>/v1/external/accounts/account-type/{accountType}/account-id/{accountId}/transactions?startDate={startDate}&amp;endDate={endDate}&amp;page={page}&amp;limit={limit}</t>
        </is>
      </c>
      <c r="W93" s="19" t="inlineStr">
        <is>
          <t>info-card</t>
        </is>
      </c>
      <c r="X93" s="19" t="inlineStr">
        <is>
          <t>ECLIPSE_Account Dashboard_Credit_Card_DDD_API_Design_v1_Workshop.xlsx</t>
        </is>
      </c>
      <c r="Y93" s="19" t="inlineStr">
        <is>
          <t>2.2 CC &gt; Transactions</t>
        </is>
      </c>
      <c r="Z93" s="19" t="inlineStr">
        <is>
          <t>API_Specs_Index!A7:H7</t>
        </is>
      </c>
      <c r="AA93" s="22" t="inlineStr">
        <is>
          <t>API-004</t>
        </is>
      </c>
      <c r="AB93" s="19" t="inlineStr">
        <is>
          <t>Mapped to Credit card transaction history because the test case terms align with the 2.2 CC &gt; Transactions journey in the applicable API specification.</t>
        </is>
      </c>
      <c r="AC93" s="19" t="inlineStr">
        <is>
          <t>High</t>
        </is>
      </c>
      <c r="AD93" s="19" t="inlineStr">
        <is>
          <t>No Screen User Action Business Logic API Name Microservice Ownership Method Endpoint Request JSON Success Response JSON Failed Response JSON ESB Eclipse DB Source BE Validation; 1 User tap one of the card from "Cards" Dashboard When the screen is loaded, 1. It shall conduct block code check to show yellow label accordingly (e.g blocked, temporarily blocked) 2. It shall display Principal card by default and if there is any...</t>
        </is>
      </c>
    </row>
    <row r="94" ht="409.6" customHeight="1" s="2">
      <c r="A94" s="12" t="inlineStr">
        <is>
          <t>TC-B1-0093</t>
        </is>
      </c>
      <c r="B94" s="13" t="inlineStr">
        <is>
          <t>TS-B1-073</t>
        </is>
      </c>
      <c r="C94" s="13" t="inlineStr">
        <is>
          <t>Acct Dashboard Financing</t>
        </is>
      </c>
      <c r="D94" s="13" t="inlineStr">
        <is>
          <t>Dashboard - Credit Card / Card Management</t>
        </is>
      </c>
      <c r="E94" s="13" t="inlineStr">
        <is>
          <t>Validate 2.4.3.1 ICL Permanent for Credit Card (Visa/Mastercard)</t>
        </is>
      </c>
      <c r="F94" s="13" t="inlineStr">
        <is>
          <t>Functional</t>
        </is>
      </c>
      <c r="G94" s="13" t="inlineStr">
        <is>
          <t>Medium</t>
        </is>
      </c>
      <c r="H94" s="13" t="inlineStr">
        <is>
          <t>Eligible user and product are available. Trigger the stated condition: Conditional Step 37 - if Permanent selected</t>
        </is>
      </c>
      <c r="I94" s="13" t="inlineStr">
        <is>
          <t>Credit Card (Visa/Mastercard)</t>
        </is>
      </c>
      <c r="J94" s="13" t="inlineStr">
        <is>
          <t>1. Open Credit Card (Visa/Mastercard).
2. Navigate to 2.4.3.1 ICL Permanent.
3. Perform the action or trigger described by: Conditional Step 37 - if Permanent selected.
4. Observe the page, validation, navigation, and resulting state.</t>
        </is>
      </c>
      <c r="K94" s="13" t="inlineStr">
        <is>
          <t>2.4.3.1 ICL Permanent behaves according to the mapped requirement (Conditional Step 37 - if Permanent selected); data, controls, navigation, and status are accurate and consistent.</t>
        </is>
      </c>
      <c r="L94" s="13" t="inlineStr">
        <is>
          <t>A&amp;A - refer to Authentication &amp; Authorisation FSD</t>
        </is>
      </c>
      <c r="M94" s="13" t="inlineStr">
        <is>
          <t>Request submitted / Request unsuccessful / Authorisation failed / Processing / Completed (per feature)</t>
        </is>
      </c>
      <c r="N94" s="13" t="inlineStr">
        <is>
          <t>Acct Dashboard Financing!A46:H46</t>
        </is>
      </c>
      <c r="O94" s="13" t="inlineStr">
        <is>
          <t>Not Run</t>
        </is>
      </c>
      <c r="P94" s="13" t="n"/>
      <c r="Q94" s="13" t="n"/>
      <c r="R94" s="14" t="inlineStr">
        <is>
          <t>Conditional coverage required.</t>
        </is>
      </c>
      <c r="S94" s="19" t="inlineStr">
        <is>
          <t>Credit Card API Design</t>
        </is>
      </c>
      <c r="T94" s="19" t="inlineStr">
        <is>
          <t>Cards dashboard</t>
        </is>
      </c>
      <c r="U94" s="19" t="inlineStr">
        <is>
          <t>GET</t>
        </is>
      </c>
      <c r="V94" s="19" t="inlineStr">
        <is>
          <t>/v1/external/accounts?accountGroup={accountGroup}</t>
        </is>
      </c>
      <c r="W94" s="19" t="inlineStr">
        <is>
          <t>dep-dashboard</t>
        </is>
      </c>
      <c r="X94" s="19" t="inlineStr">
        <is>
          <t>ECLIPSE_Account Dashboard_Credit_Card_DDD_API_Design_v1_Workshop.xlsx</t>
        </is>
      </c>
      <c r="Y94" s="19" t="inlineStr">
        <is>
          <t>2.1 CC Dashboard - Landing</t>
        </is>
      </c>
      <c r="Z94" s="19" t="inlineStr">
        <is>
          <t>API_Specs_Index!A2:H2</t>
        </is>
      </c>
      <c r="AA94" s="22" t="inlineStr">
        <is>
          <t>API-001</t>
        </is>
      </c>
      <c r="AB94" s="19" t="inlineStr">
        <is>
          <t>Mapped to Cards dashboard because the test case terms align with the 2.1 CC Dashboard - Landing journey in the applicable API specification.</t>
        </is>
      </c>
      <c r="AC94" s="19" t="inlineStr">
        <is>
          <t>Medium</t>
        </is>
      </c>
      <c r="AD94" s="19" t="inlineStr">
        <is>
          <t>1 User tap "Cards" and screen is loaded N/A dep-dashboard GET /v1/external/accounts?accountGroup={accountGroup} example : /v1/external/accounts?accountGroup=CARD { "status": 200, "message": "Request processed successfully", "timestamp": "2026-01-1...</t>
        </is>
      </c>
    </row>
    <row r="95" ht="409.6" customHeight="1" s="2">
      <c r="A95" s="15" t="inlineStr">
        <is>
          <t>TC-B1-0094</t>
        </is>
      </c>
      <c r="B95" s="16" t="inlineStr">
        <is>
          <t>TS-B1-074</t>
        </is>
      </c>
      <c r="C95" s="16" t="inlineStr">
        <is>
          <t>Acct Dashboard Financing</t>
        </is>
      </c>
      <c r="D95" s="16" t="inlineStr">
        <is>
          <t>Dashboard - Credit Card / Card Management</t>
        </is>
      </c>
      <c r="E95" s="16" t="inlineStr">
        <is>
          <t>Validate 2.4.3.2 ICL Temporary for Credit Card (Visa/Mastercard)</t>
        </is>
      </c>
      <c r="F95" s="16" t="inlineStr">
        <is>
          <t>Functional</t>
        </is>
      </c>
      <c r="G95" s="16" t="inlineStr">
        <is>
          <t>Medium</t>
        </is>
      </c>
      <c r="H95" s="16" t="inlineStr">
        <is>
          <t>Eligible user and product are available. Trigger the stated condition: Conditional Step 38 - if Temporary selected</t>
        </is>
      </c>
      <c r="I95" s="16" t="inlineStr">
        <is>
          <t>Credit Card (Visa/Mastercard)</t>
        </is>
      </c>
      <c r="J95" s="16" t="inlineStr">
        <is>
          <t>1. Open Credit Card (Visa/Mastercard).
2. Navigate to 2.4.3.2 ICL Temporary.
3. Perform the action or trigger described by: Conditional Step 38 - if Temporary selected.
4. Observe the page, validation, navigation, and resulting state.</t>
        </is>
      </c>
      <c r="K95" s="16" t="inlineStr">
        <is>
          <t>2.4.3.2 ICL Temporary behaves according to the mapped requirement (Conditional Step 38 - if Temporary selected); data, controls, navigation, and status are accurate and consistent.</t>
        </is>
      </c>
      <c r="L95" s="16" t="inlineStr">
        <is>
          <t>A&amp;A - refer to Authentication &amp; Authorisation FSD</t>
        </is>
      </c>
      <c r="M95" s="16" t="inlineStr">
        <is>
          <t>Request submitted / Request unsuccessful / Authorisation failed / Processing / Completed (per feature)</t>
        </is>
      </c>
      <c r="N95" s="16" t="inlineStr">
        <is>
          <t>Acct Dashboard Financing!A47:H47</t>
        </is>
      </c>
      <c r="O95" s="16" t="inlineStr">
        <is>
          <t>Not Run</t>
        </is>
      </c>
      <c r="P95" s="16" t="n"/>
      <c r="Q95" s="16" t="n"/>
      <c r="R95" s="17" t="inlineStr">
        <is>
          <t>Conditional coverage required.</t>
        </is>
      </c>
      <c r="S95" s="19" t="inlineStr">
        <is>
          <t>Credit Card API Design</t>
        </is>
      </c>
      <c r="T95" s="19" t="inlineStr">
        <is>
          <t>Cards dashboard</t>
        </is>
      </c>
      <c r="U95" s="19" t="inlineStr">
        <is>
          <t>GET</t>
        </is>
      </c>
      <c r="V95" s="19" t="inlineStr">
        <is>
          <t>/v1/external/accounts?accountGroup={accountGroup}</t>
        </is>
      </c>
      <c r="W95" s="19" t="inlineStr">
        <is>
          <t>dep-dashboard</t>
        </is>
      </c>
      <c r="X95" s="19" t="inlineStr">
        <is>
          <t>ECLIPSE_Account Dashboard_Credit_Card_DDD_API_Design_v1_Workshop.xlsx</t>
        </is>
      </c>
      <c r="Y95" s="19" t="inlineStr">
        <is>
          <t>2.1 CC Dashboard - Landing</t>
        </is>
      </c>
      <c r="Z95" s="19" t="inlineStr">
        <is>
          <t>API_Specs_Index!A2:H2</t>
        </is>
      </c>
      <c r="AA95" s="22" t="inlineStr">
        <is>
          <t>API-001</t>
        </is>
      </c>
      <c r="AB95" s="19" t="inlineStr">
        <is>
          <t>Mapped to Cards dashboard because the test case terms align with the 2.1 CC Dashboard - Landing journey in the applicable API specification.</t>
        </is>
      </c>
      <c r="AC95" s="19" t="inlineStr">
        <is>
          <t>Medium</t>
        </is>
      </c>
      <c r="AD95" s="19" t="inlineStr">
        <is>
          <t>1 User tap "Cards" and screen is loaded N/A dep-dashboard GET /v1/external/accounts?accountGroup={accountGroup} example : /v1/external/accounts?accountGroup=CARD { "status": 200, "message": "Request processed successfully", "timestamp": "2026-01-1...</t>
        </is>
      </c>
    </row>
    <row r="96" ht="409.6" customHeight="1" s="2">
      <c r="A96" s="12" t="inlineStr">
        <is>
          <t>TC-B1-0095</t>
        </is>
      </c>
      <c r="B96" s="13" t="inlineStr">
        <is>
          <t>TS-B1-075</t>
        </is>
      </c>
      <c r="C96" s="13" t="inlineStr">
        <is>
          <t>Acct Dashboard Financing</t>
        </is>
      </c>
      <c r="D96" s="13" t="inlineStr">
        <is>
          <t>Dashboard - Credit Card / Card Management</t>
        </is>
      </c>
      <c r="E96" s="13" t="inlineStr">
        <is>
          <t>Validate 2.4.3.3 ICL TnC for Credit Card (Visa/Mastercard)</t>
        </is>
      </c>
      <c r="F96" s="13" t="inlineStr">
        <is>
          <t>Functional</t>
        </is>
      </c>
      <c r="G96" s="13" t="inlineStr">
        <is>
          <t>Medium</t>
        </is>
      </c>
      <c r="H96" s="13" t="inlineStr">
        <is>
          <t>Eligible user and product are available. Trigger the stated condition: Conditional Step 39 - if proceeding with ICL</t>
        </is>
      </c>
      <c r="I96" s="13" t="inlineStr">
        <is>
          <t>Credit Card (Visa/Mastercard)</t>
        </is>
      </c>
      <c r="J96" s="13" t="inlineStr">
        <is>
          <t>1. Open Credit Card (Visa/Mastercard).
2. Navigate to 2.4.3.3 ICL TnC.
3. Perform the action or trigger described by: Conditional Step 39 - if proceeding with ICL.
4. Observe the page, validation, navigation, and resulting state.</t>
        </is>
      </c>
      <c r="K96" s="13" t="inlineStr">
        <is>
          <t>2.4.3.3 ICL TnC behaves according to the mapped requirement (Conditional Step 39 - if proceeding with ICL); data, controls, navigation, and status are accurate and consistent.</t>
        </is>
      </c>
      <c r="L96" s="13" t="inlineStr">
        <is>
          <t>A&amp;A - refer to Authentication &amp; Authorisation FSD</t>
        </is>
      </c>
      <c r="M96" s="13" t="inlineStr">
        <is>
          <t>Request submitted / Request unsuccessful / Authorisation failed / Processing / Completed (per feature)</t>
        </is>
      </c>
      <c r="N96" s="13" t="inlineStr">
        <is>
          <t>Acct Dashboard Financing!A48:H48</t>
        </is>
      </c>
      <c r="O96" s="13" t="inlineStr">
        <is>
          <t>Not Run</t>
        </is>
      </c>
      <c r="P96" s="13" t="n"/>
      <c r="Q96" s="13" t="n"/>
      <c r="R96" s="14" t="inlineStr">
        <is>
          <t>Conditional coverage required.</t>
        </is>
      </c>
      <c r="S96" s="19" t="inlineStr">
        <is>
          <t>Credit Card API Design</t>
        </is>
      </c>
      <c r="T96" s="19" t="inlineStr">
        <is>
          <t>Cards dashboard</t>
        </is>
      </c>
      <c r="U96" s="19" t="inlineStr">
        <is>
          <t>GET</t>
        </is>
      </c>
      <c r="V96" s="19" t="inlineStr">
        <is>
          <t>/v1/external/accounts?accountGroup={accountGroup}</t>
        </is>
      </c>
      <c r="W96" s="19" t="inlineStr">
        <is>
          <t>dep-dashboard</t>
        </is>
      </c>
      <c r="X96" s="19" t="inlineStr">
        <is>
          <t>ECLIPSE_Account Dashboard_Credit_Card_DDD_API_Design_v1_Workshop.xlsx</t>
        </is>
      </c>
      <c r="Y96" s="19" t="inlineStr">
        <is>
          <t>2.1 CC Dashboard - Landing</t>
        </is>
      </c>
      <c r="Z96" s="19" t="inlineStr">
        <is>
          <t>API_Specs_Index!A2:H2</t>
        </is>
      </c>
      <c r="AA96" s="22" t="inlineStr">
        <is>
          <t>API-001</t>
        </is>
      </c>
      <c r="AB96" s="19" t="inlineStr">
        <is>
          <t>Mapped to Cards dashboard because the test case terms align with the 2.1 CC Dashboard - Landing journey in the applicable API specification.</t>
        </is>
      </c>
      <c r="AC96" s="19" t="inlineStr">
        <is>
          <t>Medium</t>
        </is>
      </c>
      <c r="AD96" s="19" t="inlineStr">
        <is>
          <t>1 User tap "Cards" and screen is loaded N/A dep-dashboard GET /v1/external/accounts?accountGroup={accountGroup} example : /v1/external/accounts?accountGroup=CARD { "status": 200, "message": "Request processed successfully", "timestamp": "2026-01-1...</t>
        </is>
      </c>
    </row>
    <row r="97" ht="409.6" customHeight="1" s="2">
      <c r="A97" s="15" t="inlineStr">
        <is>
          <t>TC-B1-0096</t>
        </is>
      </c>
      <c r="B97" s="16" t="inlineStr">
        <is>
          <t>TS-B1-076</t>
        </is>
      </c>
      <c r="C97" s="16" t="inlineStr">
        <is>
          <t>Acct Dashboard Financing</t>
        </is>
      </c>
      <c r="D97" s="16" t="inlineStr">
        <is>
          <t>Dashboard - Credit Card / Card Management</t>
        </is>
      </c>
      <c r="E97" s="16" t="inlineStr">
        <is>
          <t>Validate 2.4.3.4 ICL Confirm for Credit Card (Visa/Mastercard)</t>
        </is>
      </c>
      <c r="F97" s="16" t="inlineStr">
        <is>
          <t>Functional</t>
        </is>
      </c>
      <c r="G97" s="16" t="inlineStr">
        <is>
          <t>Medium</t>
        </is>
      </c>
      <c r="H97" s="16" t="inlineStr">
        <is>
          <t>Eligible user and product are available. Trigger the stated condition: Conditional Step 40 - if proceeding with ICL</t>
        </is>
      </c>
      <c r="I97" s="16" t="inlineStr">
        <is>
          <t>Credit Card (Visa/Mastercard)</t>
        </is>
      </c>
      <c r="J97" s="16" t="inlineStr">
        <is>
          <t>1. Open Credit Card (Visa/Mastercard).
2. Navigate to 2.4.3.4 ICL Confirm.
3. Perform the action or trigger described by: Conditional Step 40 - if proceeding with ICL.
4. Observe the page, validation, navigation, and resulting state.</t>
        </is>
      </c>
      <c r="K97" s="16" t="inlineStr">
        <is>
          <t>2.4.3.4 ICL Confirm behaves according to the mapped requirement (Conditional Step 40 - if proceeding with ICL); data, controls, navigation, and status are accurate and consistent.</t>
        </is>
      </c>
      <c r="L97" s="16" t="inlineStr">
        <is>
          <t>A&amp;A - refer to Authentication &amp; Authorisation FSD</t>
        </is>
      </c>
      <c r="M97" s="16" t="inlineStr">
        <is>
          <t>Request submitted / Request unsuccessful / Authorisation failed / Processing / Completed (per feature)</t>
        </is>
      </c>
      <c r="N97" s="16" t="inlineStr">
        <is>
          <t>Acct Dashboard Financing!A49:H49</t>
        </is>
      </c>
      <c r="O97" s="16" t="inlineStr">
        <is>
          <t>Not Run</t>
        </is>
      </c>
      <c r="P97" s="16" t="n"/>
      <c r="Q97" s="16" t="n"/>
      <c r="R97" s="17" t="inlineStr">
        <is>
          <t>Conditional coverage required.</t>
        </is>
      </c>
      <c r="S97" s="19" t="inlineStr">
        <is>
          <t>Credit Card API Design</t>
        </is>
      </c>
      <c r="T97" s="19" t="inlineStr">
        <is>
          <t>Cards dashboard</t>
        </is>
      </c>
      <c r="U97" s="19" t="inlineStr">
        <is>
          <t>GET</t>
        </is>
      </c>
      <c r="V97" s="19" t="inlineStr">
        <is>
          <t>/v1/external/accounts?accountGroup={accountGroup}</t>
        </is>
      </c>
      <c r="W97" s="19" t="inlineStr">
        <is>
          <t>dep-dashboard</t>
        </is>
      </c>
      <c r="X97" s="19" t="inlineStr">
        <is>
          <t>ECLIPSE_Account Dashboard_Credit_Card_DDD_API_Design_v1_Workshop.xlsx</t>
        </is>
      </c>
      <c r="Y97" s="19" t="inlineStr">
        <is>
          <t>2.1 CC Dashboard - Landing</t>
        </is>
      </c>
      <c r="Z97" s="19" t="inlineStr">
        <is>
          <t>API_Specs_Index!A2:H2</t>
        </is>
      </c>
      <c r="AA97" s="22" t="inlineStr">
        <is>
          <t>API-001</t>
        </is>
      </c>
      <c r="AB97" s="19" t="inlineStr">
        <is>
          <t>Mapped to Cards dashboard because the test case terms align with the 2.1 CC Dashboard - Landing journey in the applicable API specification.</t>
        </is>
      </c>
      <c r="AC97" s="19" t="inlineStr">
        <is>
          <t>Medium</t>
        </is>
      </c>
      <c r="AD97" s="19" t="inlineStr">
        <is>
          <t>1 User tap "Cards" and screen is loaded N/A dep-dashboard GET /v1/external/accounts?accountGroup={accountGroup} example : /v1/external/accounts?accountGroup=CARD { "status": 200, "message": "Request processed successfully", "timestamp": "2026-01-1...</t>
        </is>
      </c>
    </row>
    <row r="98" ht="409.6" customHeight="1" s="2">
      <c r="A98" s="12" t="inlineStr">
        <is>
          <t>TC-B1-0097</t>
        </is>
      </c>
      <c r="B98" s="13" t="inlineStr">
        <is>
          <t>TS-B1-077</t>
        </is>
      </c>
      <c r="C98" s="13" t="inlineStr">
        <is>
          <t>Acct Dashboard Financing</t>
        </is>
      </c>
      <c r="D98" s="13" t="inlineStr">
        <is>
          <t>Dashboard - Credit Card / Card Management</t>
        </is>
      </c>
      <c r="E98" s="13" t="inlineStr">
        <is>
          <t>Validate 2.4.3.5 ICL Ack for Credit Card (Visa/Mastercard)</t>
        </is>
      </c>
      <c r="F98" s="13" t="inlineStr">
        <is>
          <t>Functional</t>
        </is>
      </c>
      <c r="G98" s="13" t="inlineStr">
        <is>
          <t>Medium</t>
        </is>
      </c>
      <c r="H98" s="13" t="inlineStr">
        <is>
          <t>Eligible user and product are available. Trigger the stated condition: Conditional Step 41 - if proceeding with ICL</t>
        </is>
      </c>
      <c r="I98" s="13" t="inlineStr">
        <is>
          <t>Credit Card (Visa/Mastercard)</t>
        </is>
      </c>
      <c r="J98" s="13" t="inlineStr">
        <is>
          <t>1. Open Credit Card (Visa/Mastercard).
2. Navigate to 2.4.3.5 ICL Ack.
3. Perform the action or trigger described by: Conditional Step 41 - if proceeding with ICL.
4. Observe the page, validation, navigation, and resulting state.</t>
        </is>
      </c>
      <c r="K98" s="13" t="inlineStr">
        <is>
          <t>2.4.3.5 ICL Ack behaves according to the mapped requirement (Conditional Step 41 - if proceeding with ICL); data, controls, navigation, and status are accurate and consistent.</t>
        </is>
      </c>
      <c r="L98" s="13" t="inlineStr">
        <is>
          <t>A&amp;A - refer to Authentication &amp; Authorisation FSD</t>
        </is>
      </c>
      <c r="M98" s="13" t="inlineStr">
        <is>
          <t>Request submitted / Request unsuccessful / Authorisation failed / Processing / Completed (per feature)</t>
        </is>
      </c>
      <c r="N98" s="13" t="inlineStr">
        <is>
          <t>Acct Dashboard Financing!A50:H50</t>
        </is>
      </c>
      <c r="O98" s="13" t="inlineStr">
        <is>
          <t>Not Run</t>
        </is>
      </c>
      <c r="P98" s="13" t="n"/>
      <c r="Q98" s="13" t="n"/>
      <c r="R98" s="14" t="inlineStr">
        <is>
          <t>Conditional coverage required.</t>
        </is>
      </c>
      <c r="S98" s="19" t="inlineStr">
        <is>
          <t>Credit Card API Design</t>
        </is>
      </c>
      <c r="T98" s="19" t="inlineStr">
        <is>
          <t>Cards dashboard</t>
        </is>
      </c>
      <c r="U98" s="19" t="inlineStr">
        <is>
          <t>GET</t>
        </is>
      </c>
      <c r="V98" s="19" t="inlineStr">
        <is>
          <t>/v1/external/accounts?accountGroup={accountGroup}</t>
        </is>
      </c>
      <c r="W98" s="19" t="inlineStr">
        <is>
          <t>dep-dashboard</t>
        </is>
      </c>
      <c r="X98" s="19" t="inlineStr">
        <is>
          <t>ECLIPSE_Account Dashboard_Credit_Card_DDD_API_Design_v1_Workshop.xlsx</t>
        </is>
      </c>
      <c r="Y98" s="19" t="inlineStr">
        <is>
          <t>2.1 CC Dashboard - Landing</t>
        </is>
      </c>
      <c r="Z98" s="19" t="inlineStr">
        <is>
          <t>API_Specs_Index!A2:H2</t>
        </is>
      </c>
      <c r="AA98" s="22" t="inlineStr">
        <is>
          <t>API-001</t>
        </is>
      </c>
      <c r="AB98" s="19" t="inlineStr">
        <is>
          <t>Mapped to Cards dashboard because the test case terms align with the 2.1 CC Dashboard - Landing journey in the applicable API specification.</t>
        </is>
      </c>
      <c r="AC98" s="19" t="inlineStr">
        <is>
          <t>Medium</t>
        </is>
      </c>
      <c r="AD98" s="19" t="inlineStr">
        <is>
          <t>1 User tap "Cards" and screen is loaded N/A dep-dashboard GET /v1/external/accounts?accountGroup={accountGroup} example : /v1/external/accounts?accountGroup=CARD { "status": 200, "message": "Request processed successfully", "timestamp": "2026-01-1...</t>
        </is>
      </c>
    </row>
    <row r="99" ht="409.6" customHeight="1" s="2">
      <c r="A99" s="15" t="inlineStr">
        <is>
          <t>TC-B1-0098</t>
        </is>
      </c>
      <c r="B99" s="16" t="inlineStr">
        <is>
          <t>TS-B1-078</t>
        </is>
      </c>
      <c r="C99" s="16" t="inlineStr">
        <is>
          <t>Acct Dashboard Financing</t>
        </is>
      </c>
      <c r="D99" s="16" t="inlineStr">
        <is>
          <t>Dashboard - Credit Card / Card Management</t>
        </is>
      </c>
      <c r="E99" s="16" t="inlineStr">
        <is>
          <t>Validate 2.4.3.6 ICL Rcpt &amp; Notif for Credit Card (Visa/Mastercard)</t>
        </is>
      </c>
      <c r="F99" s="16" t="inlineStr">
        <is>
          <t>Functional</t>
        </is>
      </c>
      <c r="G99" s="16" t="inlineStr">
        <is>
          <t>Medium</t>
        </is>
      </c>
      <c r="H99" s="16" t="inlineStr">
        <is>
          <t>Eligible user and product are available. Trigger the stated condition: Conditional Step 42 - if proceeding with ICL</t>
        </is>
      </c>
      <c r="I99" s="16" t="inlineStr">
        <is>
          <t>Credit Card (Visa/Mastercard)</t>
        </is>
      </c>
      <c r="J99" s="16" t="inlineStr">
        <is>
          <t>1. Open Credit Card (Visa/Mastercard).
2. Navigate to 2.4.3.6 ICL Rcpt &amp; Notif.
3. Perform the action or trigger described by: Conditional Step 42 - if proceeding with ICL.
4. Observe the page, validation, navigation, and resulting state.</t>
        </is>
      </c>
      <c r="K99" s="16" t="inlineStr">
        <is>
          <t>2.4.3.6 ICL Rcpt &amp; Notif behaves according to the mapped requirement (Conditional Step 42 - if proceeding with ICL); data, controls, navigation, and status are accurate and consistent.</t>
        </is>
      </c>
      <c r="L99" s="16" t="inlineStr">
        <is>
          <t>A&amp;A - refer to Authentication &amp; Authorisation FSD</t>
        </is>
      </c>
      <c r="M99" s="16" t="inlineStr">
        <is>
          <t>Request submitted / Request unsuccessful / Authorisation failed / Processing / Completed (per feature)</t>
        </is>
      </c>
      <c r="N99" s="16" t="inlineStr">
        <is>
          <t>Acct Dashboard Financing!A51:H51</t>
        </is>
      </c>
      <c r="O99" s="16" t="inlineStr">
        <is>
          <t>Not Run</t>
        </is>
      </c>
      <c r="P99" s="16" t="n"/>
      <c r="Q99" s="16" t="n"/>
      <c r="R99" s="17" t="inlineStr">
        <is>
          <t>Conditional coverage required.</t>
        </is>
      </c>
      <c r="S99" s="19" t="inlineStr">
        <is>
          <t>Credit Card API Design</t>
        </is>
      </c>
      <c r="T99" s="19" t="inlineStr">
        <is>
          <t>Cards dashboard</t>
        </is>
      </c>
      <c r="U99" s="19" t="inlineStr">
        <is>
          <t>GET</t>
        </is>
      </c>
      <c r="V99" s="19" t="inlineStr">
        <is>
          <t>/v1/external/accounts?accountGroup={accountGroup}</t>
        </is>
      </c>
      <c r="W99" s="19" t="inlineStr">
        <is>
          <t>dep-dashboard</t>
        </is>
      </c>
      <c r="X99" s="19" t="inlineStr">
        <is>
          <t>ECLIPSE_Account Dashboard_Credit_Card_DDD_API_Design_v1_Workshop.xlsx</t>
        </is>
      </c>
      <c r="Y99" s="19" t="inlineStr">
        <is>
          <t>2.1 CC Dashboard - Landing</t>
        </is>
      </c>
      <c r="Z99" s="19" t="inlineStr">
        <is>
          <t>API_Specs_Index!A2:H2</t>
        </is>
      </c>
      <c r="AA99" s="22" t="inlineStr">
        <is>
          <t>API-001</t>
        </is>
      </c>
      <c r="AB99" s="19" t="inlineStr">
        <is>
          <t>Mapped to Cards dashboard because the test case terms align with the 2.1 CC Dashboard - Landing journey in the applicable API specification.</t>
        </is>
      </c>
      <c r="AC99" s="19" t="inlineStr">
        <is>
          <t>Medium</t>
        </is>
      </c>
      <c r="AD99" s="19" t="inlineStr">
        <is>
          <t>1 User tap "Cards" and screen is loaded N/A dep-dashboard GET /v1/external/accounts?accountGroup={accountGroup} example : /v1/external/accounts?accountGroup=CARD { "status": 200, "message": "Request processed successfully", "timestamp": "2026-01-1...</t>
        </is>
      </c>
    </row>
    <row r="100" ht="409.6" customHeight="1" s="2">
      <c r="A100" s="12" t="inlineStr">
        <is>
          <t>TC-B1-0099</t>
        </is>
      </c>
      <c r="B100" s="13" t="inlineStr">
        <is>
          <t>TS-B1-079</t>
        </is>
      </c>
      <c r="C100" s="13" t="inlineStr">
        <is>
          <t>Acct Dashboard Financing</t>
        </is>
      </c>
      <c r="D100" s="13" t="inlineStr">
        <is>
          <t>Dashboard - Credit Card / Card Management</t>
        </is>
      </c>
      <c r="E100" s="13" t="inlineStr">
        <is>
          <t>Validate 2.4.4 Block Card for Credit Card (Visa/Mastercard)</t>
        </is>
      </c>
      <c r="F100" s="13" t="inlineStr">
        <is>
          <t>Functional</t>
        </is>
      </c>
      <c r="G100" s="13" t="inlineStr">
        <is>
          <t>High</t>
        </is>
      </c>
      <c r="H100" s="13" t="inlineStr">
        <is>
          <t>Eligible user and product are available. Trigger the stated condition: Conditional Step 43 - for Active card block action</t>
        </is>
      </c>
      <c r="I100" s="13" t="inlineStr">
        <is>
          <t>Credit Card (Visa/Mastercard)</t>
        </is>
      </c>
      <c r="J100" s="13" t="inlineStr">
        <is>
          <t>1. Open Credit Card (Visa/Mastercard).
2. Navigate to 2.4.4 Block Card.
3. Perform the action or trigger described by: Conditional Step 43 - for Active card block action.
4. Observe the page, validation, navigation, and resulting state.</t>
        </is>
      </c>
      <c r="K100" s="13" t="inlineStr">
        <is>
          <t>2.4.4 Block Card behaves according to the mapped requirement (Conditional Step 43 - for Active card block action); data, controls, navigation, and status are accurate and consistent.</t>
        </is>
      </c>
      <c r="L100" s="13" t="inlineStr">
        <is>
          <t>A&amp;A - refer to Authentication &amp; Authorisation FSD</t>
        </is>
      </c>
      <c r="M100" s="13" t="inlineStr">
        <is>
          <t>Request submitted / Request unsuccessful / Authorisation failed / Processing / Completed (per feature)</t>
        </is>
      </c>
      <c r="N100" s="13" t="inlineStr">
        <is>
          <t>Acct Dashboard Financing!A52:H52</t>
        </is>
      </c>
      <c r="O100" s="13" t="inlineStr">
        <is>
          <t>Not Run</t>
        </is>
      </c>
      <c r="P100" s="13" t="n"/>
      <c r="Q100" s="13" t="n"/>
      <c r="R100" s="14" t="inlineStr">
        <is>
          <t>Conditional coverage required.</t>
        </is>
      </c>
      <c r="S100" s="19" t="inlineStr">
        <is>
          <t>Credit Card API Design</t>
        </is>
      </c>
      <c r="T100" s="19" t="inlineStr">
        <is>
          <t>Block credit card</t>
        </is>
      </c>
      <c r="U100" s="19" t="inlineStr">
        <is>
          <t>POST</t>
        </is>
      </c>
      <c r="V100" s="19" t="inlineStr">
        <is>
          <t>/v1/external/cards/block</t>
        </is>
      </c>
      <c r="W100" s="19" t="inlineStr">
        <is>
          <t>dep-card</t>
        </is>
      </c>
      <c r="X100" s="19" t="inlineStr">
        <is>
          <t>ECLIPSE_Account Dashboard_Credit_Card_DDD_API_Design_v1_Workshop.xlsx</t>
        </is>
      </c>
      <c r="Y100" s="19" t="inlineStr">
        <is>
          <t>2.4.4 Block Card</t>
        </is>
      </c>
      <c r="Z100" s="19" t="inlineStr">
        <is>
          <t>API_Specs_Index!A25:H25</t>
        </is>
      </c>
      <c r="AA100" s="22" t="inlineStr">
        <is>
          <t>API-011</t>
        </is>
      </c>
      <c r="AB100" s="19" t="inlineStr">
        <is>
          <t>Mapped to Block credit card because the test case terms align with the 2.4.4 Block Card journey in the applicable API specification.</t>
        </is>
      </c>
      <c r="AC100" s="19" t="inlineStr">
        <is>
          <t>High</t>
        </is>
      </c>
      <c r="AD100" s="19" t="inlineStr">
        <is>
          <t>No additional validation notes were documented in the source index.</t>
        </is>
      </c>
    </row>
    <row r="101" ht="409.6" customHeight="1" s="2">
      <c r="A101" s="15" t="inlineStr">
        <is>
          <t>TC-B1-0100</t>
        </is>
      </c>
      <c r="B101" s="16" t="inlineStr">
        <is>
          <t>TS-B1-080</t>
        </is>
      </c>
      <c r="C101" s="16" t="inlineStr">
        <is>
          <t>Acct Dashboard Financing</t>
        </is>
      </c>
      <c r="D101" s="16" t="inlineStr">
        <is>
          <t>Dashboard - Credit Card / Card Management</t>
        </is>
      </c>
      <c r="E101" s="16" t="inlineStr">
        <is>
          <t>Validate 2.4.4.1 Block Card Ack for Credit Card (Visa/Mastercard)</t>
        </is>
      </c>
      <c r="F101" s="16" t="inlineStr">
        <is>
          <t>Functional</t>
        </is>
      </c>
      <c r="G101" s="16" t="inlineStr">
        <is>
          <t>High</t>
        </is>
      </c>
      <c r="H101" s="16" t="inlineStr">
        <is>
          <t>Eligible user and product are available. Trigger the stated condition: Conditional Step 44 - if block action submitted</t>
        </is>
      </c>
      <c r="I101" s="16" t="inlineStr">
        <is>
          <t>Credit Card (Visa/Mastercard)</t>
        </is>
      </c>
      <c r="J101" s="16" t="inlineStr">
        <is>
          <t>1. Open Credit Card (Visa/Mastercard).
2. Navigate to 2.4.4.1 Block Card Ack.
3. Perform the action or trigger described by: Conditional Step 44 - if block action submitted.
4. Observe the page, validation, navigation, and resulting state.</t>
        </is>
      </c>
      <c r="K101" s="16" t="inlineStr">
        <is>
          <t>2.4.4.1 Block Card Ack behaves according to the mapped requirement (Conditional Step 44 - if block action submitted); data, controls, navigation, and status are accurate and consistent.</t>
        </is>
      </c>
      <c r="L101" s="16" t="inlineStr">
        <is>
          <t>A&amp;A - refer to Authentication &amp; Authorisation FSD</t>
        </is>
      </c>
      <c r="M101" s="16" t="inlineStr">
        <is>
          <t>Request submitted / Request unsuccessful / Authorisation failed / Processing / Completed (per feature)</t>
        </is>
      </c>
      <c r="N101" s="16" t="inlineStr">
        <is>
          <t>Acct Dashboard Financing!A53:H53</t>
        </is>
      </c>
      <c r="O101" s="16" t="inlineStr">
        <is>
          <t>Not Run</t>
        </is>
      </c>
      <c r="P101" s="16" t="n"/>
      <c r="Q101" s="16" t="n"/>
      <c r="R101" s="17" t="inlineStr">
        <is>
          <t>Conditional coverage required.</t>
        </is>
      </c>
      <c r="S101" s="19" t="inlineStr">
        <is>
          <t>Credit Card API Design</t>
        </is>
      </c>
      <c r="T101" s="19" t="inlineStr">
        <is>
          <t>Block credit card</t>
        </is>
      </c>
      <c r="U101" s="19" t="inlineStr">
        <is>
          <t>POST</t>
        </is>
      </c>
      <c r="V101" s="19" t="inlineStr">
        <is>
          <t>/v1/external/cards/block</t>
        </is>
      </c>
      <c r="W101" s="19" t="inlineStr">
        <is>
          <t>dep-card</t>
        </is>
      </c>
      <c r="X101" s="19" t="inlineStr">
        <is>
          <t>ECLIPSE_Account Dashboard_Credit_Card_DDD_API_Design_v1_Workshop.xlsx</t>
        </is>
      </c>
      <c r="Y101" s="19" t="inlineStr">
        <is>
          <t>2.4.4 Block Card</t>
        </is>
      </c>
      <c r="Z101" s="19" t="inlineStr">
        <is>
          <t>API_Specs_Index!A25:H25</t>
        </is>
      </c>
      <c r="AA101" s="22" t="inlineStr">
        <is>
          <t>API-011</t>
        </is>
      </c>
      <c r="AB101" s="19" t="inlineStr">
        <is>
          <t>Mapped to Block credit card because the test case terms align with the 2.4.4 Block Card journey in the applicable API specification.</t>
        </is>
      </c>
      <c r="AC101" s="19" t="inlineStr">
        <is>
          <t>High</t>
        </is>
      </c>
      <c r="AD101" s="19" t="inlineStr">
        <is>
          <t>No additional validation notes were documented in the source index.</t>
        </is>
      </c>
    </row>
    <row r="102" ht="409.6" customHeight="1" s="2">
      <c r="A102" s="12" t="inlineStr">
        <is>
          <t>TC-B1-0101</t>
        </is>
      </c>
      <c r="B102" s="13" t="inlineStr">
        <is>
          <t>TS-B1-081</t>
        </is>
      </c>
      <c r="C102" s="13" t="inlineStr">
        <is>
          <t>Acct Dashboard Financing</t>
        </is>
      </c>
      <c r="D102" s="13" t="inlineStr">
        <is>
          <t>Dashboard - Credit Card / Card Management</t>
        </is>
      </c>
      <c r="E102" s="13" t="inlineStr">
        <is>
          <t>Validate 2.4.4.2 Block Card Notif for Credit Card (Visa/Mastercard)</t>
        </is>
      </c>
      <c r="F102" s="13" t="inlineStr">
        <is>
          <t>Functional</t>
        </is>
      </c>
      <c r="G102" s="13" t="inlineStr">
        <is>
          <t>High</t>
        </is>
      </c>
      <c r="H102" s="13" t="inlineStr">
        <is>
          <t>Eligible user and product are available. Trigger the stated condition: Conditional Step 45 - if block action submitted</t>
        </is>
      </c>
      <c r="I102" s="13" t="inlineStr">
        <is>
          <t>Credit Card (Visa/Mastercard)</t>
        </is>
      </c>
      <c r="J102" s="13" t="inlineStr">
        <is>
          <t>1. Open Credit Card (Visa/Mastercard).
2. Navigate to 2.4.4.2 Block Card Notif.
3. Perform the action or trigger described by: Conditional Step 45 - if block action submitted.
4. Observe the page, validation, navigation, and resulting state.</t>
        </is>
      </c>
      <c r="K102" s="13" t="inlineStr">
        <is>
          <t>2.4.4.2 Block Card Notif behaves according to the mapped requirement (Conditional Step 45 - if block action submitted); data, controls, navigation, and status are accurate and consistent.</t>
        </is>
      </c>
      <c r="L102" s="13" t="inlineStr">
        <is>
          <t>A&amp;A - refer to Authentication &amp; Authorisation FSD</t>
        </is>
      </c>
      <c r="M102" s="13" t="inlineStr">
        <is>
          <t>Request submitted / Request unsuccessful / Authorisation failed / Processing / Completed (per feature)</t>
        </is>
      </c>
      <c r="N102" s="13" t="inlineStr">
        <is>
          <t>Acct Dashboard Financing!A54:H54</t>
        </is>
      </c>
      <c r="O102" s="13" t="inlineStr">
        <is>
          <t>Not Run</t>
        </is>
      </c>
      <c r="P102" s="13" t="n"/>
      <c r="Q102" s="13" t="n"/>
      <c r="R102" s="14" t="inlineStr">
        <is>
          <t>Conditional coverage required.</t>
        </is>
      </c>
      <c r="S102" s="19" t="inlineStr">
        <is>
          <t>Credit Card API Design</t>
        </is>
      </c>
      <c r="T102" s="19" t="inlineStr">
        <is>
          <t>Block credit card</t>
        </is>
      </c>
      <c r="U102" s="19" t="inlineStr">
        <is>
          <t>POST</t>
        </is>
      </c>
      <c r="V102" s="19" t="inlineStr">
        <is>
          <t>/v1/external/cards/block</t>
        </is>
      </c>
      <c r="W102" s="19" t="inlineStr">
        <is>
          <t>dep-card</t>
        </is>
      </c>
      <c r="X102" s="19" t="inlineStr">
        <is>
          <t>ECLIPSE_Account Dashboard_Credit_Card_DDD_API_Design_v1_Workshop.xlsx</t>
        </is>
      </c>
      <c r="Y102" s="19" t="inlineStr">
        <is>
          <t>2.4.4 Block Card</t>
        </is>
      </c>
      <c r="Z102" s="19" t="inlineStr">
        <is>
          <t>API_Specs_Index!A25:H25</t>
        </is>
      </c>
      <c r="AA102" s="22" t="inlineStr">
        <is>
          <t>API-011</t>
        </is>
      </c>
      <c r="AB102" s="19" t="inlineStr">
        <is>
          <t>Mapped to Block credit card because the test case terms align with the 2.4.4 Block Card journey in the applicable API specification.</t>
        </is>
      </c>
      <c r="AC102" s="19" t="inlineStr">
        <is>
          <t>High</t>
        </is>
      </c>
      <c r="AD102" s="19" t="inlineStr">
        <is>
          <t>No additional validation notes were documented in the source index.</t>
        </is>
      </c>
    </row>
    <row r="103" ht="409.6" customHeight="1" s="2">
      <c r="A103" s="15" t="inlineStr">
        <is>
          <t>TC-B1-0102</t>
        </is>
      </c>
      <c r="B103" s="16" t="inlineStr">
        <is>
          <t>TS-B1-082</t>
        </is>
      </c>
      <c r="C103" s="16" t="inlineStr">
        <is>
          <t>Acct Dashboard Financing</t>
        </is>
      </c>
      <c r="D103" s="16" t="inlineStr">
        <is>
          <t>Dashboard - Credit Card / Card Management</t>
        </is>
      </c>
      <c r="E103" s="16" t="inlineStr">
        <is>
          <t>Validate 2.4.5 Unblock Card for Credit Card (Visa/Mastercard)</t>
        </is>
      </c>
      <c r="F103" s="16" t="inlineStr">
        <is>
          <t>Negative</t>
        </is>
      </c>
      <c r="G103" s="16" t="inlineStr">
        <is>
          <t>High</t>
        </is>
      </c>
      <c r="H103" s="16" t="inlineStr">
        <is>
          <t>Eligible user and product are available. Trigger the stated condition: Conditional Step 46 - when card is temporarily blocked by eligible channel</t>
        </is>
      </c>
      <c r="I103" s="16" t="inlineStr">
        <is>
          <t>Credit Card (Visa/Mastercard)</t>
        </is>
      </c>
      <c r="J103" s="16" t="inlineStr">
        <is>
          <t>1. Open Credit Card (Visa/Mastercard).
2. Navigate to 2.4.5 Unblock Card.
3. Perform the action or trigger described by: Conditional Step 46 - when card is temporarily blocked by eligible channel.
4. Observe the page, validation, navigation, and resulting state.</t>
        </is>
      </c>
      <c r="K103" s="16" t="inlineStr">
        <is>
          <t>2.4.5 Unblock Card behaves according to the mapped requirement (Conditional Step 46 - when card is temporarily blocked by eligible channel); data, controls, navigation, and status are accurate and consistent.</t>
        </is>
      </c>
      <c r="L103" s="16" t="inlineStr">
        <is>
          <t>A&amp;A - refer to Authentication &amp; Authorisation FSD</t>
        </is>
      </c>
      <c r="M103" s="16" t="inlineStr">
        <is>
          <t>Request submitted / Request unsuccessful / Authorisation failed / Processing / Completed (per feature)</t>
        </is>
      </c>
      <c r="N103" s="16" t="inlineStr">
        <is>
          <t>Acct Dashboard Financing!A55:H55</t>
        </is>
      </c>
      <c r="O103" s="16" t="inlineStr">
        <is>
          <t>Not Run</t>
        </is>
      </c>
      <c r="P103" s="16" t="n"/>
      <c r="Q103" s="16" t="n"/>
      <c r="R103" s="17" t="inlineStr">
        <is>
          <t>Conditional coverage required.</t>
        </is>
      </c>
      <c r="S103" s="19" t="inlineStr">
        <is>
          <t>Credit Card API Design</t>
        </is>
      </c>
      <c r="T103" s="19" t="inlineStr">
        <is>
          <t>Unblock credit card</t>
        </is>
      </c>
      <c r="U103" s="19" t="inlineStr">
        <is>
          <t>POST</t>
        </is>
      </c>
      <c r="V103" s="19" t="inlineStr">
        <is>
          <t>/v1/external/cards/unblock</t>
        </is>
      </c>
      <c r="W103" s="19" t="inlineStr">
        <is>
          <t>dep-card</t>
        </is>
      </c>
      <c r="X103" s="19" t="inlineStr">
        <is>
          <t>ECLIPSE_Account Dashboard_Credit_Card_DDD_API_Design_v1_Workshop.xlsx</t>
        </is>
      </c>
      <c r="Y103" s="19" t="inlineStr">
        <is>
          <t>2.4.5 Unblock Card</t>
        </is>
      </c>
      <c r="Z103" s="19" t="inlineStr">
        <is>
          <t>API_Specs_Index!A26:H26</t>
        </is>
      </c>
      <c r="AA103" s="22" t="inlineStr">
        <is>
          <t>API-012</t>
        </is>
      </c>
      <c r="AB103" s="19" t="inlineStr">
        <is>
          <t>Mapped to Unblock credit card because the test case terms align with the 2.4.5 Unblock Card journey in the applicable API specification.</t>
        </is>
      </c>
      <c r="AC103" s="19" t="inlineStr">
        <is>
          <t>High</t>
        </is>
      </c>
      <c r="AD103" s="19" t="inlineStr">
        <is>
          <t>No Screen User Action Business Logic API Name Microservice Ownership Method Endpoint Request JSON Success Response JSON Failed Response JSON ESB Eclipse DB Source BE Validation</t>
        </is>
      </c>
    </row>
    <row r="104" ht="409.6" customHeight="1" s="2">
      <c r="A104" s="12" t="inlineStr">
        <is>
          <t>TC-B1-0103</t>
        </is>
      </c>
      <c r="B104" s="13" t="inlineStr">
        <is>
          <t>TS-B1-083</t>
        </is>
      </c>
      <c r="C104" s="13" t="inlineStr">
        <is>
          <t>Acct Dashboard Financing</t>
        </is>
      </c>
      <c r="D104" s="13" t="inlineStr">
        <is>
          <t>Dashboard - Credit Card / Card Management</t>
        </is>
      </c>
      <c r="E104" s="13" t="inlineStr">
        <is>
          <t>Validate 2.4.5.1 Unblock Card Ack for Credit Card (Visa/Mastercard)</t>
        </is>
      </c>
      <c r="F104" s="13" t="inlineStr">
        <is>
          <t>Functional</t>
        </is>
      </c>
      <c r="G104" s="13" t="inlineStr">
        <is>
          <t>High</t>
        </is>
      </c>
      <c r="H104" s="13" t="inlineStr">
        <is>
          <t>Eligible user and product are available. Trigger the stated condition: Conditional Step 47 - if unblock action submitted</t>
        </is>
      </c>
      <c r="I104" s="13" t="inlineStr">
        <is>
          <t>Credit Card (Visa/Mastercard)</t>
        </is>
      </c>
      <c r="J104" s="13" t="inlineStr">
        <is>
          <t>1. Open Credit Card (Visa/Mastercard).
2. Navigate to 2.4.5.1 Unblock Card Ack.
3. Perform the action or trigger described by: Conditional Step 47 - if unblock action submitted.
4. Observe the page, validation, navigation, and resulting state.</t>
        </is>
      </c>
      <c r="K104" s="13" t="inlineStr">
        <is>
          <t>2.4.5.1 Unblock Card Ack behaves according to the mapped requirement (Conditional Step 47 - if unblock action submitted); data, controls, navigation, and status are accurate and consistent.</t>
        </is>
      </c>
      <c r="L104" s="13" t="inlineStr">
        <is>
          <t>A&amp;A - refer to Authentication &amp; Authorisation FSD</t>
        </is>
      </c>
      <c r="M104" s="13" t="inlineStr">
        <is>
          <t>Request submitted / Request unsuccessful / Authorisation failed / Processing / Completed (per feature)</t>
        </is>
      </c>
      <c r="N104" s="13" t="inlineStr">
        <is>
          <t>Acct Dashboard Financing!A56:H56</t>
        </is>
      </c>
      <c r="O104" s="13" t="inlineStr">
        <is>
          <t>Not Run</t>
        </is>
      </c>
      <c r="P104" s="13" t="n"/>
      <c r="Q104" s="13" t="n"/>
      <c r="R104" s="14" t="inlineStr">
        <is>
          <t>Conditional coverage required.</t>
        </is>
      </c>
      <c r="S104" s="19" t="inlineStr">
        <is>
          <t>Credit Card API Design</t>
        </is>
      </c>
      <c r="T104" s="19" t="inlineStr">
        <is>
          <t>Unblock credit card</t>
        </is>
      </c>
      <c r="U104" s="19" t="inlineStr">
        <is>
          <t>POST</t>
        </is>
      </c>
      <c r="V104" s="19" t="inlineStr">
        <is>
          <t>/v1/external/cards/unblock</t>
        </is>
      </c>
      <c r="W104" s="19" t="inlineStr">
        <is>
          <t>dep-card</t>
        </is>
      </c>
      <c r="X104" s="19" t="inlineStr">
        <is>
          <t>ECLIPSE_Account Dashboard_Credit_Card_DDD_API_Design_v1_Workshop.xlsx</t>
        </is>
      </c>
      <c r="Y104" s="19" t="inlineStr">
        <is>
          <t>2.4.5 Unblock Card</t>
        </is>
      </c>
      <c r="Z104" s="19" t="inlineStr">
        <is>
          <t>API_Specs_Index!A26:H26</t>
        </is>
      </c>
      <c r="AA104" s="22" t="inlineStr">
        <is>
          <t>API-012</t>
        </is>
      </c>
      <c r="AB104" s="19" t="inlineStr">
        <is>
          <t>Mapped to Unblock credit card because the test case terms align with the 2.4.5 Unblock Card journey in the applicable API specification.</t>
        </is>
      </c>
      <c r="AC104" s="19" t="inlineStr">
        <is>
          <t>High</t>
        </is>
      </c>
      <c r="AD104" s="19" t="inlineStr">
        <is>
          <t>No Screen User Action Business Logic API Name Microservice Ownership Method Endpoint Request JSON Success Response JSON Failed Response JSON ESB Eclipse DB Source BE Validation</t>
        </is>
      </c>
    </row>
    <row r="105" ht="409.6" customHeight="1" s="2">
      <c r="A105" s="15" t="inlineStr">
        <is>
          <t>TC-B1-0104</t>
        </is>
      </c>
      <c r="B105" s="16" t="inlineStr">
        <is>
          <t>TS-B1-084</t>
        </is>
      </c>
      <c r="C105" s="16" t="inlineStr">
        <is>
          <t>Acct Dashboard Financing</t>
        </is>
      </c>
      <c r="D105" s="16" t="inlineStr">
        <is>
          <t>Dashboard - Credit Card / Card Management</t>
        </is>
      </c>
      <c r="E105" s="16" t="inlineStr">
        <is>
          <t>Validate 2.4.5.2 Unblock Card Notif for Credit Card (Visa/Mastercard)</t>
        </is>
      </c>
      <c r="F105" s="16" t="inlineStr">
        <is>
          <t>Functional</t>
        </is>
      </c>
      <c r="G105" s="16" t="inlineStr">
        <is>
          <t>High</t>
        </is>
      </c>
      <c r="H105" s="16" t="inlineStr">
        <is>
          <t>Eligible user and product are available. Trigger the stated condition: Conditional Step 48 - if unblock action submitted</t>
        </is>
      </c>
      <c r="I105" s="16" t="inlineStr">
        <is>
          <t>Credit Card (Visa/Mastercard)</t>
        </is>
      </c>
      <c r="J105" s="16" t="inlineStr">
        <is>
          <t>1. Open Credit Card (Visa/Mastercard).
2. Navigate to 2.4.5.2 Unblock Card Notif.
3. Perform the action or trigger described by: Conditional Step 48 - if unblock action submitted.
4. Observe the page, validation, navigation, and resulting state.</t>
        </is>
      </c>
      <c r="K105" s="16" t="inlineStr">
        <is>
          <t>2.4.5.2 Unblock Card Notif behaves according to the mapped requirement (Conditional Step 48 - if unblock action submitted); data, controls, navigation, and status are accurate and consistent.</t>
        </is>
      </c>
      <c r="L105" s="16" t="inlineStr">
        <is>
          <t>A&amp;A - refer to Authentication &amp; Authorisation FSD</t>
        </is>
      </c>
      <c r="M105" s="16" t="inlineStr">
        <is>
          <t>Request submitted / Request unsuccessful / Authorisation failed / Processing / Completed (per feature)</t>
        </is>
      </c>
      <c r="N105" s="16" t="inlineStr">
        <is>
          <t>Acct Dashboard Financing!A57:H57</t>
        </is>
      </c>
      <c r="O105" s="16" t="inlineStr">
        <is>
          <t>Not Run</t>
        </is>
      </c>
      <c r="P105" s="16" t="n"/>
      <c r="Q105" s="16" t="n"/>
      <c r="R105" s="17" t="inlineStr">
        <is>
          <t>Conditional coverage required.</t>
        </is>
      </c>
      <c r="S105" s="19" t="inlineStr">
        <is>
          <t>Credit Card API Design</t>
        </is>
      </c>
      <c r="T105" s="19" t="inlineStr">
        <is>
          <t>Unblock credit card</t>
        </is>
      </c>
      <c r="U105" s="19" t="inlineStr">
        <is>
          <t>POST</t>
        </is>
      </c>
      <c r="V105" s="19" t="inlineStr">
        <is>
          <t>/v1/external/cards/unblock</t>
        </is>
      </c>
      <c r="W105" s="19" t="inlineStr">
        <is>
          <t>dep-card</t>
        </is>
      </c>
      <c r="X105" s="19" t="inlineStr">
        <is>
          <t>ECLIPSE_Account Dashboard_Credit_Card_DDD_API_Design_v1_Workshop.xlsx</t>
        </is>
      </c>
      <c r="Y105" s="19" t="inlineStr">
        <is>
          <t>2.4.5 Unblock Card</t>
        </is>
      </c>
      <c r="Z105" s="19" t="inlineStr">
        <is>
          <t>API_Specs_Index!A26:H26</t>
        </is>
      </c>
      <c r="AA105" s="22" t="inlineStr">
        <is>
          <t>API-012</t>
        </is>
      </c>
      <c r="AB105" s="19" t="inlineStr">
        <is>
          <t>Mapped to Unblock credit card because the test case terms align with the 2.4.5 Unblock Card journey in the applicable API specification.</t>
        </is>
      </c>
      <c r="AC105" s="19" t="inlineStr">
        <is>
          <t>High</t>
        </is>
      </c>
      <c r="AD105" s="19" t="inlineStr">
        <is>
          <t>No Screen User Action Business Logic API Name Microservice Ownership Method Endpoint Request JSON Success Response JSON Failed Response JSON ESB Eclipse DB Source BE Validation</t>
        </is>
      </c>
    </row>
    <row r="106" ht="409.6" customHeight="1" s="2">
      <c r="A106" s="12" t="inlineStr">
        <is>
          <t>TC-B1-0105</t>
        </is>
      </c>
      <c r="B106" s="13" t="inlineStr">
        <is>
          <t>TS-B1-085</t>
        </is>
      </c>
      <c r="C106" s="13" t="inlineStr">
        <is>
          <t>Acct Dashboard Financing</t>
        </is>
      </c>
      <c r="D106" s="13" t="inlineStr">
        <is>
          <t>Dashboard - Credit Card / Card Management</t>
        </is>
      </c>
      <c r="E106" s="13" t="inlineStr">
        <is>
          <t>Validate 2.4.6 Replace &amp; Renew Card for Credit Card (Visa/Mastercard)</t>
        </is>
      </c>
      <c r="F106" s="13" t="inlineStr">
        <is>
          <t>Functional</t>
        </is>
      </c>
      <c r="G106" s="13" t="inlineStr">
        <is>
          <t>Medium</t>
        </is>
      </c>
      <c r="H106" s="13" t="inlineStr">
        <is>
          <t>Eligible user and product are available. Trigger the stated condition: Conditional Step 49 - replace card flow</t>
        </is>
      </c>
      <c r="I106" s="13" t="inlineStr">
        <is>
          <t>Credit Card (Visa/Mastercard)</t>
        </is>
      </c>
      <c r="J106" s="13" t="inlineStr">
        <is>
          <t>1. Open Credit Card (Visa/Mastercard).
2. Navigate to 2.4.6 Replace &amp; Renew Card.
3. Perform the action or trigger described by: Conditional Step 49 - replace card flow.
4. Observe the page, validation, navigation, and resulting state.</t>
        </is>
      </c>
      <c r="K106" s="13" t="inlineStr">
        <is>
          <t>2.4.6 Replace &amp; Renew Card behaves according to the mapped requirement (Conditional Step 49 - replace card flow); data, controls, navigation, and status are accurate and consistent.</t>
        </is>
      </c>
      <c r="L106" s="13" t="inlineStr">
        <is>
          <t>A&amp;A - refer to Authentication &amp; Authorisation FSD</t>
        </is>
      </c>
      <c r="M106" s="13" t="inlineStr">
        <is>
          <t>Request submitted / Request unsuccessful / Authorisation failed / Processing / Completed (per feature)</t>
        </is>
      </c>
      <c r="N106" s="13" t="inlineStr">
        <is>
          <t>Acct Dashboard Financing!A58:H58</t>
        </is>
      </c>
      <c r="O106" s="13" t="inlineStr">
        <is>
          <t>Not Run</t>
        </is>
      </c>
      <c r="P106" s="13" t="n"/>
      <c r="Q106" s="13" t="n"/>
      <c r="R106" s="14" t="inlineStr">
        <is>
          <t>Conditional coverage required.</t>
        </is>
      </c>
      <c r="S106" s="19" t="inlineStr">
        <is>
          <t>Credit Card API Design</t>
        </is>
      </c>
      <c r="T106" s="19" t="inlineStr">
        <is>
          <t>Credit card replacement</t>
        </is>
      </c>
      <c r="U106" s="19" t="inlineStr">
        <is>
          <t>POST</t>
        </is>
      </c>
      <c r="V106" s="19" t="inlineStr">
        <is>
          <t>/v1/external/credit-card/replacement</t>
        </is>
      </c>
      <c r="W106" s="19" t="inlineStr">
        <is>
          <t>dep-card</t>
        </is>
      </c>
      <c r="X106" s="19" t="inlineStr">
        <is>
          <t>ECLIPSE_Account Dashboard_Credit_Card_DDD_API_Design_v1_Workshop.xlsx</t>
        </is>
      </c>
      <c r="Y106" s="19" t="inlineStr">
        <is>
          <t>2.4.6 Replace &amp; Renew Card</t>
        </is>
      </c>
      <c r="Z106" s="19" t="inlineStr">
        <is>
          <t>API_Specs_Index!A27:H27</t>
        </is>
      </c>
      <c r="AA106" s="22" t="inlineStr">
        <is>
          <t>API-013</t>
        </is>
      </c>
      <c r="AB106" s="19" t="inlineStr">
        <is>
          <t>Mapped to Credit card replacement because the test case terms align with the 2.4.6 Replace &amp; Renew Card journey in the applicable API specification.</t>
        </is>
      </c>
      <c r="AC106" s="19" t="inlineStr">
        <is>
          <t>High</t>
        </is>
      </c>
      <c r="AD106" s="19" t="inlineStr">
        <is>
          <t>No additional validation notes were documented in the source index.</t>
        </is>
      </c>
    </row>
    <row r="107" ht="409.6" customHeight="1" s="2">
      <c r="A107" s="15" t="inlineStr">
        <is>
          <t>TC-B1-0106</t>
        </is>
      </c>
      <c r="B107" s="16" t="inlineStr">
        <is>
          <t>TS-B1-086</t>
        </is>
      </c>
      <c r="C107" s="16" t="inlineStr">
        <is>
          <t>Acct Dashboard Financing</t>
        </is>
      </c>
      <c r="D107" s="16" t="inlineStr">
        <is>
          <t>Dashboard - Credit Card / Card Management</t>
        </is>
      </c>
      <c r="E107" s="16" t="inlineStr">
        <is>
          <t>Validate 2.4.6.1 R&amp;R Ack for Credit Card (Visa/Mastercard)</t>
        </is>
      </c>
      <c r="F107" s="16" t="inlineStr">
        <is>
          <t>Functional</t>
        </is>
      </c>
      <c r="G107" s="16" t="inlineStr">
        <is>
          <t>Medium</t>
        </is>
      </c>
      <c r="H107" s="16" t="inlineStr">
        <is>
          <t>Eligible user and product are available. Trigger the stated condition: Conditional Step 50 - if replace request submitted</t>
        </is>
      </c>
      <c r="I107" s="16" t="inlineStr">
        <is>
          <t>Credit Card (Visa/Mastercard)</t>
        </is>
      </c>
      <c r="J107" s="16" t="inlineStr">
        <is>
          <t>1. Open Credit Card (Visa/Mastercard).
2. Navigate to 2.4.6.1 R&amp;R Ack.
3. Perform the action or trigger described by: Conditional Step 50 - if replace request submitted.
4. Observe the page, validation, navigation, and resulting state.</t>
        </is>
      </c>
      <c r="K107" s="16" t="inlineStr">
        <is>
          <t>2.4.6.1 R&amp;R Ack behaves according to the mapped requirement (Conditional Step 50 - if replace request submitted); data, controls, navigation, and status are accurate and consistent.</t>
        </is>
      </c>
      <c r="L107" s="16" t="inlineStr">
        <is>
          <t>A&amp;A - refer to Authentication &amp; Authorisation FSD</t>
        </is>
      </c>
      <c r="M107" s="16" t="inlineStr">
        <is>
          <t>Request submitted / Request unsuccessful / Authorisation failed / Processing / Completed (per feature)</t>
        </is>
      </c>
      <c r="N107" s="16" t="inlineStr">
        <is>
          <t>Acct Dashboard Financing!A59:H59</t>
        </is>
      </c>
      <c r="O107" s="16" t="inlineStr">
        <is>
          <t>Not Run</t>
        </is>
      </c>
      <c r="P107" s="16" t="n"/>
      <c r="Q107" s="16" t="n"/>
      <c r="R107" s="17" t="inlineStr">
        <is>
          <t>Conditional coverage required.</t>
        </is>
      </c>
      <c r="S107" s="19" t="inlineStr">
        <is>
          <t>Credit Card API Design</t>
        </is>
      </c>
      <c r="T107" s="19" t="inlineStr">
        <is>
          <t>Cards dashboard</t>
        </is>
      </c>
      <c r="U107" s="19" t="inlineStr">
        <is>
          <t>GET</t>
        </is>
      </c>
      <c r="V107" s="19" t="inlineStr">
        <is>
          <t>/v1/external/accounts?accountGroup={accountGroup}</t>
        </is>
      </c>
      <c r="W107" s="19" t="inlineStr">
        <is>
          <t>dep-dashboard</t>
        </is>
      </c>
      <c r="X107" s="19" t="inlineStr">
        <is>
          <t>ECLIPSE_Account Dashboard_Credit_Card_DDD_API_Design_v1_Workshop.xlsx</t>
        </is>
      </c>
      <c r="Y107" s="19" t="inlineStr">
        <is>
          <t>2.1 CC Dashboard - Landing</t>
        </is>
      </c>
      <c r="Z107" s="19" t="inlineStr">
        <is>
          <t>API_Specs_Index!A2:H2</t>
        </is>
      </c>
      <c r="AA107" s="22" t="inlineStr">
        <is>
          <t>API-001</t>
        </is>
      </c>
      <c r="AB107" s="19" t="inlineStr">
        <is>
          <t>Mapped to Cards dashboard because the test case terms align with the 2.1 CC Dashboard - Landing journey in the applicable API specification.</t>
        </is>
      </c>
      <c r="AC107" s="19" t="inlineStr">
        <is>
          <t>Medium</t>
        </is>
      </c>
      <c r="AD107" s="19" t="inlineStr">
        <is>
          <t>1 User tap "Cards" and screen is loaded N/A dep-dashboard GET /v1/external/accounts?accountGroup={accountGroup} example : /v1/external/accounts?accountGroup=CARD { "status": 200, "message": "Request processed successfully", "timestamp": "2026-01-1...</t>
        </is>
      </c>
    </row>
    <row r="108" ht="409.6" customHeight="1" s="2">
      <c r="A108" s="12" t="inlineStr">
        <is>
          <t>TC-B1-0107</t>
        </is>
      </c>
      <c r="B108" s="13" t="inlineStr">
        <is>
          <t>TS-B1-087</t>
        </is>
      </c>
      <c r="C108" s="13" t="inlineStr">
        <is>
          <t>Acct Dashboard Financing</t>
        </is>
      </c>
      <c r="D108" s="13" t="inlineStr">
        <is>
          <t>Dashboard - Credit Card / Card Management</t>
        </is>
      </c>
      <c r="E108" s="13" t="inlineStr">
        <is>
          <t>Validate 2.4.6.2 R&amp;R Notif for Credit Card (Visa/Mastercard)</t>
        </is>
      </c>
      <c r="F108" s="13" t="inlineStr">
        <is>
          <t>Functional</t>
        </is>
      </c>
      <c r="G108" s="13" t="inlineStr">
        <is>
          <t>Medium</t>
        </is>
      </c>
      <c r="H108" s="13" t="inlineStr">
        <is>
          <t>Eligible user and product are available. Trigger the stated condition: Conditional Step 51 - if replace request submitted</t>
        </is>
      </c>
      <c r="I108" s="13" t="inlineStr">
        <is>
          <t>Credit Card (Visa/Mastercard)</t>
        </is>
      </c>
      <c r="J108" s="13" t="inlineStr">
        <is>
          <t>1. Open Credit Card (Visa/Mastercard).
2. Navigate to 2.4.6.2 R&amp;R Notif.
3. Perform the action or trigger described by: Conditional Step 51 - if replace request submitted.
4. Observe the page, validation, navigation, and resulting state.</t>
        </is>
      </c>
      <c r="K108" s="13" t="inlineStr">
        <is>
          <t>2.4.6.2 R&amp;R Notif behaves according to the mapped requirement (Conditional Step 51 - if replace request submitted); data, controls, navigation, and status are accurate and consistent.</t>
        </is>
      </c>
      <c r="L108" s="13" t="inlineStr">
        <is>
          <t>A&amp;A - refer to Authentication &amp; Authorisation FSD</t>
        </is>
      </c>
      <c r="M108" s="13" t="inlineStr">
        <is>
          <t>Request submitted / Request unsuccessful / Authorisation failed / Processing / Completed (per feature)</t>
        </is>
      </c>
      <c r="N108" s="13" t="inlineStr">
        <is>
          <t>Acct Dashboard Financing!A60:H60</t>
        </is>
      </c>
      <c r="O108" s="13" t="inlineStr">
        <is>
          <t>Not Run</t>
        </is>
      </c>
      <c r="P108" s="13" t="n"/>
      <c r="Q108" s="13" t="n"/>
      <c r="R108" s="14" t="inlineStr">
        <is>
          <t>Conditional coverage required.</t>
        </is>
      </c>
      <c r="S108" s="19" t="inlineStr">
        <is>
          <t>Credit Card API Design</t>
        </is>
      </c>
      <c r="T108" s="19" t="inlineStr">
        <is>
          <t>Cards dashboard</t>
        </is>
      </c>
      <c r="U108" s="19" t="inlineStr">
        <is>
          <t>GET</t>
        </is>
      </c>
      <c r="V108" s="19" t="inlineStr">
        <is>
          <t>/v1/external/accounts?accountGroup={accountGroup}</t>
        </is>
      </c>
      <c r="W108" s="19" t="inlineStr">
        <is>
          <t>dep-dashboard</t>
        </is>
      </c>
      <c r="X108" s="19" t="inlineStr">
        <is>
          <t>ECLIPSE_Account Dashboard_Credit_Card_DDD_API_Design_v1_Workshop.xlsx</t>
        </is>
      </c>
      <c r="Y108" s="19" t="inlineStr">
        <is>
          <t>2.1 CC Dashboard - Landing</t>
        </is>
      </c>
      <c r="Z108" s="19" t="inlineStr">
        <is>
          <t>API_Specs_Index!A2:H2</t>
        </is>
      </c>
      <c r="AA108" s="22" t="inlineStr">
        <is>
          <t>API-001</t>
        </is>
      </c>
      <c r="AB108" s="19" t="inlineStr">
        <is>
          <t>Mapped to Cards dashboard because the test case terms align with the 2.1 CC Dashboard - Landing journey in the applicable API specification.</t>
        </is>
      </c>
      <c r="AC108" s="19" t="inlineStr">
        <is>
          <t>Medium</t>
        </is>
      </c>
      <c r="AD108" s="19" t="inlineStr">
        <is>
          <t>1 User tap "Cards" and screen is loaded N/A dep-dashboard GET /v1/external/accounts?accountGroup={accountGroup} example : /v1/external/accounts?accountGroup=CARD { "status": 200, "message": "Request processed successfully", "timestamp": "2026-01-1...</t>
        </is>
      </c>
    </row>
    <row r="109" ht="409.6" customHeight="1" s="2">
      <c r="A109" s="15" t="inlineStr">
        <is>
          <t>TC-B1-0108</t>
        </is>
      </c>
      <c r="B109" s="16" t="inlineStr">
        <is>
          <t>TS-B1-088</t>
        </is>
      </c>
      <c r="C109" s="16" t="inlineStr">
        <is>
          <t>Acct Dashboard Financing</t>
        </is>
      </c>
      <c r="D109" s="16" t="inlineStr">
        <is>
          <t>Dashboard - Credit Card / Card Management</t>
        </is>
      </c>
      <c r="E109" s="16" t="inlineStr">
        <is>
          <t>Validate 2.4.7 Reset PIN for Credit Card (Visa/Mastercard)</t>
        </is>
      </c>
      <c r="F109" s="16" t="inlineStr">
        <is>
          <t>Functional</t>
        </is>
      </c>
      <c r="G109" s="16" t="inlineStr">
        <is>
          <t>Medium</t>
        </is>
      </c>
      <c r="H109" s="16" t="inlineStr">
        <is>
          <t>Eligible user and product are available. Trigger the stated condition: Conditional Step 52 - reset PIN flow</t>
        </is>
      </c>
      <c r="I109" s="16" t="inlineStr">
        <is>
          <t>Credit Card (Visa/Mastercard)</t>
        </is>
      </c>
      <c r="J109" s="16" t="inlineStr">
        <is>
          <t>1. Open Credit Card (Visa/Mastercard).
2. Navigate to 2.4.7 Reset PIN.
3. Perform the action or trigger described by: Conditional Step 52 - reset PIN flow.
4. Observe the page, validation, navigation, and resulting state.</t>
        </is>
      </c>
      <c r="K109" s="16" t="inlineStr">
        <is>
          <t>2.4.7 Reset PIN behaves according to the mapped requirement (Conditional Step 52 - reset PIN flow); data, controls, navigation, and status are accurate and consistent.</t>
        </is>
      </c>
      <c r="L109" s="16" t="inlineStr">
        <is>
          <t>A&amp;A - refer to Authentication &amp; Authorisation FSD</t>
        </is>
      </c>
      <c r="M109" s="16" t="inlineStr">
        <is>
          <t>Request submitted / Request unsuccessful / Authorisation failed / Processing / Completed (per feature)</t>
        </is>
      </c>
      <c r="N109" s="16" t="inlineStr">
        <is>
          <t>Acct Dashboard Financing!A61:H61</t>
        </is>
      </c>
      <c r="O109" s="16" t="inlineStr">
        <is>
          <t>Not Run</t>
        </is>
      </c>
      <c r="P109" s="16" t="n"/>
      <c r="Q109" s="16" t="n"/>
      <c r="R109" s="17" t="inlineStr">
        <is>
          <t>Conditional coverage required.</t>
        </is>
      </c>
      <c r="S109" s="19" t="inlineStr">
        <is>
          <t>Credit Card API Design</t>
        </is>
      </c>
      <c r="T109" s="19" t="inlineStr">
        <is>
          <t>Reset credit card PIN</t>
        </is>
      </c>
      <c r="U109" s="19" t="inlineStr">
        <is>
          <t>POST</t>
        </is>
      </c>
      <c r="V109" s="19" t="inlineStr">
        <is>
          <t>/v1/external/cards/reset-pin</t>
        </is>
      </c>
      <c r="W109" s="19" t="inlineStr">
        <is>
          <t>dep-card</t>
        </is>
      </c>
      <c r="X109" s="19" t="inlineStr">
        <is>
          <t>ECLIPSE_Account Dashboard_Credit_Card_DDD_API_Design_v1_Workshop.xlsx</t>
        </is>
      </c>
      <c r="Y109" s="19" t="inlineStr">
        <is>
          <t>2.4.7 Reset PIN</t>
        </is>
      </c>
      <c r="Z109" s="19" t="inlineStr">
        <is>
          <t>API_Specs_Index!A29:H29</t>
        </is>
      </c>
      <c r="AA109" s="22" t="inlineStr">
        <is>
          <t>API-014</t>
        </is>
      </c>
      <c r="AB109" s="19" t="inlineStr">
        <is>
          <t>Mapped to Reset credit card PIN because the test case terms align with the 2.4.7 Reset PIN journey in the applicable API specification.</t>
        </is>
      </c>
      <c r="AC109" s="19" t="inlineStr">
        <is>
          <t>High</t>
        </is>
      </c>
      <c r="AD109" s="19" t="inlineStr">
        <is>
          <t>No Screen User Action Business Logic API Name Microservice Ownership Method Endpoint Request JSON Success Response JSON Failed Response JSON ESB Eclipse DB Source BE Validation; 1 When user key in PIN Upon click [Confirm] button, system to perform the following validations, in order: 1. If New PIN is empty, display in-line error message "Required field." 2. If New PIN is with value, but does not meet PIN requirements, dis...</t>
        </is>
      </c>
    </row>
    <row r="110" ht="409.6" customHeight="1" s="2">
      <c r="A110" s="12" t="inlineStr">
        <is>
          <t>TC-B1-0109</t>
        </is>
      </c>
      <c r="B110" s="13" t="inlineStr">
        <is>
          <t>TS-B1-089</t>
        </is>
      </c>
      <c r="C110" s="13" t="inlineStr">
        <is>
          <t>Acct Dashboard Financing</t>
        </is>
      </c>
      <c r="D110" s="13" t="inlineStr">
        <is>
          <t>Dashboard - Credit Card / Card Management</t>
        </is>
      </c>
      <c r="E110" s="13" t="inlineStr">
        <is>
          <t>Validate 2.4.8 Block Code for Credit Card (Visa/Mastercard)</t>
        </is>
      </c>
      <c r="F110" s="13" t="inlineStr">
        <is>
          <t>Functional</t>
        </is>
      </c>
      <c r="G110" s="13" t="inlineStr">
        <is>
          <t>High</t>
        </is>
      </c>
      <c r="H110" s="13" t="inlineStr">
        <is>
          <t>Eligible user and product are available. Trigger the stated condition: Conditional Step 53 - block code matrix governs status/feature gating</t>
        </is>
      </c>
      <c r="I110" s="13" t="inlineStr">
        <is>
          <t>Credit Card (Visa/Mastercard)</t>
        </is>
      </c>
      <c r="J110" s="13" t="inlineStr">
        <is>
          <t>1. Open Credit Card (Visa/Mastercard).
2. Navigate to 2.4.8 Block Code.
3. Perform the action or trigger described by: Conditional Step 53 - block code matrix governs status/feature gating.
4. Observe the page, validation, navigation, and resulting state.</t>
        </is>
      </c>
      <c r="K110" s="13" t="inlineStr">
        <is>
          <t>2.4.8 Block Code behaves according to the mapped requirement (Conditional Step 53 - block code matrix governs status/feature gating); data, controls, navigation, and status are accurate and consistent.</t>
        </is>
      </c>
      <c r="L110" s="13" t="inlineStr">
        <is>
          <t>A&amp;A - refer to Authentication &amp; Authorisation FSD</t>
        </is>
      </c>
      <c r="M110" s="13" t="inlineStr">
        <is>
          <t>Request submitted / Request unsuccessful / Authorisation failed / Processing / Completed (per feature)</t>
        </is>
      </c>
      <c r="N110" s="13" t="inlineStr">
        <is>
          <t>Acct Dashboard Financing!A62:H62</t>
        </is>
      </c>
      <c r="O110" s="13" t="inlineStr">
        <is>
          <t>Not Run</t>
        </is>
      </c>
      <c r="P110" s="13" t="n"/>
      <c r="Q110" s="13" t="n"/>
      <c r="R110" s="14" t="inlineStr">
        <is>
          <t>Conditional coverage required.</t>
        </is>
      </c>
      <c r="S110" s="19" t="inlineStr">
        <is>
          <t>Credit Card API Design</t>
        </is>
      </c>
      <c r="T110" s="19" t="inlineStr">
        <is>
          <t>Block credit card</t>
        </is>
      </c>
      <c r="U110" s="19" t="inlineStr">
        <is>
          <t>POST</t>
        </is>
      </c>
      <c r="V110" s="19" t="inlineStr">
        <is>
          <t>/v1/external/cards/block</t>
        </is>
      </c>
      <c r="W110" s="19" t="inlineStr">
        <is>
          <t>dep-card</t>
        </is>
      </c>
      <c r="X110" s="19" t="inlineStr">
        <is>
          <t>ECLIPSE_Account Dashboard_Credit_Card_DDD_API_Design_v1_Workshop.xlsx</t>
        </is>
      </c>
      <c r="Y110" s="19" t="inlineStr">
        <is>
          <t>2.4.4 Block Card</t>
        </is>
      </c>
      <c r="Z110" s="19" t="inlineStr">
        <is>
          <t>API_Specs_Index!A25:H25</t>
        </is>
      </c>
      <c r="AA110" s="22" t="inlineStr">
        <is>
          <t>API-011</t>
        </is>
      </c>
      <c r="AB110" s="19" t="inlineStr">
        <is>
          <t>Mapped to Block credit card because the test case terms align with the 2.4.4 Block Card journey in the applicable API specification.</t>
        </is>
      </c>
      <c r="AC110" s="19" t="inlineStr">
        <is>
          <t>High</t>
        </is>
      </c>
      <c r="AD110" s="19" t="inlineStr">
        <is>
          <t>No additional validation notes were documented in the source index.</t>
        </is>
      </c>
    </row>
    <row r="111" ht="303.6" customHeight="1" s="2">
      <c r="A111" s="15" t="inlineStr">
        <is>
          <t>TC-B1-0110</t>
        </is>
      </c>
      <c r="B111" s="16" t="inlineStr">
        <is>
          <t>TS-B1-090</t>
        </is>
      </c>
      <c r="C111" s="16" t="inlineStr">
        <is>
          <t>Acct Dashboard Financing</t>
        </is>
      </c>
      <c r="D111" s="16" t="inlineStr">
        <is>
          <t>Dashboard - Credit Card / Card Management</t>
        </is>
      </c>
      <c r="E111" s="16" t="inlineStr">
        <is>
          <t>Validate successful final state for Credit Card (Visa/Mastercard)</t>
        </is>
      </c>
      <c r="F111" s="16" t="inlineStr">
        <is>
          <t>Positive</t>
        </is>
      </c>
      <c r="G111" s="16" t="inlineStr">
        <is>
          <t>High</t>
        </is>
      </c>
      <c r="H111" s="16" t="inlineStr">
        <is>
          <t>All required inputs and services are valid. Expected statuses: Request submitted / Request unsuccessful / Authorisation failed / Processing / Completed (per feature)</t>
        </is>
      </c>
      <c r="I111" s="16" t="inlineStr">
        <is>
          <t>Credit Card (Visa/Mastercard)</t>
        </is>
      </c>
      <c r="J111" s="16" t="inlineStr">
        <is>
          <t>1. Complete the end-to-end journey with valid data.
2. Submit/confirm the final action.
3. Verify result, receipt/notification where applicable, and persisted state.</t>
        </is>
      </c>
      <c r="K111" s="16" t="inlineStr">
        <is>
          <t>A valid success status from the requirement is shown. The transaction or change is applied once, persisted, and reflected on refresh.</t>
        </is>
      </c>
      <c r="L111" s="16" t="inlineStr">
        <is>
          <t>A&amp;A - refer to Authentication &amp; Authorisation FSD</t>
        </is>
      </c>
      <c r="M111" s="16" t="inlineStr">
        <is>
          <t>Request submitted / Request unsuccessful / Authorisation failed / Processing / Completed (per feature)</t>
        </is>
      </c>
      <c r="N111" s="16" t="inlineStr">
        <is>
          <t>Acct Dashboard Financing!H1:H62</t>
        </is>
      </c>
      <c r="O111" s="16" t="inlineStr">
        <is>
          <t>Not Run</t>
        </is>
      </c>
      <c r="P111" s="16" t="n"/>
      <c r="Q111" s="16" t="n"/>
      <c r="R111" s="17" t="n"/>
      <c r="S111" s="19" t="inlineStr">
        <is>
          <t>Credit Card API Design</t>
        </is>
      </c>
      <c r="T111" s="19" t="inlineStr">
        <is>
          <t>Credit card transaction history</t>
        </is>
      </c>
      <c r="U111" s="19" t="inlineStr">
        <is>
          <t>GET</t>
        </is>
      </c>
      <c r="V111" s="19" t="inlineStr">
        <is>
          <t>/v1/external/accounts/account-type/{accountType}/account-id/{accountId}/transactions?startDate={startDate}&amp;endDate={endDate}&amp;page={page}&amp;limit={limit}</t>
        </is>
      </c>
      <c r="W111" s="19" t="inlineStr">
        <is>
          <t>info-card</t>
        </is>
      </c>
      <c r="X111" s="19" t="inlineStr">
        <is>
          <t>ECLIPSE_Account Dashboard_Credit_Card_DDD_API_Design_v1_Workshop.xlsx</t>
        </is>
      </c>
      <c r="Y111" s="19" t="inlineStr">
        <is>
          <t>2.2 CC &gt; Transactions</t>
        </is>
      </c>
      <c r="Z111" s="19" t="inlineStr">
        <is>
          <t>API_Specs_Index!A7:H7</t>
        </is>
      </c>
      <c r="AA111" s="22" t="inlineStr">
        <is>
          <t>API-004</t>
        </is>
      </c>
      <c r="AB111" s="19" t="inlineStr">
        <is>
          <t>Mapped to Credit card transaction history because the test case terms align with the 2.2 CC &gt; Transactions journey in the applicable API specification.</t>
        </is>
      </c>
      <c r="AC111" s="19" t="inlineStr">
        <is>
          <t>High</t>
        </is>
      </c>
      <c r="AD111" s="19" t="inlineStr">
        <is>
          <t>No Screen User Action Business Logic API Name Microservice Ownership Method Endpoint Request JSON Success Response JSON Failed Response JSON ESB Eclipse DB Source BE Validation; 1 User tap one of the card from "Cards" Dashboard When the screen is loaded, 1. It shall conduct block code check to show yellow label accordingly (e.g blocked, temporarily blocked) 2. It shall display Principal card by default and if there is any...</t>
        </is>
      </c>
    </row>
    <row r="112" ht="409.6" customHeight="1" s="2">
      <c r="A112" s="12" t="inlineStr">
        <is>
          <t>TC-B1-0111</t>
        </is>
      </c>
      <c r="B112" s="13" t="inlineStr">
        <is>
          <t>TS-B1-090</t>
        </is>
      </c>
      <c r="C112" s="13" t="inlineStr">
        <is>
          <t>Acct Dashboard Financing</t>
        </is>
      </c>
      <c r="D112" s="13" t="inlineStr">
        <is>
          <t>Dashboard - Credit Card / Card Management</t>
        </is>
      </c>
      <c r="E112" s="13" t="inlineStr">
        <is>
          <t>Validate service failure and retry for Credit Card (Visa/Mastercard)</t>
        </is>
      </c>
      <c r="F112" s="13" t="inlineStr">
        <is>
          <t>Negative</t>
        </is>
      </c>
      <c r="G112" s="13" t="inlineStr">
        <is>
          <t>High</t>
        </is>
      </c>
      <c r="H112" s="13" t="inlineStr">
        <is>
          <t>Journey is available; simulate a controlled downstream timeout or unsuccessful response. Expected statuses: Request submitted / Request unsuccessful / Authorisation failed / Processing / Completed (per feature)</t>
        </is>
      </c>
      <c r="I112" s="13" t="inlineStr">
        <is>
          <t>Credit Card (Visa/Mastercard)</t>
        </is>
      </c>
      <c r="J112" s="13" t="inlineStr">
        <is>
          <t>1. Progress to the final action.
2. Trigger a timeout, unavailable service, or unsuccessful response.
3. Verify the error message and retry behavior.
4. Retry after service recovery.</t>
        </is>
      </c>
      <c r="K112" s="13" t="inlineStr">
        <is>
          <t>No duplicate action occurs. The configured unsuccessful/processing state is shown, retry is safe, and final status becomes consistent after recovery.</t>
        </is>
      </c>
      <c r="L112" s="13" t="inlineStr">
        <is>
          <t>A&amp;A - refer to Authentication &amp; Authorisation FSD</t>
        </is>
      </c>
      <c r="M112" s="13" t="inlineStr">
        <is>
          <t>Request submitted / Request unsuccessful / Authorisation failed / Processing / Completed (per feature)</t>
        </is>
      </c>
      <c r="N112" s="13" t="inlineStr">
        <is>
          <t>Acct Dashboard Financing!H1:H62</t>
        </is>
      </c>
      <c r="O112" s="13" t="inlineStr">
        <is>
          <t>Not Run</t>
        </is>
      </c>
      <c r="P112" s="13" t="n"/>
      <c r="Q112" s="13" t="n"/>
      <c r="R112" s="14" t="n"/>
      <c r="S112" s="19" t="inlineStr">
        <is>
          <t>Credit Card API Design</t>
        </is>
      </c>
      <c r="T112" s="19" t="inlineStr">
        <is>
          <t>Cards dashboard</t>
        </is>
      </c>
      <c r="U112" s="19" t="inlineStr">
        <is>
          <t>GET</t>
        </is>
      </c>
      <c r="V112" s="19" t="inlineStr">
        <is>
          <t>/v1/external/accounts?accountGroup={accountGroup}</t>
        </is>
      </c>
      <c r="W112" s="19" t="inlineStr">
        <is>
          <t>dep-dashboard</t>
        </is>
      </c>
      <c r="X112" s="19" t="inlineStr">
        <is>
          <t>ECLIPSE_Account Dashboard_Credit_Card_DDD_API_Design_v1_Workshop.xlsx</t>
        </is>
      </c>
      <c r="Y112" s="19" t="inlineStr">
        <is>
          <t>2.1 CC Dashboard - Landing</t>
        </is>
      </c>
      <c r="Z112" s="19" t="inlineStr">
        <is>
          <t>API_Specs_Index!A2:H2</t>
        </is>
      </c>
      <c r="AA112" s="22" t="inlineStr">
        <is>
          <t>API-001</t>
        </is>
      </c>
      <c r="AB112" s="19" t="inlineStr">
        <is>
          <t>Mapped to Cards dashboard because the test case terms align with the 2.1 CC Dashboard - Landing journey in the applicable API specification.</t>
        </is>
      </c>
      <c r="AC112" s="19" t="inlineStr">
        <is>
          <t>Medium</t>
        </is>
      </c>
      <c r="AD112" s="19" t="inlineStr">
        <is>
          <t>1 User tap "Cards" and screen is loaded N/A dep-dashboard GET /v1/external/accounts?accountGroup={accountGroup} example : /v1/external/accounts?accountGroup=CARD { "status": 200, "message": "Request processed successfully", "timestamp": "2026-01-1...</t>
        </is>
      </c>
    </row>
    <row r="113" ht="262.2" customHeight="1" s="2">
      <c r="A113" s="15" t="inlineStr">
        <is>
          <t>TC-B1-0112</t>
        </is>
      </c>
      <c r="B113" s="16" t="inlineStr">
        <is>
          <t>TS-B1-091</t>
        </is>
      </c>
      <c r="C113" s="16" t="inlineStr">
        <is>
          <t>Acct Dashboard Financing</t>
        </is>
      </c>
      <c r="D113" s="16" t="inlineStr">
        <is>
          <t>Dashboard - Credit Card / Card Management</t>
        </is>
      </c>
      <c r="E113" s="16" t="inlineStr">
        <is>
          <t>Open Credit Card (JCB) from valid entry point</t>
        </is>
      </c>
      <c r="F113" s="16" t="inlineStr">
        <is>
          <t>Positive</t>
        </is>
      </c>
      <c r="G113" s="16" t="inlineStr">
        <is>
          <t>Medium</t>
        </is>
      </c>
      <c r="H113" s="16" t="inlineStr">
        <is>
          <t>Eligible user: Principal cardholder and supplementary context</t>
        </is>
      </c>
      <c r="I113" s="16" t="inlineStr">
        <is>
          <t>Credit Card (JCB)</t>
        </is>
      </c>
      <c r="J113" s="16" t="inlineStr">
        <is>
          <t>1. Sign in at the required access level.
2. Navigate using: CC Dashboard - Landing.
3. Select Credit Card (JCB).</t>
        </is>
      </c>
      <c r="K113" s="16" t="inlineStr">
        <is>
          <t>The correct Dashboard - Credit Card / Card Management page opens and relevant product information is displayed without error.</t>
        </is>
      </c>
      <c r="L113" s="16" t="inlineStr">
        <is>
          <t>A&amp;A - refer to Authentication &amp; Authorisation FSD</t>
        </is>
      </c>
      <c r="M113" s="16" t="inlineStr">
        <is>
          <t>Request submitted / Request unsuccessful / Authorisation failed / Processing / Completed (per feature)</t>
        </is>
      </c>
      <c r="N113" s="16" t="inlineStr">
        <is>
          <t>Acct Dashboard Financing!I1:I62</t>
        </is>
      </c>
      <c r="O113" s="16" t="inlineStr">
        <is>
          <t>Not Run</t>
        </is>
      </c>
      <c r="P113" s="16" t="n"/>
      <c r="Q113" s="16" t="n"/>
      <c r="R113" s="17" t="n"/>
      <c r="S113" s="19" t="inlineStr">
        <is>
          <t>Credit Card API Design</t>
        </is>
      </c>
      <c r="T113" s="19" t="inlineStr">
        <is>
          <t>Cards dashboard</t>
        </is>
      </c>
      <c r="U113" s="19" t="inlineStr">
        <is>
          <t>GET</t>
        </is>
      </c>
      <c r="V113" s="19" t="inlineStr">
        <is>
          <t>/v1/external/accounts?accountGroup={accountGroup}</t>
        </is>
      </c>
      <c r="W113" s="19" t="inlineStr">
        <is>
          <t>dep-dashboard</t>
        </is>
      </c>
      <c r="X113" s="19" t="inlineStr">
        <is>
          <t>ECLIPSE_Account Dashboard_Credit_Card_DDD_API_Design_v1_Workshop.xlsx</t>
        </is>
      </c>
      <c r="Y113" s="19" t="inlineStr">
        <is>
          <t>2.1 CC Dashboard - Landing</t>
        </is>
      </c>
      <c r="Z113" s="19" t="inlineStr">
        <is>
          <t>API_Specs_Index!A2:H2</t>
        </is>
      </c>
      <c r="AA113" s="22" t="inlineStr">
        <is>
          <t>API-001</t>
        </is>
      </c>
      <c r="AB113" s="19" t="inlineStr">
        <is>
          <t>Mapped to Cards dashboard because the test case terms align with the 2.1 CC Dashboard - Landing journey in the applicable API specification.</t>
        </is>
      </c>
      <c r="AC113" s="19" t="inlineStr">
        <is>
          <t>High</t>
        </is>
      </c>
      <c r="AD113" s="19" t="inlineStr">
        <is>
          <t>1 User tap "Cards" and screen is loaded N/A dep-dashboard GET /v1/external/accounts?accountGroup={accountGroup} example : /v1/external/accounts?accountGroup=CARD { "status": 200, "message": "Request processed successfully", "timestamp": "2026-01-1...</t>
        </is>
      </c>
    </row>
    <row r="114" ht="317.4" customHeight="1" s="2">
      <c r="A114" s="12" t="inlineStr">
        <is>
          <t>TC-B1-0113</t>
        </is>
      </c>
      <c r="B114" s="13" t="inlineStr">
        <is>
          <t>TS-B1-091</t>
        </is>
      </c>
      <c r="C114" s="13" t="inlineStr">
        <is>
          <t>Acct Dashboard Financing</t>
        </is>
      </c>
      <c r="D114" s="13" t="inlineStr">
        <is>
          <t>Dashboard - Credit Card / Card Management</t>
        </is>
      </c>
      <c r="E114" s="13" t="inlineStr">
        <is>
          <t>Validate ineligible or unavailable state for Credit Card (JCB)</t>
        </is>
      </c>
      <c r="F114" s="13" t="inlineStr">
        <is>
          <t>Negative</t>
        </is>
      </c>
      <c r="G114" s="13" t="inlineStr">
        <is>
          <t>High</t>
        </is>
      </c>
      <c r="H114" s="13" t="inlineStr">
        <is>
          <t>User or product does not meet one configured eligibility condition. Eligible baseline: Principal cardholder and supplementary context</t>
        </is>
      </c>
      <c r="I114" s="13" t="inlineStr">
        <is>
          <t>Credit Card (JCB)</t>
        </is>
      </c>
      <c r="J114" s="13" t="inlineStr">
        <is>
          <t>1. Prepare an ineligible, unsupported, blocked, or unavailable test profile.
2. Navigate using: CC Dashboard - Landing.
3. Attempt to open Credit Card (JCB).</t>
        </is>
      </c>
      <c r="K114" s="13" t="inlineStr">
        <is>
          <t>Access is prevented or the feature is hidden/disabled. A clear message is shown and no unauthorised data or action is exposed.</t>
        </is>
      </c>
      <c r="L114" s="13" t="inlineStr">
        <is>
          <t>A&amp;A - refer to Authentication &amp; Authorisation FSD</t>
        </is>
      </c>
      <c r="M114" s="13" t="inlineStr">
        <is>
          <t>Request submitted / Request unsuccessful / Authorisation failed / Processing / Completed (per feature)</t>
        </is>
      </c>
      <c r="N114" s="13" t="inlineStr">
        <is>
          <t>Acct Dashboard Financing!I1:I62</t>
        </is>
      </c>
      <c r="O114" s="13" t="inlineStr">
        <is>
          <t>Not Run</t>
        </is>
      </c>
      <c r="P114" s="13" t="n"/>
      <c r="Q114" s="13" t="n"/>
      <c r="R114" s="14" t="n"/>
      <c r="S114" s="19" t="inlineStr">
        <is>
          <t>Credit Card API Design</t>
        </is>
      </c>
      <c r="T114" s="19" t="inlineStr">
        <is>
          <t>Cards dashboard</t>
        </is>
      </c>
      <c r="U114" s="19" t="inlineStr">
        <is>
          <t>GET</t>
        </is>
      </c>
      <c r="V114" s="19" t="inlineStr">
        <is>
          <t>/v1/external/accounts?accountGroup={accountGroup}</t>
        </is>
      </c>
      <c r="W114" s="19" t="inlineStr">
        <is>
          <t>dep-dashboard</t>
        </is>
      </c>
      <c r="X114" s="19" t="inlineStr">
        <is>
          <t>ECLIPSE_Account Dashboard_Credit_Card_DDD_API_Design_v1_Workshop.xlsx</t>
        </is>
      </c>
      <c r="Y114" s="19" t="inlineStr">
        <is>
          <t>2.1 CC Dashboard - Landing</t>
        </is>
      </c>
      <c r="Z114" s="19" t="inlineStr">
        <is>
          <t>API_Specs_Index!A2:H2</t>
        </is>
      </c>
      <c r="AA114" s="22" t="inlineStr">
        <is>
          <t>API-001</t>
        </is>
      </c>
      <c r="AB114" s="19" t="inlineStr">
        <is>
          <t>Mapped to Cards dashboard because the test case terms align with the 2.1 CC Dashboard - Landing journey in the applicable API specification.</t>
        </is>
      </c>
      <c r="AC114" s="19" t="inlineStr">
        <is>
          <t>High</t>
        </is>
      </c>
      <c r="AD114" s="19" t="inlineStr">
        <is>
          <t>1 User tap "Cards" and screen is loaded N/A dep-dashboard GET /v1/external/accounts?accountGroup={accountGroup} example : /v1/external/accounts?accountGroup=CARD { "status": 200, "message": "Request processed successfully", "timestamp": "2026-01-1...</t>
        </is>
      </c>
    </row>
    <row r="115" ht="248.4" customHeight="1" s="2">
      <c r="A115" s="15" t="inlineStr">
        <is>
          <t>TC-B1-0114</t>
        </is>
      </c>
      <c r="B115" s="16" t="inlineStr">
        <is>
          <t>TS-B1-092</t>
        </is>
      </c>
      <c r="C115" s="16" t="inlineStr">
        <is>
          <t>Acct Dashboard Financing</t>
        </is>
      </c>
      <c r="D115" s="16" t="inlineStr">
        <is>
          <t>Dashboard - Credit Card / Card Management</t>
        </is>
      </c>
      <c r="E115" s="16" t="inlineStr">
        <is>
          <t>Complete required authentication for Credit Card (JCB)</t>
        </is>
      </c>
      <c r="F115" s="16" t="inlineStr">
        <is>
          <t>Security</t>
        </is>
      </c>
      <c r="G115" s="16" t="inlineStr">
        <is>
          <t>High</t>
        </is>
      </c>
      <c r="H115" s="16" t="inlineStr">
        <is>
          <t>Eligible user; authentication method is active. Requirement: A&amp;A - refer to Authentication &amp; Authorisation FSD</t>
        </is>
      </c>
      <c r="I115" s="16" t="inlineStr">
        <is>
          <t>Credit Card (JCB)</t>
        </is>
      </c>
      <c r="J115" s="16" t="inlineStr">
        <is>
          <t>1. Start the protected action.
2. Complete the configured authentication with valid credentials.
3. Continue the journey.</t>
        </is>
      </c>
      <c r="K115" s="16" t="inlineStr">
        <is>
          <t>Authentication succeeds, the protected action continues once, and the user returns to the correct journey context.</t>
        </is>
      </c>
      <c r="L115" s="16" t="inlineStr">
        <is>
          <t>A&amp;A - refer to Authentication &amp; Authorisation FSD</t>
        </is>
      </c>
      <c r="M115" s="16" t="inlineStr">
        <is>
          <t>Request submitted / Request unsuccessful / Authorisation failed / Processing / Completed (per feature)</t>
        </is>
      </c>
      <c r="N115" s="16" t="inlineStr">
        <is>
          <t>Acct Dashboard Financing!I1:I62</t>
        </is>
      </c>
      <c r="O115" s="16" t="inlineStr">
        <is>
          <t>Not Run</t>
        </is>
      </c>
      <c r="P115" s="16" t="n"/>
      <c r="Q115" s="16" t="n"/>
      <c r="R115" s="17" t="n"/>
      <c r="S115" s="19" t="inlineStr">
        <is>
          <t>Credit Card API Design</t>
        </is>
      </c>
      <c r="T115" s="19" t="inlineStr">
        <is>
          <t>Cards dashboard</t>
        </is>
      </c>
      <c r="U115" s="19" t="inlineStr">
        <is>
          <t>GET</t>
        </is>
      </c>
      <c r="V115" s="19" t="inlineStr">
        <is>
          <t>/v1/external/accounts?accountGroup={accountGroup}</t>
        </is>
      </c>
      <c r="W115" s="19" t="inlineStr">
        <is>
          <t>dep-dashboard</t>
        </is>
      </c>
      <c r="X115" s="19" t="inlineStr">
        <is>
          <t>ECLIPSE_Account Dashboard_Credit_Card_DDD_API_Design_v1_Workshop.xlsx</t>
        </is>
      </c>
      <c r="Y115" s="19" t="inlineStr">
        <is>
          <t>2.1 CC Dashboard - Landing</t>
        </is>
      </c>
      <c r="Z115" s="19" t="inlineStr">
        <is>
          <t>API_Specs_Index!A2:H2</t>
        </is>
      </c>
      <c r="AA115" s="22" t="inlineStr">
        <is>
          <t>API-001</t>
        </is>
      </c>
      <c r="AB115" s="19" t="inlineStr">
        <is>
          <t>Mapped to Cards dashboard because the test case terms align with the 2.1 CC Dashboard - Landing journey in the applicable API specification.</t>
        </is>
      </c>
      <c r="AC115" s="19" t="inlineStr">
        <is>
          <t>Medium</t>
        </is>
      </c>
      <c r="AD115" s="19" t="inlineStr">
        <is>
          <t>1 User tap "Cards" and screen is loaded N/A dep-dashboard GET /v1/external/accounts?accountGroup={accountGroup} example : /v1/external/accounts?accountGroup=CARD { "status": 200, "message": "Request processed successfully", "timestamp": "2026-01-1...</t>
        </is>
      </c>
    </row>
    <row r="116" ht="303.6" customHeight="1" s="2">
      <c r="A116" s="12" t="inlineStr">
        <is>
          <t>TC-B1-0115</t>
        </is>
      </c>
      <c r="B116" s="13" t="inlineStr">
        <is>
          <t>TS-B1-092</t>
        </is>
      </c>
      <c r="C116" s="13" t="inlineStr">
        <is>
          <t>Acct Dashboard Financing</t>
        </is>
      </c>
      <c r="D116" s="13" t="inlineStr">
        <is>
          <t>Dashboard - Credit Card / Card Management</t>
        </is>
      </c>
      <c r="E116" s="13" t="inlineStr">
        <is>
          <t>Reject invalid, cancelled, or expired authentication for Credit Card (JCB)</t>
        </is>
      </c>
      <c r="F116" s="13" t="inlineStr">
        <is>
          <t>Negative / Security</t>
        </is>
      </c>
      <c r="G116" s="13" t="inlineStr">
        <is>
          <t>High</t>
        </is>
      </c>
      <c r="H116" s="13" t="inlineStr">
        <is>
          <t>Eligible user; protected action requires authentication. Requirement: A&amp;A - refer to Authentication &amp; Authorisation FSD</t>
        </is>
      </c>
      <c r="I116" s="13" t="inlineStr">
        <is>
          <t>Credit Card (JCB)</t>
        </is>
      </c>
      <c r="J116" s="13" t="inlineStr">
        <is>
          <t>1. Start the protected action.
2. Enter invalid credentials, cancel, or allow the challenge to expire.
3. Observe the result.</t>
        </is>
      </c>
      <c r="K116" s="13" t="inlineStr">
        <is>
          <t>The action is not performed. The configured failure/lockout message is shown, sensitive data remains protected, and retry behavior follows the requirement.</t>
        </is>
      </c>
      <c r="L116" s="13" t="inlineStr">
        <is>
          <t>A&amp;A - refer to Authentication &amp; Authorisation FSD</t>
        </is>
      </c>
      <c r="M116" s="13" t="inlineStr">
        <is>
          <t>Request submitted / Request unsuccessful / Authorisation failed / Processing / Completed (per feature)</t>
        </is>
      </c>
      <c r="N116" s="13" t="inlineStr">
        <is>
          <t>Acct Dashboard Financing!I1:I62</t>
        </is>
      </c>
      <c r="O116" s="13" t="inlineStr">
        <is>
          <t>Not Run</t>
        </is>
      </c>
      <c r="P116" s="13" t="n"/>
      <c r="Q116" s="13" t="n"/>
      <c r="R116" s="14" t="n"/>
      <c r="S116" s="19" t="inlineStr">
        <is>
          <t>Credit Card API Design</t>
        </is>
      </c>
      <c r="T116" s="19" t="inlineStr">
        <is>
          <t>Cards dashboard</t>
        </is>
      </c>
      <c r="U116" s="19" t="inlineStr">
        <is>
          <t>GET</t>
        </is>
      </c>
      <c r="V116" s="19" t="inlineStr">
        <is>
          <t>/v1/external/accounts?accountGroup={accountGroup}</t>
        </is>
      </c>
      <c r="W116" s="19" t="inlineStr">
        <is>
          <t>dep-dashboard</t>
        </is>
      </c>
      <c r="X116" s="19" t="inlineStr">
        <is>
          <t>ECLIPSE_Account Dashboard_Credit_Card_DDD_API_Design_v1_Workshop.xlsx</t>
        </is>
      </c>
      <c r="Y116" s="19" t="inlineStr">
        <is>
          <t>2.1 CC Dashboard - Landing</t>
        </is>
      </c>
      <c r="Z116" s="19" t="inlineStr">
        <is>
          <t>API_Specs_Index!A2:H2</t>
        </is>
      </c>
      <c r="AA116" s="22" t="inlineStr">
        <is>
          <t>API-001</t>
        </is>
      </c>
      <c r="AB116" s="19" t="inlineStr">
        <is>
          <t>Mapped to Cards dashboard because the test case terms align with the 2.1 CC Dashboard - Landing journey in the applicable API specification.</t>
        </is>
      </c>
      <c r="AC116" s="19" t="inlineStr">
        <is>
          <t>Medium</t>
        </is>
      </c>
      <c r="AD116" s="19" t="inlineStr">
        <is>
          <t>1 User tap "Cards" and screen is loaded N/A dep-dashboard GET /v1/external/accounts?accountGroup={accountGroup} example : /v1/external/accounts?accountGroup=CARD { "status": 200, "message": "Request processed successfully", "timestamp": "2026-01-1...</t>
        </is>
      </c>
    </row>
    <row r="117" ht="409.6" customHeight="1" s="2">
      <c r="A117" s="15" t="inlineStr">
        <is>
          <t>TC-B1-0116</t>
        </is>
      </c>
      <c r="B117" s="16" t="inlineStr">
        <is>
          <t>TS-B1-093</t>
        </is>
      </c>
      <c r="C117" s="16" t="inlineStr">
        <is>
          <t>Acct Dashboard Financing</t>
        </is>
      </c>
      <c r="D117" s="16" t="inlineStr">
        <is>
          <t>Dashboard - Credit Card / Card Management</t>
        </is>
      </c>
      <c r="E117" s="16" t="inlineStr">
        <is>
          <t>Validate Common Rules Reference for Credit Card (JCB)</t>
        </is>
      </c>
      <c r="F117" s="16" t="inlineStr">
        <is>
          <t>UI / Functional</t>
        </is>
      </c>
      <c r="G117" s="16" t="inlineStr">
        <is>
          <t>Medium</t>
        </is>
      </c>
      <c r="H117" s="16" t="inlineStr">
        <is>
          <t>Eligible user and product are available. User has reached the preceding journey step.</t>
        </is>
      </c>
      <c r="I117" s="16" t="inlineStr">
        <is>
          <t>Credit Card (JCB)</t>
        </is>
      </c>
      <c r="J117" s="16" t="inlineStr">
        <is>
          <t>1. Open Credit Card (JCB).
2. Navigate to Common Rules Reference.
3. Perform the action or trigger described by: Refer to Account Dashboard Common FSD.
4. Observe the page, validation, navigation, and resulting state.</t>
        </is>
      </c>
      <c r="K117" s="16" t="inlineStr">
        <is>
          <t>Common Rules Reference behaves according to the mapped requirement (Refer to Account Dashboard Common FSD); data, controls, navigation, and status are accurate and consistent.</t>
        </is>
      </c>
      <c r="L117" s="16" t="inlineStr">
        <is>
          <t>A&amp;A - refer to Authentication &amp; Authorisation FSD</t>
        </is>
      </c>
      <c r="M117" s="16" t="inlineStr">
        <is>
          <t>Request submitted / Request unsuccessful / Authorisation failed / Processing / Completed (per feature)</t>
        </is>
      </c>
      <c r="N117" s="16" t="inlineStr">
        <is>
          <t>Acct Dashboard Financing!A9:I9</t>
        </is>
      </c>
      <c r="O117" s="16" t="inlineStr">
        <is>
          <t>Not Run</t>
        </is>
      </c>
      <c r="P117" s="16" t="n"/>
      <c r="Q117" s="16" t="n"/>
      <c r="R117" s="17" t="n"/>
      <c r="S117" s="19" t="inlineStr">
        <is>
          <t>Credit Card API Design</t>
        </is>
      </c>
      <c r="T117" s="19" t="inlineStr">
        <is>
          <t>Credit card transaction history</t>
        </is>
      </c>
      <c r="U117" s="19" t="inlineStr">
        <is>
          <t>GET</t>
        </is>
      </c>
      <c r="V117" s="19" t="inlineStr">
        <is>
          <t>/v1/external/accounts/account-type/{accountType}/account-id/{accountId}/transactions?startDate={startDate}&amp;endDate={endDate}&amp;page={page}&amp;limit={limit}</t>
        </is>
      </c>
      <c r="W117" s="19" t="inlineStr">
        <is>
          <t>info-card</t>
        </is>
      </c>
      <c r="X117" s="19" t="inlineStr">
        <is>
          <t>ECLIPSE_Account Dashboard_Credit_Card_DDD_API_Design_v1_Workshop.xlsx</t>
        </is>
      </c>
      <c r="Y117" s="19" t="inlineStr">
        <is>
          <t>2.2 CC &gt; Transactions</t>
        </is>
      </c>
      <c r="Z117" s="19" t="inlineStr">
        <is>
          <t>API_Specs_Index!A7:H7</t>
        </is>
      </c>
      <c r="AA117" s="22" t="inlineStr">
        <is>
          <t>API-004</t>
        </is>
      </c>
      <c r="AB117" s="19" t="inlineStr">
        <is>
          <t>Mapped to Credit card transaction history because the test case terms align with the 2.2 CC &gt; Transactions journey in the applicable API specification.</t>
        </is>
      </c>
      <c r="AC117" s="19" t="inlineStr">
        <is>
          <t>High</t>
        </is>
      </c>
      <c r="AD117" s="19" t="inlineStr">
        <is>
          <t>No Screen User Action Business Logic API Name Microservice Ownership Method Endpoint Request JSON Success Response JSON Failed Response JSON ESB Eclipse DB Source BE Validation; 1 User tap one of the card from "Cards" Dashboard When the screen is loaded, 1. It shall conduct block code check to show yellow label accordingly (e.g blocked, temporarily blocked) 2. It shall display Principal card by default and if there is any...</t>
        </is>
      </c>
    </row>
    <row r="118" ht="358.8" customHeight="1" s="2">
      <c r="A118" s="12" t="inlineStr">
        <is>
          <t>TC-B1-0117</t>
        </is>
      </c>
      <c r="B118" s="13" t="inlineStr">
        <is>
          <t>TS-B1-094</t>
        </is>
      </c>
      <c r="C118" s="13" t="inlineStr">
        <is>
          <t>Acct Dashboard Financing</t>
        </is>
      </c>
      <c r="D118" s="13" t="inlineStr">
        <is>
          <t>Dashboard - Credit Card / Card Management</t>
        </is>
      </c>
      <c r="E118" s="13" t="inlineStr">
        <is>
          <t>Validate 2.1 CC Dashboard - Landing for Credit Card (JCB)</t>
        </is>
      </c>
      <c r="F118" s="13" t="inlineStr">
        <is>
          <t>UI / Functional</t>
        </is>
      </c>
      <c r="G118" s="13" t="inlineStr">
        <is>
          <t>Medium</t>
        </is>
      </c>
      <c r="H118" s="13" t="inlineStr">
        <is>
          <t>Eligible user and product are available. User has reached the preceding journey step.</t>
        </is>
      </c>
      <c r="I118" s="13" t="inlineStr">
        <is>
          <t>Credit Card (JCB)</t>
        </is>
      </c>
      <c r="J118" s="13" t="inlineStr">
        <is>
          <t>1. Open Credit Card (JCB).
2. Navigate to 2.1 CC Dashboard - Landing.
3. Perform the action or trigger described by: Step 13.
4. Observe the page, validation, navigation, and resulting state.</t>
        </is>
      </c>
      <c r="K118" s="13" t="inlineStr">
        <is>
          <t>2.1 CC Dashboard - Landing behaves according to the mapped requirement (Step 13); data, controls, navigation, and status are accurate and consistent.</t>
        </is>
      </c>
      <c r="L118" s="13" t="inlineStr">
        <is>
          <t>A&amp;A - refer to Authentication &amp; Authorisation FSD</t>
        </is>
      </c>
      <c r="M118" s="13" t="inlineStr">
        <is>
          <t>Request submitted / Request unsuccessful / Authorisation failed / Processing / Completed (per feature)</t>
        </is>
      </c>
      <c r="N118" s="13" t="inlineStr">
        <is>
          <t>Acct Dashboard Financing!A22:I22</t>
        </is>
      </c>
      <c r="O118" s="13" t="inlineStr">
        <is>
          <t>Not Run</t>
        </is>
      </c>
      <c r="P118" s="13" t="n"/>
      <c r="Q118" s="13" t="n"/>
      <c r="R118" s="14" t="n"/>
      <c r="S118" s="19" t="inlineStr">
        <is>
          <t>Credit Card API Design</t>
        </is>
      </c>
      <c r="T118" s="19" t="inlineStr">
        <is>
          <t>Cards dashboard</t>
        </is>
      </c>
      <c r="U118" s="19" t="inlineStr">
        <is>
          <t>GET</t>
        </is>
      </c>
      <c r="V118" s="19" t="inlineStr">
        <is>
          <t>/v1/external/accounts?accountGroup={accountGroup}</t>
        </is>
      </c>
      <c r="W118" s="19" t="inlineStr">
        <is>
          <t>dep-dashboard</t>
        </is>
      </c>
      <c r="X118" s="19" t="inlineStr">
        <is>
          <t>ECLIPSE_Account Dashboard_Credit_Card_DDD_API_Design_v1_Workshop.xlsx</t>
        </is>
      </c>
      <c r="Y118" s="19" t="inlineStr">
        <is>
          <t>2.1 CC Dashboard - Landing</t>
        </is>
      </c>
      <c r="Z118" s="19" t="inlineStr">
        <is>
          <t>API_Specs_Index!A2:H2</t>
        </is>
      </c>
      <c r="AA118" s="22" t="inlineStr">
        <is>
          <t>API-001</t>
        </is>
      </c>
      <c r="AB118" s="19" t="inlineStr">
        <is>
          <t>Mapped to Cards dashboard because the test case terms align with the 2.1 CC Dashboard - Landing journey in the applicable API specification.</t>
        </is>
      </c>
      <c r="AC118" s="19" t="inlineStr">
        <is>
          <t>High</t>
        </is>
      </c>
      <c r="AD118" s="19" t="inlineStr">
        <is>
          <t>1 User tap "Cards" and screen is loaded N/A dep-dashboard GET /v1/external/accounts?accountGroup={accountGroup} example : /v1/external/accounts?accountGroup=CARD { "status": 200, "message": "Request processed successfully", "timestamp": "2026-01-1...</t>
        </is>
      </c>
    </row>
    <row r="119" ht="409.6" customHeight="1" s="2">
      <c r="A119" s="15" t="inlineStr">
        <is>
          <t>TC-B1-0118</t>
        </is>
      </c>
      <c r="B119" s="16" t="inlineStr">
        <is>
          <t>TS-B1-095</t>
        </is>
      </c>
      <c r="C119" s="16" t="inlineStr">
        <is>
          <t>Acct Dashboard Financing</t>
        </is>
      </c>
      <c r="D119" s="16" t="inlineStr">
        <is>
          <t>Dashboard - Credit Card / Card Management</t>
        </is>
      </c>
      <c r="E119" s="16" t="inlineStr">
        <is>
          <t>Validate 2.1.2 Card Details for Credit Card (JCB)</t>
        </is>
      </c>
      <c r="F119" s="16" t="inlineStr">
        <is>
          <t>UI / Functional</t>
        </is>
      </c>
      <c r="G119" s="16" t="inlineStr">
        <is>
          <t>Medium</t>
        </is>
      </c>
      <c r="H119" s="16" t="inlineStr">
        <is>
          <t>Eligible user and product are available. Trigger the stated condition: Optional Step 14 - when Card Details quick action is tapped</t>
        </is>
      </c>
      <c r="I119" s="16" t="inlineStr">
        <is>
          <t>Credit Card (JCB)</t>
        </is>
      </c>
      <c r="J119" s="16" t="inlineStr">
        <is>
          <t>1. Open Credit Card (JCB).
2. Navigate to 2.1.2 Card Details.
3. Perform the action or trigger described by: Optional Step 14 - when Card Details quick action is tapped.
4. Observe the page, validation, navigation, and resulting state.</t>
        </is>
      </c>
      <c r="K119" s="16" t="inlineStr">
        <is>
          <t>2.1.2 Card Details behaves according to the mapped requirement (Optional Step 14 - when Card Details quick action is tapped); data, controls, navigation, and status are accurate and consistent.</t>
        </is>
      </c>
      <c r="L119" s="16" t="inlineStr">
        <is>
          <t>A&amp;A - refer to Authentication &amp; Authorisation FSD</t>
        </is>
      </c>
      <c r="M119" s="16" t="inlineStr">
        <is>
          <t>Request submitted / Request unsuccessful / Authorisation failed / Processing / Completed (per feature)</t>
        </is>
      </c>
      <c r="N119" s="16" t="inlineStr">
        <is>
          <t>Acct Dashboard Financing!A23:I23</t>
        </is>
      </c>
      <c r="O119" s="16" t="inlineStr">
        <is>
          <t>Not Run</t>
        </is>
      </c>
      <c r="P119" s="16" t="n"/>
      <c r="Q119" s="16" t="n"/>
      <c r="R119" s="17" t="inlineStr">
        <is>
          <t>Conditional coverage required.</t>
        </is>
      </c>
      <c r="S119" s="19" t="inlineStr">
        <is>
          <t>Credit Card API Design</t>
        </is>
      </c>
      <c r="T119" s="19" t="inlineStr">
        <is>
          <t>Cards dashboard</t>
        </is>
      </c>
      <c r="U119" s="19" t="inlineStr">
        <is>
          <t>GET</t>
        </is>
      </c>
      <c r="V119" s="19" t="inlineStr">
        <is>
          <t>/v1/external/accounts?accountGroup={accountGroup}</t>
        </is>
      </c>
      <c r="W119" s="19" t="inlineStr">
        <is>
          <t>dep-dashboard</t>
        </is>
      </c>
      <c r="X119" s="19" t="inlineStr">
        <is>
          <t>ECLIPSE_Account Dashboard_Credit_Card_DDD_API_Design_v1_Workshop.xlsx</t>
        </is>
      </c>
      <c r="Y119" s="19" t="inlineStr">
        <is>
          <t>2.1 CC Dashboard - Landing</t>
        </is>
      </c>
      <c r="Z119" s="19" t="inlineStr">
        <is>
          <t>API_Specs_Index!A2:H2</t>
        </is>
      </c>
      <c r="AA119" s="22" t="inlineStr">
        <is>
          <t>API-001</t>
        </is>
      </c>
      <c r="AB119" s="19" t="inlineStr">
        <is>
          <t>Mapped to Cards dashboard because the test case terms align with the 2.1 CC Dashboard - Landing journey in the applicable API specification.</t>
        </is>
      </c>
      <c r="AC119" s="19" t="inlineStr">
        <is>
          <t>Medium</t>
        </is>
      </c>
      <c r="AD119" s="19" t="inlineStr">
        <is>
          <t>1 User tap "Cards" and screen is loaded N/A dep-dashboard GET /v1/external/accounts?accountGroup={accountGroup} example : /v1/external/accounts?accountGroup=CARD { "status": 200, "message": "Request processed successfully", "timestamp": "2026-01-1...</t>
        </is>
      </c>
    </row>
    <row r="120" ht="409.6" customHeight="1" s="2">
      <c r="A120" s="12" t="inlineStr">
        <is>
          <t>TC-B1-0119</t>
        </is>
      </c>
      <c r="B120" s="13" t="inlineStr">
        <is>
          <t>TS-B1-096</t>
        </is>
      </c>
      <c r="C120" s="13" t="inlineStr">
        <is>
          <t>Acct Dashboard Financing</t>
        </is>
      </c>
      <c r="D120" s="13" t="inlineStr">
        <is>
          <t>Dashboard - Credit Card / Card Management</t>
        </is>
      </c>
      <c r="E120" s="13" t="inlineStr">
        <is>
          <t>Validate 2.1.4 JCB CC Activation for Credit Card (JCB)</t>
        </is>
      </c>
      <c r="F120" s="13" t="inlineStr">
        <is>
          <t>Functional</t>
        </is>
      </c>
      <c r="G120" s="13" t="inlineStr">
        <is>
          <t>High</t>
        </is>
      </c>
      <c r="H120" s="13" t="inlineStr">
        <is>
          <t>Eligible user and product are available. Trigger the stated condition: Conditional Step 16 - pending activation and card type JCB</t>
        </is>
      </c>
      <c r="I120" s="13" t="inlineStr">
        <is>
          <t>Credit Card (JCB)</t>
        </is>
      </c>
      <c r="J120" s="13" t="inlineStr">
        <is>
          <t>1. Open Credit Card (JCB).
2. Navigate to 2.1.4 JCB CC Activation.
3. Perform the action or trigger described by: Conditional Step 16 - pending activation and card type JCB.
4. Observe the page, validation, navigation, and resulting state.</t>
        </is>
      </c>
      <c r="K120" s="13" t="inlineStr">
        <is>
          <t>2.1.4 JCB CC Activation behaves according to the mapped requirement (Conditional Step 16 - pending activation and card type JCB); data, controls, navigation, and status are accurate and consistent.</t>
        </is>
      </c>
      <c r="L120" s="13" t="inlineStr">
        <is>
          <t>A&amp;A - refer to Authentication &amp; Authorisation FSD</t>
        </is>
      </c>
      <c r="M120" s="13" t="inlineStr">
        <is>
          <t>Request submitted / Request unsuccessful / Authorisation failed / Processing / Completed (per feature)</t>
        </is>
      </c>
      <c r="N120" s="13" t="inlineStr">
        <is>
          <t>Acct Dashboard Financing!A25:I25</t>
        </is>
      </c>
      <c r="O120" s="13" t="inlineStr">
        <is>
          <t>Not Run</t>
        </is>
      </c>
      <c r="P120" s="13" t="n"/>
      <c r="Q120" s="13" t="n"/>
      <c r="R120" s="14" t="inlineStr">
        <is>
          <t>Conditional coverage required.</t>
        </is>
      </c>
      <c r="S120" s="19" t="inlineStr">
        <is>
          <t>Credit Card API Design</t>
        </is>
      </c>
      <c r="T120" s="19" t="inlineStr">
        <is>
          <t>Credit card activation + set card pin</t>
        </is>
      </c>
      <c r="U120" s="19" t="inlineStr">
        <is>
          <t>POST</t>
        </is>
      </c>
      <c r="V120" s="19" t="inlineStr">
        <is>
          <t>/v1/external/credit-card/activate</t>
        </is>
      </c>
      <c r="W120" s="19" t="inlineStr">
        <is>
          <t>dep-card</t>
        </is>
      </c>
      <c r="X120" s="19" t="inlineStr">
        <is>
          <t>ECLIPSE_Account Dashboard_Credit_Card_DDD_API_Design_v1_Workshop.xlsx</t>
        </is>
      </c>
      <c r="Y120" s="19" t="inlineStr">
        <is>
          <t>2.1.3 CC Activation</t>
        </is>
      </c>
      <c r="Z120" s="19" t="inlineStr">
        <is>
          <t>API_Specs_Index!A6:H6</t>
        </is>
      </c>
      <c r="AA120" s="22" t="inlineStr">
        <is>
          <t>API-003</t>
        </is>
      </c>
      <c r="AB120" s="19" t="inlineStr">
        <is>
          <t>Mapped to Credit card activation + set card pin because the test case terms align with the 2.1.3 CC Activation journey in the applicable API specification.</t>
        </is>
      </c>
      <c r="AC120" s="19" t="inlineStr">
        <is>
          <t>High</t>
        </is>
      </c>
      <c r="AD120" s="19" t="inlineStr">
        <is>
          <t>1 User tap "Activate Now" Credit Card Activation Rule a. Upon tapping on [Activate now] button, system to perform the following checking: - Validate card type using Visa or Mastercard or JCB by BIN whether allows to activate the credit card i. All...; User tap [✓] button Upon click [✓] button, system to perform the following: 1. If any New PIN box is empty, display snackbar with error message "Required field." 2. If any Confirm PIN box is empty, display snackbar with error message "Required fie...</t>
        </is>
      </c>
    </row>
    <row r="121" ht="358.8" customHeight="1" s="2">
      <c r="A121" s="15" t="inlineStr">
        <is>
          <t>TC-B1-0120</t>
        </is>
      </c>
      <c r="B121" s="16" t="inlineStr">
        <is>
          <t>TS-B1-097</t>
        </is>
      </c>
      <c r="C121" s="16" t="inlineStr">
        <is>
          <t>Acct Dashboard Financing</t>
        </is>
      </c>
      <c r="D121" s="16" t="inlineStr">
        <is>
          <t>Dashboard - Credit Card / Card Management</t>
        </is>
      </c>
      <c r="E121" s="16" t="inlineStr">
        <is>
          <t>Validate 2.2 CC &gt; Transactions for Credit Card (JCB)</t>
        </is>
      </c>
      <c r="F121" s="16" t="inlineStr">
        <is>
          <t>Functional</t>
        </is>
      </c>
      <c r="G121" s="16" t="inlineStr">
        <is>
          <t>Medium</t>
        </is>
      </c>
      <c r="H121" s="16" t="inlineStr">
        <is>
          <t>Eligible user and product are available. User has reached the preceding journey step.</t>
        </is>
      </c>
      <c r="I121" s="16" t="inlineStr">
        <is>
          <t>Credit Card (JCB)</t>
        </is>
      </c>
      <c r="J121" s="16" t="inlineStr">
        <is>
          <t>1. Open Credit Card (JCB).
2. Navigate to 2.2 CC &gt; Transactions.
3. Perform the action or trigger described by: Step 17.
4. Observe the page, validation, navigation, and resulting state.</t>
        </is>
      </c>
      <c r="K121" s="16" t="inlineStr">
        <is>
          <t>2.2 CC &gt; Transactions behaves according to the mapped requirement (Step 17); data, controls, navigation, and status are accurate and consistent.</t>
        </is>
      </c>
      <c r="L121" s="16" t="inlineStr">
        <is>
          <t>A&amp;A - refer to Authentication &amp; Authorisation FSD</t>
        </is>
      </c>
      <c r="M121" s="16" t="inlineStr">
        <is>
          <t>Request submitted / Request unsuccessful / Authorisation failed / Processing / Completed (per feature)</t>
        </is>
      </c>
      <c r="N121" s="16" t="inlineStr">
        <is>
          <t>Acct Dashboard Financing!A26:I26</t>
        </is>
      </c>
      <c r="O121" s="16" t="inlineStr">
        <is>
          <t>Not Run</t>
        </is>
      </c>
      <c r="P121" s="16" t="n"/>
      <c r="Q121" s="16" t="n"/>
      <c r="R121" s="17" t="n"/>
      <c r="S121" s="19" t="inlineStr">
        <is>
          <t>Credit Card API Design</t>
        </is>
      </c>
      <c r="T121" s="19" t="inlineStr">
        <is>
          <t>Credit card transaction history</t>
        </is>
      </c>
      <c r="U121" s="19" t="inlineStr">
        <is>
          <t>GET</t>
        </is>
      </c>
      <c r="V121" s="19" t="inlineStr">
        <is>
          <t>/v1/external/accounts/account-type/{accountType}/account-id/{accountId}/transactions?startDate={startDate}&amp;endDate={endDate}&amp;page={page}&amp;limit={limit}</t>
        </is>
      </c>
      <c r="W121" s="19" t="inlineStr">
        <is>
          <t>info-card</t>
        </is>
      </c>
      <c r="X121" s="19" t="inlineStr">
        <is>
          <t>ECLIPSE_Account Dashboard_Credit_Card_DDD_API_Design_v1_Workshop.xlsx</t>
        </is>
      </c>
      <c r="Y121" s="19" t="inlineStr">
        <is>
          <t>2.2 CC &gt; Transactions</t>
        </is>
      </c>
      <c r="Z121" s="19" t="inlineStr">
        <is>
          <t>API_Specs_Index!A7:H7</t>
        </is>
      </c>
      <c r="AA121" s="22" t="inlineStr">
        <is>
          <t>API-004</t>
        </is>
      </c>
      <c r="AB121" s="19" t="inlineStr">
        <is>
          <t>Mapped to Credit card transaction history because the test case terms align with the 2.2 CC &gt; Transactions journey in the applicable API specification.</t>
        </is>
      </c>
      <c r="AC121" s="19" t="inlineStr">
        <is>
          <t>High</t>
        </is>
      </c>
      <c r="AD121" s="19" t="inlineStr">
        <is>
          <t>No Screen User Action Business Logic API Name Microservice Ownership Method Endpoint Request JSON Success Response JSON Failed Response JSON ESB Eclipse DB Source BE Validation; 1 User tap one of the card from "Cards" Dashboard When the screen is loaded, 1. It shall conduct block code check to show yellow label accordingly (e.g blocked, temporarily blocked) 2. It shall display Principal card by default and if there is any...</t>
        </is>
      </c>
    </row>
    <row r="122" ht="409.6" customHeight="1" s="2">
      <c r="A122" s="12" t="inlineStr">
        <is>
          <t>TC-B1-0121</t>
        </is>
      </c>
      <c r="B122" s="13" t="inlineStr">
        <is>
          <t>TS-B1-098</t>
        </is>
      </c>
      <c r="C122" s="13" t="inlineStr">
        <is>
          <t>Acct Dashboard Financing</t>
        </is>
      </c>
      <c r="D122" s="13" t="inlineStr">
        <is>
          <t>Dashboard - Credit Card / Card Management</t>
        </is>
      </c>
      <c r="E122" s="13" t="inlineStr">
        <is>
          <t>Validate 2.2.1 CC View All Trans for Credit Card (JCB)</t>
        </is>
      </c>
      <c r="F122" s="13" t="inlineStr">
        <is>
          <t>Functional</t>
        </is>
      </c>
      <c r="G122" s="13" t="inlineStr">
        <is>
          <t>Medium</t>
        </is>
      </c>
      <c r="H122" s="13" t="inlineStr">
        <is>
          <t>Eligible user and product are available. Trigger the stated condition: Optional Step 18 - when View all transactions is selected</t>
        </is>
      </c>
      <c r="I122" s="13" t="inlineStr">
        <is>
          <t>Credit Card (JCB)</t>
        </is>
      </c>
      <c r="J122" s="13" t="inlineStr">
        <is>
          <t>1. Open Credit Card (JCB).
2. Navigate to 2.2.1 CC View All Trans.
3. Perform the action or trigger described by: Optional Step 18 - when View all transactions is selected.
4. Observe the page, validation, navigation, and resulting state.</t>
        </is>
      </c>
      <c r="K122" s="13" t="inlineStr">
        <is>
          <t>2.2.1 CC View All Trans behaves according to the mapped requirement (Optional Step 18 - when View all transactions is selected); data, controls, navigation, and status are accurate and consistent.</t>
        </is>
      </c>
      <c r="L122" s="13" t="inlineStr">
        <is>
          <t>A&amp;A - refer to Authentication &amp; Authorisation FSD</t>
        </is>
      </c>
      <c r="M122" s="13" t="inlineStr">
        <is>
          <t>Request submitted / Request unsuccessful / Authorisation failed / Processing / Completed (per feature)</t>
        </is>
      </c>
      <c r="N122" s="13" t="inlineStr">
        <is>
          <t>Acct Dashboard Financing!A27:I27</t>
        </is>
      </c>
      <c r="O122" s="13" t="inlineStr">
        <is>
          <t>Not Run</t>
        </is>
      </c>
      <c r="P122" s="13" t="n"/>
      <c r="Q122" s="13" t="n"/>
      <c r="R122" s="14" t="inlineStr">
        <is>
          <t>Conditional coverage required.</t>
        </is>
      </c>
      <c r="S122" s="19" t="inlineStr">
        <is>
          <t>Credit Card API Design</t>
        </is>
      </c>
      <c r="T122" s="19" t="inlineStr">
        <is>
          <t>Credit card view all transaction history</t>
        </is>
      </c>
      <c r="U122" s="19" t="inlineStr">
        <is>
          <t>GET</t>
        </is>
      </c>
      <c r="V122" s="19" t="inlineStr">
        <is>
          <t>/v1/external/accounts/account-type/{accountType}/account-id/{accountId}/transactions?startDate={startDate}&amp;endDate={endDate}&amp;page={page}&amp;limit={limit}</t>
        </is>
      </c>
      <c r="W122" s="19" t="inlineStr">
        <is>
          <t>info-card</t>
        </is>
      </c>
      <c r="X122" s="19" t="inlineStr">
        <is>
          <t>ECLIPSE_Account Dashboard_Credit_Card_DDD_API_Design_v1_Workshop.xlsx</t>
        </is>
      </c>
      <c r="Y122" s="19" t="inlineStr">
        <is>
          <t>2.2.1 CC View All Trans</t>
        </is>
      </c>
      <c r="Z122" s="19" t="inlineStr">
        <is>
          <t>API_Specs_Index!A8:H8</t>
        </is>
      </c>
      <c r="AA122" s="22" t="inlineStr">
        <is>
          <t>API-005</t>
        </is>
      </c>
      <c r="AB122" s="19" t="inlineStr">
        <is>
          <t>Mapped to Credit card view all transaction history because the test case terms align with the 2.2.1 CC View All Trans journey in the applicable API specification.</t>
        </is>
      </c>
      <c r="AC122" s="19" t="inlineStr">
        <is>
          <t>High</t>
        </is>
      </c>
      <c r="AD122" s="19" t="inlineStr">
        <is>
          <t>1 User tap "View all transactions" hyperlink General rule a. Transaction listing defaults to YTD+24 months records, loading 20 transactions per batch and fetching the next batch automatically as the user scrolls. b. An ‘End of List’ indicator will...; 2 User key in keyword at Search "View All Transaction with Searching" rule a. The system shall support live search, where results are dynamically filtered and displayed from the loaded data pool as the user types, with pagination in batches of 20 ...; 3 User tap "Filter" -&gt; click "Apply" info-card GET /v1/external/accounts/account-type/{accountType}/account-id/{accountId}/transactions?startDate={startDate}&amp;endDate={endDate}&amp;page={page}&amp;limit={limit} example : /v1/external/accounts/account-type/...; 4 User tap [Export Transaction] 1. Send to email getAccountStatement info-card GET /v1/external/accounts/account-type/{accountType}/account-id/{accountId}/statement?statementType={statementType}&amp;statementFormat={statementFormat} example : /v1/exte...</t>
        </is>
      </c>
    </row>
    <row r="123" ht="400.2" customHeight="1" s="2">
      <c r="A123" s="15" t="inlineStr">
        <is>
          <t>TC-B1-0122</t>
        </is>
      </c>
      <c r="B123" s="16" t="inlineStr">
        <is>
          <t>TS-B1-099</t>
        </is>
      </c>
      <c r="C123" s="16" t="inlineStr">
        <is>
          <t>Acct Dashboard Financing</t>
        </is>
      </c>
      <c r="D123" s="16" t="inlineStr">
        <is>
          <t>Dashboard - Credit Card / Card Management</t>
        </is>
      </c>
      <c r="E123" s="16" t="inlineStr">
        <is>
          <t>Validate 2.2.1.1 Convert TREATS for Credit Card (JCB)</t>
        </is>
      </c>
      <c r="F123" s="16" t="inlineStr">
        <is>
          <t>Functional</t>
        </is>
      </c>
      <c r="G123" s="16" t="inlineStr">
        <is>
          <t>Medium</t>
        </is>
      </c>
      <c r="H123" s="16" t="inlineStr">
        <is>
          <t>Eligible user and product are available. Trigger the stated condition: Conditional Step 19 - Refer to Rewards FSD</t>
        </is>
      </c>
      <c r="I123" s="16" t="inlineStr">
        <is>
          <t>Credit Card (JCB)</t>
        </is>
      </c>
      <c r="J123" s="16" t="inlineStr">
        <is>
          <t>1. Open Credit Card (JCB).
2. Navigate to 2.2.1.1 Convert TREATS.
3. Perform the action or trigger described by: Conditional Step 19 - Refer to Rewards FSD.
4. Observe the page, validation, navigation, and resulting state.</t>
        </is>
      </c>
      <c r="K123" s="16" t="inlineStr">
        <is>
          <t>2.2.1.1 Convert TREATS behaves according to the mapped requirement (Conditional Step 19 - Refer to Rewards FSD); data, controls, navigation, and status are accurate and consistent.</t>
        </is>
      </c>
      <c r="L123" s="16" t="inlineStr">
        <is>
          <t>A&amp;A - refer to Authentication &amp; Authorisation FSD</t>
        </is>
      </c>
      <c r="M123" s="16" t="inlineStr">
        <is>
          <t>Request submitted / Request unsuccessful / Authorisation failed / Processing / Completed (per feature)</t>
        </is>
      </c>
      <c r="N123" s="16" t="inlineStr">
        <is>
          <t>Acct Dashboard Financing!A28:I28</t>
        </is>
      </c>
      <c r="O123" s="16" t="inlineStr">
        <is>
          <t>Not Run</t>
        </is>
      </c>
      <c r="P123" s="16" t="n"/>
      <c r="Q123" s="16" t="n"/>
      <c r="R123" s="17" t="inlineStr">
        <is>
          <t>Conditional coverage required.</t>
        </is>
      </c>
      <c r="S123" s="19" t="inlineStr">
        <is>
          <t>Credit Card API Design</t>
        </is>
      </c>
      <c r="T123" s="19" t="inlineStr">
        <is>
          <t>Cards dashboard</t>
        </is>
      </c>
      <c r="U123" s="19" t="inlineStr">
        <is>
          <t>GET</t>
        </is>
      </c>
      <c r="V123" s="19" t="inlineStr">
        <is>
          <t>/v1/external/accounts?accountGroup={accountGroup}</t>
        </is>
      </c>
      <c r="W123" s="19" t="inlineStr">
        <is>
          <t>dep-dashboard</t>
        </is>
      </c>
      <c r="X123" s="19" t="inlineStr">
        <is>
          <t>ECLIPSE_Account Dashboard_Credit_Card_DDD_API_Design_v1_Workshop.xlsx</t>
        </is>
      </c>
      <c r="Y123" s="19" t="inlineStr">
        <is>
          <t>2.1 CC Dashboard - Landing</t>
        </is>
      </c>
      <c r="Z123" s="19" t="inlineStr">
        <is>
          <t>API_Specs_Index!A2:H2</t>
        </is>
      </c>
      <c r="AA123" s="22" t="inlineStr">
        <is>
          <t>API-001</t>
        </is>
      </c>
      <c r="AB123" s="19" t="inlineStr">
        <is>
          <t>Mapped to Cards dashboard because the test case terms align with the 2.1 CC Dashboard - Landing journey in the applicable API specification.</t>
        </is>
      </c>
      <c r="AC123" s="19" t="inlineStr">
        <is>
          <t>Medium</t>
        </is>
      </c>
      <c r="AD123" s="19" t="inlineStr">
        <is>
          <t>1 User tap "Cards" and screen is loaded N/A dep-dashboard GET /v1/external/accounts?accountGroup={accountGroup} example : /v1/external/accounts?accountGroup=CARD { "status": 200, "message": "Request processed successfully", "timestamp": "2026-01-1...</t>
        </is>
      </c>
    </row>
    <row r="124" ht="409.6" customHeight="1" s="2">
      <c r="A124" s="12" t="inlineStr">
        <is>
          <t>TC-B1-0123</t>
        </is>
      </c>
      <c r="B124" s="13" t="inlineStr">
        <is>
          <t>TS-B1-100</t>
        </is>
      </c>
      <c r="C124" s="13" t="inlineStr">
        <is>
          <t>Acct Dashboard Financing</t>
        </is>
      </c>
      <c r="D124" s="13" t="inlineStr">
        <is>
          <t>Dashboard - Credit Card / Card Management</t>
        </is>
      </c>
      <c r="E124" s="13" t="inlineStr">
        <is>
          <t>Validate 2.2.1.2 View Receipts for Credit Card (JCB)</t>
        </is>
      </c>
      <c r="F124" s="13" t="inlineStr">
        <is>
          <t>Functional</t>
        </is>
      </c>
      <c r="G124" s="13" t="inlineStr">
        <is>
          <t>Medium</t>
        </is>
      </c>
      <c r="H124" s="13" t="inlineStr">
        <is>
          <t>Eligible user and product are available. Trigger the stated condition: Conditional Step 20 - when receipt-eligible transaction is selected</t>
        </is>
      </c>
      <c r="I124" s="13" t="inlineStr">
        <is>
          <t>Credit Card (JCB)</t>
        </is>
      </c>
      <c r="J124" s="13" t="inlineStr">
        <is>
          <t>1. Open Credit Card (JCB).
2. Navigate to 2.2.1.2 View Receipts.
3. Perform the action or trigger described by: Conditional Step 20 - when receipt-eligible transaction is selected.
4. Observe the page, validation, navigation, and resulting state.</t>
        </is>
      </c>
      <c r="K124" s="13" t="inlineStr">
        <is>
          <t>2.2.1.2 View Receipts behaves according to the mapped requirement (Conditional Step 20 - when receipt-eligible transaction is selected); data, controls, navigation, and status are accurate and consistent.</t>
        </is>
      </c>
      <c r="L124" s="13" t="inlineStr">
        <is>
          <t>A&amp;A - refer to Authentication &amp; Authorisation FSD</t>
        </is>
      </c>
      <c r="M124" s="13" t="inlineStr">
        <is>
          <t>Request submitted / Request unsuccessful / Authorisation failed / Processing / Completed (per feature)</t>
        </is>
      </c>
      <c r="N124" s="13" t="inlineStr">
        <is>
          <t>Acct Dashboard Financing!A29:I29</t>
        </is>
      </c>
      <c r="O124" s="13" t="inlineStr">
        <is>
          <t>Not Run</t>
        </is>
      </c>
      <c r="P124" s="13" t="n"/>
      <c r="Q124" s="13" t="n"/>
      <c r="R124" s="14" t="inlineStr">
        <is>
          <t>Conditional coverage required.</t>
        </is>
      </c>
      <c r="S124" s="19" t="inlineStr">
        <is>
          <t>Credit Card API Design</t>
        </is>
      </c>
      <c r="T124" s="19" t="inlineStr">
        <is>
          <t>Credit card view all transaction history</t>
        </is>
      </c>
      <c r="U124" s="19" t="inlineStr">
        <is>
          <t>GET</t>
        </is>
      </c>
      <c r="V124" s="19" t="inlineStr">
        <is>
          <t>/v1/external/accounts/account-type/{accountType}/account-id/{accountId}/transactions?startDate={startDate}&amp;endDate={endDate}&amp;page={page}&amp;limit={limit}</t>
        </is>
      </c>
      <c r="W124" s="19" t="inlineStr">
        <is>
          <t>info-card</t>
        </is>
      </c>
      <c r="X124" s="19" t="inlineStr">
        <is>
          <t>ECLIPSE_Account Dashboard_Credit_Card_DDD_API_Design_v1_Workshop.xlsx</t>
        </is>
      </c>
      <c r="Y124" s="19" t="inlineStr">
        <is>
          <t>2.2.1 CC View All Trans</t>
        </is>
      </c>
      <c r="Z124" s="19" t="inlineStr">
        <is>
          <t>API_Specs_Index!A8:H8</t>
        </is>
      </c>
      <c r="AA124" s="22" t="inlineStr">
        <is>
          <t>API-005</t>
        </is>
      </c>
      <c r="AB124" s="19" t="inlineStr">
        <is>
          <t>Mapped to Credit card view all transaction history because the test case terms align with the 2.2.1 CC View All Trans journey in the applicable API specification.</t>
        </is>
      </c>
      <c r="AC124" s="19" t="inlineStr">
        <is>
          <t>High</t>
        </is>
      </c>
      <c r="AD124" s="19" t="inlineStr">
        <is>
          <t>1 User tap "View all transactions" hyperlink General rule a. Transaction listing defaults to YTD+24 months records, loading 20 transactions per batch and fetching the next batch automatically as the user scrolls. b. An ‘End of List’ indicator will...; 2 User key in keyword at Search "View All Transaction with Searching" rule a. The system shall support live search, where results are dynamically filtered and displayed from the loaded data pool as the user types, with pagination in batches of 20 ...; 3 User tap "Filter" -&gt; click "Apply" info-card GET /v1/external/accounts/account-type/{accountType}/account-id/{accountId}/transactions?startDate={startDate}&amp;endDate={endDate}&amp;page={page}&amp;limit={limit} example : /v1/external/accounts/account-type/...; 4 User tap [Export Transaction] 1. Send to email getAccountStatement info-card GET /v1/external/accounts/account-type/{accountType}/account-id/{accountId}/statement?statementType={statementType}&amp;statementFormat={statementFormat} example : /v1/exte...</t>
        </is>
      </c>
    </row>
    <row r="125" ht="409.6" customHeight="1" s="2">
      <c r="A125" s="15" t="inlineStr">
        <is>
          <t>TC-B1-0124</t>
        </is>
      </c>
      <c r="B125" s="16" t="inlineStr">
        <is>
          <t>TS-B1-101</t>
        </is>
      </c>
      <c r="C125" s="16" t="inlineStr">
        <is>
          <t>Acct Dashboard Financing</t>
        </is>
      </c>
      <c r="D125" s="16" t="inlineStr">
        <is>
          <t>Dashboard - Credit Card / Card Management</t>
        </is>
      </c>
      <c r="E125" s="16" t="inlineStr">
        <is>
          <t>Validate 2.2.1.3 Card Statement for Credit Card (JCB)</t>
        </is>
      </c>
      <c r="F125" s="16" t="inlineStr">
        <is>
          <t>Functional</t>
        </is>
      </c>
      <c r="G125" s="16" t="inlineStr">
        <is>
          <t>Medium</t>
        </is>
      </c>
      <c r="H125" s="16" t="inlineStr">
        <is>
          <t>Eligible user and product are available. Trigger the stated condition: Conditional Step 21 - Needs PO/BA clarification (JIRA TBC; integration "?")</t>
        </is>
      </c>
      <c r="I125" s="16" t="inlineStr">
        <is>
          <t>Credit Card (JCB)</t>
        </is>
      </c>
      <c r="J125" s="16" t="inlineStr">
        <is>
          <t>1. Open Credit Card (JCB).
2. Navigate to 2.2.1.3 Card Statement.
3. Perform the action or trigger described by: Conditional Step 21 - Needs PO/BA clarification (JIRA TBC; integration "?").
4. Observe the page, validation, navigation, and resulting state.</t>
        </is>
      </c>
      <c r="K125" s="16" t="inlineStr">
        <is>
          <t>2.2.1.3 Card Statement behaves according to the mapped requirement (Conditional Step 21 - Needs PO/BA clarification (JIRA TBC; integration "?")); data, controls, navigation, and status are accurate and consistent.</t>
        </is>
      </c>
      <c r="L125" s="16" t="inlineStr">
        <is>
          <t>A&amp;A - refer to Authentication &amp; Authorisation FSD</t>
        </is>
      </c>
      <c r="M125" s="16" t="inlineStr">
        <is>
          <t>Request submitted / Request unsuccessful / Authorisation failed / Processing / Completed (per feature)</t>
        </is>
      </c>
      <c r="N125" s="16" t="inlineStr">
        <is>
          <t>Acct Dashboard Financing!A30:I30</t>
        </is>
      </c>
      <c r="O125" s="16" t="inlineStr">
        <is>
          <t>Not Run</t>
        </is>
      </c>
      <c r="P125" s="16" t="n"/>
      <c r="Q125" s="16" t="n"/>
      <c r="R125" s="17" t="inlineStr">
        <is>
          <t>Conditional coverage required.</t>
        </is>
      </c>
      <c r="S125" s="19" t="inlineStr">
        <is>
          <t>Credit Card API Design</t>
        </is>
      </c>
      <c r="T125" s="19" t="inlineStr">
        <is>
          <t>Cards dashboard</t>
        </is>
      </c>
      <c r="U125" s="19" t="inlineStr">
        <is>
          <t>GET</t>
        </is>
      </c>
      <c r="V125" s="19" t="inlineStr">
        <is>
          <t>/v1/external/accounts?accountGroup={accountGroup}</t>
        </is>
      </c>
      <c r="W125" s="19" t="inlineStr">
        <is>
          <t>dep-dashboard</t>
        </is>
      </c>
      <c r="X125" s="19" t="inlineStr">
        <is>
          <t>ECLIPSE_Account Dashboard_Credit_Card_DDD_API_Design_v1_Workshop.xlsx</t>
        </is>
      </c>
      <c r="Y125" s="19" t="inlineStr">
        <is>
          <t>2.1 CC Dashboard - Landing</t>
        </is>
      </c>
      <c r="Z125" s="19" t="inlineStr">
        <is>
          <t>API_Specs_Index!A2:H2</t>
        </is>
      </c>
      <c r="AA125" s="22" t="inlineStr">
        <is>
          <t>API-001</t>
        </is>
      </c>
      <c r="AB125" s="19" t="inlineStr">
        <is>
          <t>Mapped to Cards dashboard because the test case terms align with the 2.1 CC Dashboard - Landing journey in the applicable API specification.</t>
        </is>
      </c>
      <c r="AC125" s="19" t="inlineStr">
        <is>
          <t>Medium</t>
        </is>
      </c>
      <c r="AD125" s="19" t="inlineStr">
        <is>
          <t>1 User tap "Cards" and screen is loaded N/A dep-dashboard GET /v1/external/accounts?accountGroup={accountGroup} example : /v1/external/accounts?accountGroup=CARD { "status": 200, "message": "Request processed successfully", "timestamp": "2026-01-1...</t>
        </is>
      </c>
    </row>
    <row r="126" ht="358.8" customHeight="1" s="2">
      <c r="A126" s="12" t="inlineStr">
        <is>
          <t>TC-B1-0125</t>
        </is>
      </c>
      <c r="B126" s="13" t="inlineStr">
        <is>
          <t>TS-B1-102</t>
        </is>
      </c>
      <c r="C126" s="13" t="inlineStr">
        <is>
          <t>Acct Dashboard Financing</t>
        </is>
      </c>
      <c r="D126" s="13" t="inlineStr">
        <is>
          <t>Dashboard - Credit Card / Card Management</t>
        </is>
      </c>
      <c r="E126" s="13" t="inlineStr">
        <is>
          <t>Validate 2.3 CC &gt; Summary for Credit Card (JCB)</t>
        </is>
      </c>
      <c r="F126" s="13" t="inlineStr">
        <is>
          <t>UI / Functional</t>
        </is>
      </c>
      <c r="G126" s="13" t="inlineStr">
        <is>
          <t>Medium</t>
        </is>
      </c>
      <c r="H126" s="13" t="inlineStr">
        <is>
          <t>Eligible user and product are available. User has reached the preceding journey step.</t>
        </is>
      </c>
      <c r="I126" s="13" t="inlineStr">
        <is>
          <t>Credit Card (JCB)</t>
        </is>
      </c>
      <c r="J126" s="13" t="inlineStr">
        <is>
          <t>1. Open Credit Card (JCB).
2. Navigate to 2.3 CC &gt; Summary.
3. Perform the action or trigger described by: Step 22.
4. Observe the page, validation, navigation, and resulting state.</t>
        </is>
      </c>
      <c r="K126" s="13" t="inlineStr">
        <is>
          <t>2.3 CC &gt; Summary behaves according to the mapped requirement (Step 22); data, controls, navigation, and status are accurate and consistent.</t>
        </is>
      </c>
      <c r="L126" s="13" t="inlineStr">
        <is>
          <t>A&amp;A - refer to Authentication &amp; Authorisation FSD</t>
        </is>
      </c>
      <c r="M126" s="13" t="inlineStr">
        <is>
          <t>Request submitted / Request unsuccessful / Authorisation failed / Processing / Completed (per feature)</t>
        </is>
      </c>
      <c r="N126" s="13" t="inlineStr">
        <is>
          <t>Acct Dashboard Financing!A31:I31</t>
        </is>
      </c>
      <c r="O126" s="13" t="inlineStr">
        <is>
          <t>Not Run</t>
        </is>
      </c>
      <c r="P126" s="13" t="n"/>
      <c r="Q126" s="13" t="n"/>
      <c r="R126" s="14" t="n"/>
      <c r="S126" s="19" t="inlineStr">
        <is>
          <t>Credit Card API Design</t>
        </is>
      </c>
      <c r="T126" s="19" t="inlineStr">
        <is>
          <t>Credit card detail</t>
        </is>
      </c>
      <c r="U126" s="19" t="inlineStr">
        <is>
          <t>GET</t>
        </is>
      </c>
      <c r="V126" s="19" t="inlineStr">
        <is>
          <t>/v1/external/accounts/account-type/{accountType}/account-id/{accountId}/detail</t>
        </is>
      </c>
      <c r="W126" s="19" t="inlineStr">
        <is>
          <t>info-card</t>
        </is>
      </c>
      <c r="X126" s="19" t="inlineStr">
        <is>
          <t>ECLIPSE_Account Dashboard_Credit_Card_DDD_API_Design_v1_Workshop.xlsx</t>
        </is>
      </c>
      <c r="Y126" s="19" t="inlineStr">
        <is>
          <t>2.3 CC &gt; Summary</t>
        </is>
      </c>
      <c r="Z126" s="19" t="inlineStr">
        <is>
          <t>API_Specs_Index!A15:H15</t>
        </is>
      </c>
      <c r="AA126" s="22" t="inlineStr">
        <is>
          <t>API-002</t>
        </is>
      </c>
      <c r="AB126" s="19" t="inlineStr">
        <is>
          <t>Mapped to Credit card detail because the test case terms align with the 2.3 CC &gt; Summary journey in the applicable API specification.</t>
        </is>
      </c>
      <c r="AC126" s="19" t="inlineStr">
        <is>
          <t>High</t>
        </is>
      </c>
      <c r="AD126" s="19" t="inlineStr">
        <is>
          <t>1 User tap one of the account at "Cards" tab info-card GET /v1/external/accounts/account-type/{accountType}/account-id/{accountId}/detail example : /v1/external/accounts/account-type/CC/account-id/2223553213221142/detail { "status": 200, "message"...</t>
        </is>
      </c>
    </row>
    <row r="127" ht="345" customHeight="1" s="2">
      <c r="A127" s="15" t="inlineStr">
        <is>
          <t>TC-B1-0126</t>
        </is>
      </c>
      <c r="B127" s="16" t="inlineStr">
        <is>
          <t>TS-B1-103</t>
        </is>
      </c>
      <c r="C127" s="16" t="inlineStr">
        <is>
          <t>Acct Dashboard Financing</t>
        </is>
      </c>
      <c r="D127" s="16" t="inlineStr">
        <is>
          <t>Dashboard - Credit Card / Card Management</t>
        </is>
      </c>
      <c r="E127" s="16" t="inlineStr">
        <is>
          <t>Validate 2.4 CC &gt; Manage for Credit Card (JCB)</t>
        </is>
      </c>
      <c r="F127" s="16" t="inlineStr">
        <is>
          <t>Functional</t>
        </is>
      </c>
      <c r="G127" s="16" t="inlineStr">
        <is>
          <t>Medium</t>
        </is>
      </c>
      <c r="H127" s="16" t="inlineStr">
        <is>
          <t>Eligible user and product are available. User has reached the preceding journey step.</t>
        </is>
      </c>
      <c r="I127" s="16" t="inlineStr">
        <is>
          <t>Credit Card (JCB)</t>
        </is>
      </c>
      <c r="J127" s="16" t="inlineStr">
        <is>
          <t>1. Open Credit Card (JCB).
2. Navigate to 2.4 CC &gt; Manage.
3. Perform the action or trigger described by: Step 23.
4. Observe the page, validation, navigation, and resulting state.</t>
        </is>
      </c>
      <c r="K127" s="16" t="inlineStr">
        <is>
          <t>2.4 CC &gt; Manage behaves according to the mapped requirement (Step 23); data, controls, navigation, and status are accurate and consistent.</t>
        </is>
      </c>
      <c r="L127" s="16" t="inlineStr">
        <is>
          <t>A&amp;A - refer to Authentication &amp; Authorisation FSD</t>
        </is>
      </c>
      <c r="M127" s="16" t="inlineStr">
        <is>
          <t>Request submitted / Request unsuccessful / Authorisation failed / Processing / Completed (per feature)</t>
        </is>
      </c>
      <c r="N127" s="16" t="inlineStr">
        <is>
          <t>Acct Dashboard Financing!A32:I32</t>
        </is>
      </c>
      <c r="O127" s="16" t="inlineStr">
        <is>
          <t>Not Run</t>
        </is>
      </c>
      <c r="P127" s="16" t="n"/>
      <c r="Q127" s="16" t="n"/>
      <c r="R127" s="17" t="n"/>
      <c r="S127" s="19" t="inlineStr">
        <is>
          <t>Credit Card API Design</t>
        </is>
      </c>
      <c r="T127" s="19" t="inlineStr">
        <is>
          <t>Cards dashboard</t>
        </is>
      </c>
      <c r="U127" s="19" t="inlineStr">
        <is>
          <t>GET</t>
        </is>
      </c>
      <c r="V127" s="19" t="inlineStr">
        <is>
          <t>/v1/external/accounts?accountGroup={accountGroup}</t>
        </is>
      </c>
      <c r="W127" s="19" t="inlineStr">
        <is>
          <t>dep-dashboard</t>
        </is>
      </c>
      <c r="X127" s="19" t="inlineStr">
        <is>
          <t>ECLIPSE_Account Dashboard_Credit_Card_DDD_API_Design_v1_Workshop.xlsx</t>
        </is>
      </c>
      <c r="Y127" s="19" t="inlineStr">
        <is>
          <t>2.1 CC Dashboard - Landing</t>
        </is>
      </c>
      <c r="Z127" s="19" t="inlineStr">
        <is>
          <t>API_Specs_Index!A2:H2</t>
        </is>
      </c>
      <c r="AA127" s="22" t="inlineStr">
        <is>
          <t>API-001</t>
        </is>
      </c>
      <c r="AB127" s="19" t="inlineStr">
        <is>
          <t>Mapped to Cards dashboard because the test case terms align with the 2.1 CC Dashboard - Landing journey in the applicable API specification.</t>
        </is>
      </c>
      <c r="AC127" s="19" t="inlineStr">
        <is>
          <t>Medium</t>
        </is>
      </c>
      <c r="AD127" s="19" t="inlineStr">
        <is>
          <t>1 User tap "Cards" and screen is loaded N/A dep-dashboard GET /v1/external/accounts?accountGroup={accountGroup} example : /v1/external/accounts?accountGroup=CARD { "status": 200, "message": "Request processed successfully", "timestamp": "2026-01-1...</t>
        </is>
      </c>
    </row>
    <row r="128" ht="400.2" customHeight="1" s="2">
      <c r="A128" s="12" t="inlineStr">
        <is>
          <t>TC-B1-0127</t>
        </is>
      </c>
      <c r="B128" s="13" t="inlineStr">
        <is>
          <t>TS-B1-104</t>
        </is>
      </c>
      <c r="C128" s="13" t="inlineStr">
        <is>
          <t>Acct Dashboard Financing</t>
        </is>
      </c>
      <c r="D128" s="13" t="inlineStr">
        <is>
          <t>Dashboard - Credit Card / Card Management</t>
        </is>
      </c>
      <c r="E128" s="13" t="inlineStr">
        <is>
          <t>Validate 2.4.1 XCash for Credit Card (JCB)</t>
        </is>
      </c>
      <c r="F128" s="13" t="inlineStr">
        <is>
          <t>Functional</t>
        </is>
      </c>
      <c r="G128" s="13" t="inlineStr">
        <is>
          <t>Medium</t>
        </is>
      </c>
      <c r="H128" s="13" t="inlineStr">
        <is>
          <t>Eligible user and product are available. Trigger the stated condition: Conditional Step 24 - if XCash eligible and enabled</t>
        </is>
      </c>
      <c r="I128" s="13" t="inlineStr">
        <is>
          <t>Credit Card (JCB)</t>
        </is>
      </c>
      <c r="J128" s="13" t="inlineStr">
        <is>
          <t>1. Open Credit Card (JCB).
2. Navigate to 2.4.1 XCash.
3. Perform the action or trigger described by: Conditional Step 24 - if XCash eligible and enabled.
4. Observe the page, validation, navigation, and resulting state.</t>
        </is>
      </c>
      <c r="K128" s="13" t="inlineStr">
        <is>
          <t>2.4.1 XCash behaves according to the mapped requirement (Conditional Step 24 - if XCash eligible and enabled); data, controls, navigation, and status are accurate and consistent.</t>
        </is>
      </c>
      <c r="L128" s="13" t="inlineStr">
        <is>
          <t>A&amp;A - refer to Authentication &amp; Authorisation FSD</t>
        </is>
      </c>
      <c r="M128" s="13" t="inlineStr">
        <is>
          <t>Request submitted / Request unsuccessful / Authorisation failed / Processing / Completed (per feature)</t>
        </is>
      </c>
      <c r="N128" s="13" t="inlineStr">
        <is>
          <t>Acct Dashboard Financing!A33:I33</t>
        </is>
      </c>
      <c r="O128" s="13" t="inlineStr">
        <is>
          <t>Not Run</t>
        </is>
      </c>
      <c r="P128" s="13" t="n"/>
      <c r="Q128" s="13" t="n"/>
      <c r="R128" s="14" t="inlineStr">
        <is>
          <t>Conditional coverage required.</t>
        </is>
      </c>
      <c r="S128" s="19" t="inlineStr">
        <is>
          <t>Credit Card API Design</t>
        </is>
      </c>
      <c r="T128" s="19" t="inlineStr">
        <is>
          <t>Cards dashboard</t>
        </is>
      </c>
      <c r="U128" s="19" t="inlineStr">
        <is>
          <t>GET</t>
        </is>
      </c>
      <c r="V128" s="19" t="inlineStr">
        <is>
          <t>/v1/external/accounts?accountGroup={accountGroup}</t>
        </is>
      </c>
      <c r="W128" s="19" t="inlineStr">
        <is>
          <t>dep-dashboard</t>
        </is>
      </c>
      <c r="X128" s="19" t="inlineStr">
        <is>
          <t>ECLIPSE_Account Dashboard_Credit_Card_DDD_API_Design_v1_Workshop.xlsx</t>
        </is>
      </c>
      <c r="Y128" s="19" t="inlineStr">
        <is>
          <t>2.1 CC Dashboard - Landing</t>
        </is>
      </c>
      <c r="Z128" s="19" t="inlineStr">
        <is>
          <t>API_Specs_Index!A2:H2</t>
        </is>
      </c>
      <c r="AA128" s="22" t="inlineStr">
        <is>
          <t>API-001</t>
        </is>
      </c>
      <c r="AB128" s="19" t="inlineStr">
        <is>
          <t>Mapped to Cards dashboard because the test case terms align with the 2.1 CC Dashboard - Landing journey in the applicable API specification.</t>
        </is>
      </c>
      <c r="AC128" s="19" t="inlineStr">
        <is>
          <t>Medium</t>
        </is>
      </c>
      <c r="AD128" s="19" t="inlineStr">
        <is>
          <t>1 User tap "Cards" and screen is loaded N/A dep-dashboard GET /v1/external/accounts?accountGroup={accountGroup} example : /v1/external/accounts?accountGroup=CARD { "status": 200, "message": "Request processed successfully", "timestamp": "2026-01-1...</t>
        </is>
      </c>
    </row>
    <row r="129" ht="409.6" customHeight="1" s="2">
      <c r="A129" s="15" t="inlineStr">
        <is>
          <t>TC-B1-0128</t>
        </is>
      </c>
      <c r="B129" s="16" t="inlineStr">
        <is>
          <t>TS-B1-105</t>
        </is>
      </c>
      <c r="C129" s="16" t="inlineStr">
        <is>
          <t>Acct Dashboard Financing</t>
        </is>
      </c>
      <c r="D129" s="16" t="inlineStr">
        <is>
          <t>Dashboard - Credit Card / Card Management</t>
        </is>
      </c>
      <c r="E129" s="16" t="inlineStr">
        <is>
          <t>Validate 2.4.1.1 XCash Apply Input for Credit Card (JCB)</t>
        </is>
      </c>
      <c r="F129" s="16" t="inlineStr">
        <is>
          <t>Functional</t>
        </is>
      </c>
      <c r="G129" s="16" t="inlineStr">
        <is>
          <t>Medium</t>
        </is>
      </c>
      <c r="H129" s="16" t="inlineStr">
        <is>
          <t>Eligible user and product are available. Trigger the stated condition: Conditional Step 25 - if proceeding with XCash</t>
        </is>
      </c>
      <c r="I129" s="16" t="inlineStr">
        <is>
          <t>Credit Card (JCB)</t>
        </is>
      </c>
      <c r="J129" s="16" t="inlineStr">
        <is>
          <t>1. Open Credit Card (JCB).
2. Navigate to 2.4.1.1 XCash Apply Input.
3. Perform the action or trigger described by: Conditional Step 25 - if proceeding with XCash.
4. Observe the page, validation, navigation, and resulting state.</t>
        </is>
      </c>
      <c r="K129" s="16" t="inlineStr">
        <is>
          <t>2.4.1.1 XCash Apply Input behaves according to the mapped requirement (Conditional Step 25 - if proceeding with XCash); data, controls, navigation, and status are accurate and consistent.</t>
        </is>
      </c>
      <c r="L129" s="16" t="inlineStr">
        <is>
          <t>A&amp;A - refer to Authentication &amp; Authorisation FSD</t>
        </is>
      </c>
      <c r="M129" s="16" t="inlineStr">
        <is>
          <t>Request submitted / Request unsuccessful / Authorisation failed / Processing / Completed (per feature)</t>
        </is>
      </c>
      <c r="N129" s="16" t="inlineStr">
        <is>
          <t>Acct Dashboard Financing!A34:I34</t>
        </is>
      </c>
      <c r="O129" s="16" t="inlineStr">
        <is>
          <t>Not Run</t>
        </is>
      </c>
      <c r="P129" s="16" t="n"/>
      <c r="Q129" s="16" t="n"/>
      <c r="R129" s="17" t="inlineStr">
        <is>
          <t>Conditional coverage required.</t>
        </is>
      </c>
      <c r="S129" s="19" t="inlineStr">
        <is>
          <t>Credit Card API Design</t>
        </is>
      </c>
      <c r="T129" s="19" t="inlineStr">
        <is>
          <t>Cards dashboard</t>
        </is>
      </c>
      <c r="U129" s="19" t="inlineStr">
        <is>
          <t>GET</t>
        </is>
      </c>
      <c r="V129" s="19" t="inlineStr">
        <is>
          <t>/v1/external/accounts?accountGroup={accountGroup}</t>
        </is>
      </c>
      <c r="W129" s="19" t="inlineStr">
        <is>
          <t>dep-dashboard</t>
        </is>
      </c>
      <c r="X129" s="19" t="inlineStr">
        <is>
          <t>ECLIPSE_Account Dashboard_Credit_Card_DDD_API_Design_v1_Workshop.xlsx</t>
        </is>
      </c>
      <c r="Y129" s="19" t="inlineStr">
        <is>
          <t>2.1 CC Dashboard - Landing</t>
        </is>
      </c>
      <c r="Z129" s="19" t="inlineStr">
        <is>
          <t>API_Specs_Index!A2:H2</t>
        </is>
      </c>
      <c r="AA129" s="22" t="inlineStr">
        <is>
          <t>API-001</t>
        </is>
      </c>
      <c r="AB129" s="19" t="inlineStr">
        <is>
          <t>Mapped to Cards dashboard because the test case terms align with the 2.1 CC Dashboard - Landing journey in the applicable API specification.</t>
        </is>
      </c>
      <c r="AC129" s="19" t="inlineStr">
        <is>
          <t>Medium</t>
        </is>
      </c>
      <c r="AD129" s="19" t="inlineStr">
        <is>
          <t>1 User tap "Cards" and screen is loaded N/A dep-dashboard GET /v1/external/accounts?accountGroup={accountGroup} example : /v1/external/accounts?accountGroup=CARD { "status": 200, "message": "Request processed successfully", "timestamp": "2026-01-1...</t>
        </is>
      </c>
    </row>
    <row r="130" ht="409.6" customHeight="1" s="2">
      <c r="A130" s="12" t="inlineStr">
        <is>
          <t>TC-B1-0129</t>
        </is>
      </c>
      <c r="B130" s="13" t="inlineStr">
        <is>
          <t>TS-B1-106</t>
        </is>
      </c>
      <c r="C130" s="13" t="inlineStr">
        <is>
          <t>Acct Dashboard Financing</t>
        </is>
      </c>
      <c r="D130" s="13" t="inlineStr">
        <is>
          <t>Dashboard - Credit Card / Card Management</t>
        </is>
      </c>
      <c r="E130" s="13" t="inlineStr">
        <is>
          <t>Validate 2.4.1.2 XCash Apply Acc for Credit Card (JCB)</t>
        </is>
      </c>
      <c r="F130" s="13" t="inlineStr">
        <is>
          <t>Functional</t>
        </is>
      </c>
      <c r="G130" s="13" t="inlineStr">
        <is>
          <t>Medium</t>
        </is>
      </c>
      <c r="H130" s="13" t="inlineStr">
        <is>
          <t>Eligible user and product are available. Trigger the stated condition: Conditional Step 26 - if proceeding with XCash</t>
        </is>
      </c>
      <c r="I130" s="13" t="inlineStr">
        <is>
          <t>Credit Card (JCB)</t>
        </is>
      </c>
      <c r="J130" s="13" t="inlineStr">
        <is>
          <t>1. Open Credit Card (JCB).
2. Navigate to 2.4.1.2 XCash Apply Acc.
3. Perform the action or trigger described by: Conditional Step 26 - if proceeding with XCash.
4. Observe the page, validation, navigation, and resulting state.</t>
        </is>
      </c>
      <c r="K130" s="13" t="inlineStr">
        <is>
          <t>2.4.1.2 XCash Apply Acc behaves according to the mapped requirement (Conditional Step 26 - if proceeding with XCash); data, controls, navigation, and status are accurate and consistent.</t>
        </is>
      </c>
      <c r="L130" s="13" t="inlineStr">
        <is>
          <t>A&amp;A - refer to Authentication &amp; Authorisation FSD</t>
        </is>
      </c>
      <c r="M130" s="13" t="inlineStr">
        <is>
          <t>Request submitted / Request unsuccessful / Authorisation failed / Processing / Completed (per feature)</t>
        </is>
      </c>
      <c r="N130" s="13" t="inlineStr">
        <is>
          <t>Acct Dashboard Financing!A35:I35</t>
        </is>
      </c>
      <c r="O130" s="13" t="inlineStr">
        <is>
          <t>Not Run</t>
        </is>
      </c>
      <c r="P130" s="13" t="n"/>
      <c r="Q130" s="13" t="n"/>
      <c r="R130" s="14" t="inlineStr">
        <is>
          <t>Conditional coverage required.</t>
        </is>
      </c>
      <c r="S130" s="19" t="inlineStr">
        <is>
          <t>Credit Card API Design</t>
        </is>
      </c>
      <c r="T130" s="19" t="inlineStr">
        <is>
          <t>Cards dashboard</t>
        </is>
      </c>
      <c r="U130" s="19" t="inlineStr">
        <is>
          <t>GET</t>
        </is>
      </c>
      <c r="V130" s="19" t="inlineStr">
        <is>
          <t>/v1/external/accounts?accountGroup={accountGroup}</t>
        </is>
      </c>
      <c r="W130" s="19" t="inlineStr">
        <is>
          <t>dep-dashboard</t>
        </is>
      </c>
      <c r="X130" s="19" t="inlineStr">
        <is>
          <t>ECLIPSE_Account Dashboard_Credit_Card_DDD_API_Design_v1_Workshop.xlsx</t>
        </is>
      </c>
      <c r="Y130" s="19" t="inlineStr">
        <is>
          <t>2.1 CC Dashboard - Landing</t>
        </is>
      </c>
      <c r="Z130" s="19" t="inlineStr">
        <is>
          <t>API_Specs_Index!A2:H2</t>
        </is>
      </c>
      <c r="AA130" s="22" t="inlineStr">
        <is>
          <t>API-001</t>
        </is>
      </c>
      <c r="AB130" s="19" t="inlineStr">
        <is>
          <t>Mapped to Cards dashboard because the test case terms align with the 2.1 CC Dashboard - Landing journey in the applicable API specification.</t>
        </is>
      </c>
      <c r="AC130" s="19" t="inlineStr">
        <is>
          <t>Medium</t>
        </is>
      </c>
      <c r="AD130" s="19" t="inlineStr">
        <is>
          <t>1 User tap "Cards" and screen is loaded N/A dep-dashboard GET /v1/external/accounts?accountGroup={accountGroup} example : /v1/external/accounts?accountGroup=CARD { "status": 200, "message": "Request processed successfully", "timestamp": "2026-01-1...</t>
        </is>
      </c>
    </row>
    <row r="131" ht="409.6" customHeight="1" s="2">
      <c r="A131" s="15" t="inlineStr">
        <is>
          <t>TC-B1-0130</t>
        </is>
      </c>
      <c r="B131" s="16" t="inlineStr">
        <is>
          <t>TS-B1-107</t>
        </is>
      </c>
      <c r="C131" s="16" t="inlineStr">
        <is>
          <t>Acct Dashboard Financing</t>
        </is>
      </c>
      <c r="D131" s="16" t="inlineStr">
        <is>
          <t>Dashboard - Credit Card / Card Management</t>
        </is>
      </c>
      <c r="E131" s="16" t="inlineStr">
        <is>
          <t>Validate 2.4.1.3 XCash Apply TnC for Credit Card (JCB)</t>
        </is>
      </c>
      <c r="F131" s="16" t="inlineStr">
        <is>
          <t>Functional</t>
        </is>
      </c>
      <c r="G131" s="16" t="inlineStr">
        <is>
          <t>Medium</t>
        </is>
      </c>
      <c r="H131" s="16" t="inlineStr">
        <is>
          <t>Eligible user and product are available. Trigger the stated condition: Conditional Step 27 - if proceeding with XCash</t>
        </is>
      </c>
      <c r="I131" s="16" t="inlineStr">
        <is>
          <t>Credit Card (JCB)</t>
        </is>
      </c>
      <c r="J131" s="16" t="inlineStr">
        <is>
          <t>1. Open Credit Card (JCB).
2. Navigate to 2.4.1.3 XCash Apply TnC.
3. Perform the action or trigger described by: Conditional Step 27 - if proceeding with XCash.
4. Observe the page, validation, navigation, and resulting state.</t>
        </is>
      </c>
      <c r="K131" s="16" t="inlineStr">
        <is>
          <t>2.4.1.3 XCash Apply TnC behaves according to the mapped requirement (Conditional Step 27 - if proceeding with XCash); data, controls, navigation, and status are accurate and consistent.</t>
        </is>
      </c>
      <c r="L131" s="16" t="inlineStr">
        <is>
          <t>A&amp;A - refer to Authentication &amp; Authorisation FSD</t>
        </is>
      </c>
      <c r="M131" s="16" t="inlineStr">
        <is>
          <t>Request submitted / Request unsuccessful / Authorisation failed / Processing / Completed (per feature)</t>
        </is>
      </c>
      <c r="N131" s="16" t="inlineStr">
        <is>
          <t>Acct Dashboard Financing!A36:I36</t>
        </is>
      </c>
      <c r="O131" s="16" t="inlineStr">
        <is>
          <t>Not Run</t>
        </is>
      </c>
      <c r="P131" s="16" t="n"/>
      <c r="Q131" s="16" t="n"/>
      <c r="R131" s="17" t="inlineStr">
        <is>
          <t>Conditional coverage required.</t>
        </is>
      </c>
      <c r="S131" s="19" t="inlineStr">
        <is>
          <t>Credit Card API Design</t>
        </is>
      </c>
      <c r="T131" s="19" t="inlineStr">
        <is>
          <t>Cards dashboard</t>
        </is>
      </c>
      <c r="U131" s="19" t="inlineStr">
        <is>
          <t>GET</t>
        </is>
      </c>
      <c r="V131" s="19" t="inlineStr">
        <is>
          <t>/v1/external/accounts?accountGroup={accountGroup}</t>
        </is>
      </c>
      <c r="W131" s="19" t="inlineStr">
        <is>
          <t>dep-dashboard</t>
        </is>
      </c>
      <c r="X131" s="19" t="inlineStr">
        <is>
          <t>ECLIPSE_Account Dashboard_Credit_Card_DDD_API_Design_v1_Workshop.xlsx</t>
        </is>
      </c>
      <c r="Y131" s="19" t="inlineStr">
        <is>
          <t>2.1 CC Dashboard - Landing</t>
        </is>
      </c>
      <c r="Z131" s="19" t="inlineStr">
        <is>
          <t>API_Specs_Index!A2:H2</t>
        </is>
      </c>
      <c r="AA131" s="22" t="inlineStr">
        <is>
          <t>API-001</t>
        </is>
      </c>
      <c r="AB131" s="19" t="inlineStr">
        <is>
          <t>Mapped to Cards dashboard because the test case terms align with the 2.1 CC Dashboard - Landing journey in the applicable API specification.</t>
        </is>
      </c>
      <c r="AC131" s="19" t="inlineStr">
        <is>
          <t>Medium</t>
        </is>
      </c>
      <c r="AD131" s="19" t="inlineStr">
        <is>
          <t>1 User tap "Cards" and screen is loaded N/A dep-dashboard GET /v1/external/accounts?accountGroup={accountGroup} example : /v1/external/accounts?accountGroup=CARD { "status": 200, "message": "Request processed successfully", "timestamp": "2026-01-1...</t>
        </is>
      </c>
    </row>
    <row r="132" ht="409.6" customHeight="1" s="2">
      <c r="A132" s="12" t="inlineStr">
        <is>
          <t>TC-B1-0131</t>
        </is>
      </c>
      <c r="B132" s="13" t="inlineStr">
        <is>
          <t>TS-B1-108</t>
        </is>
      </c>
      <c r="C132" s="13" t="inlineStr">
        <is>
          <t>Acct Dashboard Financing</t>
        </is>
      </c>
      <c r="D132" s="13" t="inlineStr">
        <is>
          <t>Dashboard - Credit Card / Card Management</t>
        </is>
      </c>
      <c r="E132" s="13" t="inlineStr">
        <is>
          <t>Validate 2.4.1.4 XCash Apply Confirm for Credit Card (JCB)</t>
        </is>
      </c>
      <c r="F132" s="13" t="inlineStr">
        <is>
          <t>Functional</t>
        </is>
      </c>
      <c r="G132" s="13" t="inlineStr">
        <is>
          <t>Medium</t>
        </is>
      </c>
      <c r="H132" s="13" t="inlineStr">
        <is>
          <t>Eligible user and product are available. Trigger the stated condition: Conditional Step 28 - if proceeding with XCash</t>
        </is>
      </c>
      <c r="I132" s="13" t="inlineStr">
        <is>
          <t>Credit Card (JCB)</t>
        </is>
      </c>
      <c r="J132" s="13" t="inlineStr">
        <is>
          <t>1. Open Credit Card (JCB).
2. Navigate to 2.4.1.4 XCash Apply Confirm.
3. Perform the action or trigger described by: Conditional Step 28 - if proceeding with XCash.
4. Observe the page, validation, navigation, and resulting state.</t>
        </is>
      </c>
      <c r="K132" s="13" t="inlineStr">
        <is>
          <t>2.4.1.4 XCash Apply Confirm behaves according to the mapped requirement (Conditional Step 28 - if proceeding with XCash); data, controls, navigation, and status are accurate and consistent.</t>
        </is>
      </c>
      <c r="L132" s="13" t="inlineStr">
        <is>
          <t>A&amp;A - refer to Authentication &amp; Authorisation FSD</t>
        </is>
      </c>
      <c r="M132" s="13" t="inlineStr">
        <is>
          <t>Request submitted / Request unsuccessful / Authorisation failed / Processing / Completed (per feature)</t>
        </is>
      </c>
      <c r="N132" s="13" t="inlineStr">
        <is>
          <t>Acct Dashboard Financing!A37:I37</t>
        </is>
      </c>
      <c r="O132" s="13" t="inlineStr">
        <is>
          <t>Not Run</t>
        </is>
      </c>
      <c r="P132" s="13" t="n"/>
      <c r="Q132" s="13" t="n"/>
      <c r="R132" s="14" t="inlineStr">
        <is>
          <t>Conditional coverage required.</t>
        </is>
      </c>
      <c r="S132" s="19" t="inlineStr">
        <is>
          <t>Credit Card API Design</t>
        </is>
      </c>
      <c r="T132" s="19" t="inlineStr">
        <is>
          <t>Apply installment convertion</t>
        </is>
      </c>
      <c r="U132" s="19" t="inlineStr">
        <is>
          <t>POST</t>
        </is>
      </c>
      <c r="V132" s="19" t="inlineStr">
        <is>
          <t>/v1/external/credit-card/apply-instalment-conversion</t>
        </is>
      </c>
      <c r="W132" s="19" t="inlineStr">
        <is>
          <t>dep-card</t>
        </is>
      </c>
      <c r="X132" s="19" t="inlineStr">
        <is>
          <t>ECLIPSE_Account Dashboard_Credit_Card_DDD_API_Design_v1_Workshop.xlsx</t>
        </is>
      </c>
      <c r="Y132" s="19" t="inlineStr">
        <is>
          <t>2.4.2.2 Inst Conv Confirm</t>
        </is>
      </c>
      <c r="Z132" s="19" t="inlineStr">
        <is>
          <t>API_Specs_Index!A20:H20</t>
        </is>
      </c>
      <c r="AA132" s="22" t="inlineStr">
        <is>
          <t>API-009</t>
        </is>
      </c>
      <c r="AB132" s="19" t="inlineStr">
        <is>
          <t>Mapped to Apply installment convertion because the test case terms align with the 2.4.2.2 Inst Conv Confirm journey in the applicable API specification.</t>
        </is>
      </c>
      <c r="AC132" s="19" t="inlineStr">
        <is>
          <t>High</t>
        </is>
      </c>
      <c r="AD132" s="19" t="inlineStr">
        <is>
          <t>No additional validation notes were documented in the source index.</t>
        </is>
      </c>
    </row>
    <row r="133" ht="409.6" customHeight="1" s="2">
      <c r="A133" s="15" t="inlineStr">
        <is>
          <t>TC-B1-0132</t>
        </is>
      </c>
      <c r="B133" s="16" t="inlineStr">
        <is>
          <t>TS-B1-109</t>
        </is>
      </c>
      <c r="C133" s="16" t="inlineStr">
        <is>
          <t>Acct Dashboard Financing</t>
        </is>
      </c>
      <c r="D133" s="16" t="inlineStr">
        <is>
          <t>Dashboard - Credit Card / Card Management</t>
        </is>
      </c>
      <c r="E133" s="16" t="inlineStr">
        <is>
          <t>Validate 2.4.1.5 XCash Apply Ack for Credit Card (JCB)</t>
        </is>
      </c>
      <c r="F133" s="16" t="inlineStr">
        <is>
          <t>Functional</t>
        </is>
      </c>
      <c r="G133" s="16" t="inlineStr">
        <is>
          <t>Medium</t>
        </is>
      </c>
      <c r="H133" s="16" t="inlineStr">
        <is>
          <t>Eligible user and product are available. Trigger the stated condition: Conditional Step 29 - if proceeding with XCash</t>
        </is>
      </c>
      <c r="I133" s="16" t="inlineStr">
        <is>
          <t>Credit Card (JCB)</t>
        </is>
      </c>
      <c r="J133" s="16" t="inlineStr">
        <is>
          <t>1. Open Credit Card (JCB).
2. Navigate to 2.4.1.5 XCash Apply Ack.
3. Perform the action or trigger described by: Conditional Step 29 - if proceeding with XCash.
4. Observe the page, validation, navigation, and resulting state.</t>
        </is>
      </c>
      <c r="K133" s="16" t="inlineStr">
        <is>
          <t>2.4.1.5 XCash Apply Ack behaves according to the mapped requirement (Conditional Step 29 - if proceeding with XCash); data, controls, navigation, and status are accurate and consistent.</t>
        </is>
      </c>
      <c r="L133" s="16" t="inlineStr">
        <is>
          <t>A&amp;A - refer to Authentication &amp; Authorisation FSD</t>
        </is>
      </c>
      <c r="M133" s="16" t="inlineStr">
        <is>
          <t>Request submitted / Request unsuccessful / Authorisation failed / Processing / Completed (per feature)</t>
        </is>
      </c>
      <c r="N133" s="16" t="inlineStr">
        <is>
          <t>Acct Dashboard Financing!A38:I38</t>
        </is>
      </c>
      <c r="O133" s="16" t="inlineStr">
        <is>
          <t>Not Run</t>
        </is>
      </c>
      <c r="P133" s="16" t="n"/>
      <c r="Q133" s="16" t="n"/>
      <c r="R133" s="17" t="inlineStr">
        <is>
          <t>Conditional coverage required.</t>
        </is>
      </c>
      <c r="S133" s="19" t="inlineStr">
        <is>
          <t>Credit Card API Design</t>
        </is>
      </c>
      <c r="T133" s="19" t="inlineStr">
        <is>
          <t>Cards dashboard</t>
        </is>
      </c>
      <c r="U133" s="19" t="inlineStr">
        <is>
          <t>GET</t>
        </is>
      </c>
      <c r="V133" s="19" t="inlineStr">
        <is>
          <t>/v1/external/accounts?accountGroup={accountGroup}</t>
        </is>
      </c>
      <c r="W133" s="19" t="inlineStr">
        <is>
          <t>dep-dashboard</t>
        </is>
      </c>
      <c r="X133" s="19" t="inlineStr">
        <is>
          <t>ECLIPSE_Account Dashboard_Credit_Card_DDD_API_Design_v1_Workshop.xlsx</t>
        </is>
      </c>
      <c r="Y133" s="19" t="inlineStr">
        <is>
          <t>2.1 CC Dashboard - Landing</t>
        </is>
      </c>
      <c r="Z133" s="19" t="inlineStr">
        <is>
          <t>API_Specs_Index!A2:H2</t>
        </is>
      </c>
      <c r="AA133" s="22" t="inlineStr">
        <is>
          <t>API-001</t>
        </is>
      </c>
      <c r="AB133" s="19" t="inlineStr">
        <is>
          <t>Mapped to Cards dashboard because the test case terms align with the 2.1 CC Dashboard - Landing journey in the applicable API specification.</t>
        </is>
      </c>
      <c r="AC133" s="19" t="inlineStr">
        <is>
          <t>Medium</t>
        </is>
      </c>
      <c r="AD133" s="19" t="inlineStr">
        <is>
          <t>1 User tap "Cards" and screen is loaded N/A dep-dashboard GET /v1/external/accounts?accountGroup={accountGroup} example : /v1/external/accounts?accountGroup=CARD { "status": 200, "message": "Request processed successfully", "timestamp": "2026-01-1...</t>
        </is>
      </c>
    </row>
    <row r="134" ht="409.6" customHeight="1" s="2">
      <c r="A134" s="12" t="inlineStr">
        <is>
          <t>TC-B1-0133</t>
        </is>
      </c>
      <c r="B134" s="13" t="inlineStr">
        <is>
          <t>TS-B1-110</t>
        </is>
      </c>
      <c r="C134" s="13" t="inlineStr">
        <is>
          <t>Acct Dashboard Financing</t>
        </is>
      </c>
      <c r="D134" s="13" t="inlineStr">
        <is>
          <t>Dashboard - Credit Card / Card Management</t>
        </is>
      </c>
      <c r="E134" s="13" t="inlineStr">
        <is>
          <t>Validate 2.4.1.6 XCash Rcpt &amp; Notif for Credit Card (JCB)</t>
        </is>
      </c>
      <c r="F134" s="13" t="inlineStr">
        <is>
          <t>Functional</t>
        </is>
      </c>
      <c r="G134" s="13" t="inlineStr">
        <is>
          <t>Medium</t>
        </is>
      </c>
      <c r="H134" s="13" t="inlineStr">
        <is>
          <t>Eligible user and product are available. Trigger the stated condition: Conditional Step 30 - if proceeding with XCash</t>
        </is>
      </c>
      <c r="I134" s="13" t="inlineStr">
        <is>
          <t>Credit Card (JCB)</t>
        </is>
      </c>
      <c r="J134" s="13" t="inlineStr">
        <is>
          <t>1. Open Credit Card (JCB).
2. Navigate to 2.4.1.6 XCash Rcpt &amp; Notif.
3. Perform the action or trigger described by: Conditional Step 30 - if proceeding with XCash.
4. Observe the page, validation, navigation, and resulting state.</t>
        </is>
      </c>
      <c r="K134" s="13" t="inlineStr">
        <is>
          <t>2.4.1.6 XCash Rcpt &amp; Notif behaves according to the mapped requirement (Conditional Step 30 - if proceeding with XCash); data, controls, navigation, and status are accurate and consistent.</t>
        </is>
      </c>
      <c r="L134" s="13" t="inlineStr">
        <is>
          <t>A&amp;A - refer to Authentication &amp; Authorisation FSD</t>
        </is>
      </c>
      <c r="M134" s="13" t="inlineStr">
        <is>
          <t>Request submitted / Request unsuccessful / Authorisation failed / Processing / Completed (per feature)</t>
        </is>
      </c>
      <c r="N134" s="13" t="inlineStr">
        <is>
          <t>Acct Dashboard Financing!A39:I39</t>
        </is>
      </c>
      <c r="O134" s="13" t="inlineStr">
        <is>
          <t>Not Run</t>
        </is>
      </c>
      <c r="P134" s="13" t="n"/>
      <c r="Q134" s="13" t="n"/>
      <c r="R134" s="14" t="inlineStr">
        <is>
          <t>Conditional coverage required.</t>
        </is>
      </c>
      <c r="S134" s="19" t="inlineStr">
        <is>
          <t>Credit Card API Design</t>
        </is>
      </c>
      <c r="T134" s="19" t="inlineStr">
        <is>
          <t>Cards dashboard</t>
        </is>
      </c>
      <c r="U134" s="19" t="inlineStr">
        <is>
          <t>GET</t>
        </is>
      </c>
      <c r="V134" s="19" t="inlineStr">
        <is>
          <t>/v1/external/accounts?accountGroup={accountGroup}</t>
        </is>
      </c>
      <c r="W134" s="19" t="inlineStr">
        <is>
          <t>dep-dashboard</t>
        </is>
      </c>
      <c r="X134" s="19" t="inlineStr">
        <is>
          <t>ECLIPSE_Account Dashboard_Credit_Card_DDD_API_Design_v1_Workshop.xlsx</t>
        </is>
      </c>
      <c r="Y134" s="19" t="inlineStr">
        <is>
          <t>2.1 CC Dashboard - Landing</t>
        </is>
      </c>
      <c r="Z134" s="19" t="inlineStr">
        <is>
          <t>API_Specs_Index!A2:H2</t>
        </is>
      </c>
      <c r="AA134" s="22" t="inlineStr">
        <is>
          <t>API-001</t>
        </is>
      </c>
      <c r="AB134" s="19" t="inlineStr">
        <is>
          <t>Mapped to Cards dashboard because the test case terms align with the 2.1 CC Dashboard - Landing journey in the applicable API specification.</t>
        </is>
      </c>
      <c r="AC134" s="19" t="inlineStr">
        <is>
          <t>Medium</t>
        </is>
      </c>
      <c r="AD134" s="19" t="inlineStr">
        <is>
          <t>1 User tap "Cards" and screen is loaded N/A dep-dashboard GET /v1/external/accounts?accountGroup={accountGroup} example : /v1/external/accounts?accountGroup=CARD { "status": 200, "message": "Request processed successfully", "timestamp": "2026-01-1...</t>
        </is>
      </c>
    </row>
    <row r="135" ht="409.6" customHeight="1" s="2">
      <c r="A135" s="15" t="inlineStr">
        <is>
          <t>TC-B1-0134</t>
        </is>
      </c>
      <c r="B135" s="16" t="inlineStr">
        <is>
          <t>TS-B1-111</t>
        </is>
      </c>
      <c r="C135" s="16" t="inlineStr">
        <is>
          <t>Acct Dashboard Financing</t>
        </is>
      </c>
      <c r="D135" s="16" t="inlineStr">
        <is>
          <t>Dashboard - Credit Card / Card Management</t>
        </is>
      </c>
      <c r="E135" s="16" t="inlineStr">
        <is>
          <t>Validate 2.4.2 Instalment Convert for Credit Card (JCB)</t>
        </is>
      </c>
      <c r="F135" s="16" t="inlineStr">
        <is>
          <t>Functional</t>
        </is>
      </c>
      <c r="G135" s="16" t="inlineStr">
        <is>
          <t>Medium</t>
        </is>
      </c>
      <c r="H135" s="16" t="inlineStr">
        <is>
          <t>Eligible user and product are available. Trigger the stated condition: Conditional Step 31 - if eligible transaction exists</t>
        </is>
      </c>
      <c r="I135" s="16" t="inlineStr">
        <is>
          <t>Credit Card (JCB)</t>
        </is>
      </c>
      <c r="J135" s="16" t="inlineStr">
        <is>
          <t>1. Open Credit Card (JCB).
2. Navigate to 2.4.2 Instalment Convert.
3. Perform the action or trigger described by: Conditional Step 31 - if eligible transaction exists.
4. Observe the page, validation, navigation, and resulting state.</t>
        </is>
      </c>
      <c r="K135" s="16" t="inlineStr">
        <is>
          <t>2.4.2 Instalment Convert behaves according to the mapped requirement (Conditional Step 31 - if eligible transaction exists); data, controls, navigation, and status are accurate and consistent.</t>
        </is>
      </c>
      <c r="L135" s="16" t="inlineStr">
        <is>
          <t>A&amp;A - refer to Authentication &amp; Authorisation FSD</t>
        </is>
      </c>
      <c r="M135" s="16" t="inlineStr">
        <is>
          <t>Request submitted / Request unsuccessful / Authorisation failed / Processing / Completed (per feature)</t>
        </is>
      </c>
      <c r="N135" s="16" t="inlineStr">
        <is>
          <t>Acct Dashboard Financing!A40:I40</t>
        </is>
      </c>
      <c r="O135" s="16" t="inlineStr">
        <is>
          <t>Not Run</t>
        </is>
      </c>
      <c r="P135" s="16" t="n"/>
      <c r="Q135" s="16" t="n"/>
      <c r="R135" s="17" t="inlineStr">
        <is>
          <t>Conditional coverage required.</t>
        </is>
      </c>
      <c r="S135" s="19" t="inlineStr">
        <is>
          <t>Credit Card API Design</t>
        </is>
      </c>
      <c r="T135" s="19" t="inlineStr">
        <is>
          <t>Credit card transaction history</t>
        </is>
      </c>
      <c r="U135" s="19" t="inlineStr">
        <is>
          <t>GET</t>
        </is>
      </c>
      <c r="V135" s="19" t="inlineStr">
        <is>
          <t>/v1/external/accounts/account-type/{accountType}/account-id/{accountId}/transactions?startDate={startDate}&amp;endDate={endDate}&amp;page={page}&amp;limit={limit}</t>
        </is>
      </c>
      <c r="W135" s="19" t="inlineStr">
        <is>
          <t>info-card</t>
        </is>
      </c>
      <c r="X135" s="19" t="inlineStr">
        <is>
          <t>ECLIPSE_Account Dashboard_Credit_Card_DDD_API_Design_v1_Workshop.xlsx</t>
        </is>
      </c>
      <c r="Y135" s="19" t="inlineStr">
        <is>
          <t>2.2 CC &gt; Transactions</t>
        </is>
      </c>
      <c r="Z135" s="19" t="inlineStr">
        <is>
          <t>API_Specs_Index!A7:H7</t>
        </is>
      </c>
      <c r="AA135" s="22" t="inlineStr">
        <is>
          <t>API-004</t>
        </is>
      </c>
      <c r="AB135" s="19" t="inlineStr">
        <is>
          <t>Mapped to Credit card transaction history because the test case terms align with the 2.2 CC &gt; Transactions journey in the applicable API specification.</t>
        </is>
      </c>
      <c r="AC135" s="19" t="inlineStr">
        <is>
          <t>High</t>
        </is>
      </c>
      <c r="AD135" s="19" t="inlineStr">
        <is>
          <t>No Screen User Action Business Logic API Name Microservice Ownership Method Endpoint Request JSON Success Response JSON Failed Response JSON ESB Eclipse DB Source BE Validation; 1 User tap one of the card from "Cards" Dashboard When the screen is loaded, 1. It shall conduct block code check to show yellow label accordingly (e.g blocked, temporarily blocked) 2. It shall display Principal card by default and if there is any...</t>
        </is>
      </c>
    </row>
    <row r="136" ht="409.6" customHeight="1" s="2">
      <c r="A136" s="12" t="inlineStr">
        <is>
          <t>TC-B1-0135</t>
        </is>
      </c>
      <c r="B136" s="13" t="inlineStr">
        <is>
          <t>TS-B1-112</t>
        </is>
      </c>
      <c r="C136" s="13" t="inlineStr">
        <is>
          <t>Acct Dashboard Financing</t>
        </is>
      </c>
      <c r="D136" s="13" t="inlineStr">
        <is>
          <t>Dashboard - Credit Card / Card Management</t>
        </is>
      </c>
      <c r="E136" s="13" t="inlineStr">
        <is>
          <t>Validate 2.4.2.1 Inst Conv TnC for Credit Card (JCB)</t>
        </is>
      </c>
      <c r="F136" s="13" t="inlineStr">
        <is>
          <t>Functional</t>
        </is>
      </c>
      <c r="G136" s="13" t="inlineStr">
        <is>
          <t>Medium</t>
        </is>
      </c>
      <c r="H136" s="13" t="inlineStr">
        <is>
          <t>Eligible user and product are available. Trigger the stated condition: Conditional Step 32 - if proceeding with instalment conversion</t>
        </is>
      </c>
      <c r="I136" s="13" t="inlineStr">
        <is>
          <t>Credit Card (JCB)</t>
        </is>
      </c>
      <c r="J136" s="13" t="inlineStr">
        <is>
          <t>1. Open Credit Card (JCB).
2. Navigate to 2.4.2.1 Inst Conv TnC.
3. Perform the action or trigger described by: Conditional Step 32 - if proceeding with instalment conversion.
4. Observe the page, validation, navigation, and resulting state.</t>
        </is>
      </c>
      <c r="K136" s="13" t="inlineStr">
        <is>
          <t>2.4.2.1 Inst Conv TnC behaves according to the mapped requirement (Conditional Step 32 - if proceeding with instalment conversion); data, controls, navigation, and status are accurate and consistent.</t>
        </is>
      </c>
      <c r="L136" s="13" t="inlineStr">
        <is>
          <t>A&amp;A - refer to Authentication &amp; Authorisation FSD</t>
        </is>
      </c>
      <c r="M136" s="13" t="inlineStr">
        <is>
          <t>Request submitted / Request unsuccessful / Authorisation failed / Processing / Completed (per feature)</t>
        </is>
      </c>
      <c r="N136" s="13" t="inlineStr">
        <is>
          <t>Acct Dashboard Financing!A41:I41</t>
        </is>
      </c>
      <c r="O136" s="13" t="inlineStr">
        <is>
          <t>Not Run</t>
        </is>
      </c>
      <c r="P136" s="13" t="n"/>
      <c r="Q136" s="13" t="n"/>
      <c r="R136" s="14" t="inlineStr">
        <is>
          <t>Conditional coverage required.</t>
        </is>
      </c>
      <c r="S136" s="19" t="inlineStr">
        <is>
          <t>Credit Card API Design</t>
        </is>
      </c>
      <c r="T136" s="19" t="inlineStr">
        <is>
          <t>Apply installment convertion</t>
        </is>
      </c>
      <c r="U136" s="19" t="inlineStr">
        <is>
          <t>POST</t>
        </is>
      </c>
      <c r="V136" s="19" t="inlineStr">
        <is>
          <t>/v1/external/credit-card/apply-instalment-conversion</t>
        </is>
      </c>
      <c r="W136" s="19" t="inlineStr">
        <is>
          <t>dep-card</t>
        </is>
      </c>
      <c r="X136" s="19" t="inlineStr">
        <is>
          <t>ECLIPSE_Account Dashboard_Credit_Card_DDD_API_Design_v1_Workshop.xlsx</t>
        </is>
      </c>
      <c r="Y136" s="19" t="inlineStr">
        <is>
          <t>2.4.2.2 Inst Conv Confirm</t>
        </is>
      </c>
      <c r="Z136" s="19" t="inlineStr">
        <is>
          <t>API_Specs_Index!A20:H20</t>
        </is>
      </c>
      <c r="AA136" s="22" t="inlineStr">
        <is>
          <t>API-009</t>
        </is>
      </c>
      <c r="AB136" s="19" t="inlineStr">
        <is>
          <t>Mapped to Apply installment convertion because the test case terms align with the 2.4.2.2 Inst Conv Confirm journey in the applicable API specification.</t>
        </is>
      </c>
      <c r="AC136" s="19" t="inlineStr">
        <is>
          <t>High</t>
        </is>
      </c>
      <c r="AD136" s="19" t="inlineStr">
        <is>
          <t>No additional validation notes were documented in the source index.</t>
        </is>
      </c>
    </row>
    <row r="137" ht="409.6" customHeight="1" s="2">
      <c r="A137" s="15" t="inlineStr">
        <is>
          <t>TC-B1-0136</t>
        </is>
      </c>
      <c r="B137" s="16" t="inlineStr">
        <is>
          <t>TS-B1-113</t>
        </is>
      </c>
      <c r="C137" s="16" t="inlineStr">
        <is>
          <t>Acct Dashboard Financing</t>
        </is>
      </c>
      <c r="D137" s="16" t="inlineStr">
        <is>
          <t>Dashboard - Credit Card / Card Management</t>
        </is>
      </c>
      <c r="E137" s="16" t="inlineStr">
        <is>
          <t>Validate 2.4.2.2 Inst Conv Confirm for Credit Card (JCB)</t>
        </is>
      </c>
      <c r="F137" s="16" t="inlineStr">
        <is>
          <t>Functional</t>
        </is>
      </c>
      <c r="G137" s="16" t="inlineStr">
        <is>
          <t>Medium</t>
        </is>
      </c>
      <c r="H137" s="16" t="inlineStr">
        <is>
          <t>Eligible user and product are available. Trigger the stated condition: Conditional Step 33 - if proceeding with instalment conversion</t>
        </is>
      </c>
      <c r="I137" s="16" t="inlineStr">
        <is>
          <t>Credit Card (JCB)</t>
        </is>
      </c>
      <c r="J137" s="16" t="inlineStr">
        <is>
          <t>1. Open Credit Card (JCB).
2. Navigate to 2.4.2.2 Inst Conv Confirm.
3. Perform the action or trigger described by: Conditional Step 33 - if proceeding with instalment conversion.
4. Observe the page, validation, navigation, and resulting state.</t>
        </is>
      </c>
      <c r="K137" s="16" t="inlineStr">
        <is>
          <t>2.4.2.2 Inst Conv Confirm behaves according to the mapped requirement (Conditional Step 33 - if proceeding with instalment conversion); data, controls, navigation, and status are accurate and consistent.</t>
        </is>
      </c>
      <c r="L137" s="16" t="inlineStr">
        <is>
          <t>A&amp;A - refer to Authentication &amp; Authorisation FSD</t>
        </is>
      </c>
      <c r="M137" s="16" t="inlineStr">
        <is>
          <t>Request submitted / Request unsuccessful / Authorisation failed / Processing / Completed (per feature)</t>
        </is>
      </c>
      <c r="N137" s="16" t="inlineStr">
        <is>
          <t>Acct Dashboard Financing!A42:I42</t>
        </is>
      </c>
      <c r="O137" s="16" t="inlineStr">
        <is>
          <t>Not Run</t>
        </is>
      </c>
      <c r="P137" s="16" t="n"/>
      <c r="Q137" s="16" t="n"/>
      <c r="R137" s="17" t="inlineStr">
        <is>
          <t>Conditional coverage required.</t>
        </is>
      </c>
      <c r="S137" s="19" t="inlineStr">
        <is>
          <t>Credit Card API Design</t>
        </is>
      </c>
      <c r="T137" s="19" t="inlineStr">
        <is>
          <t>Apply installment convertion</t>
        </is>
      </c>
      <c r="U137" s="19" t="inlineStr">
        <is>
          <t>POST</t>
        </is>
      </c>
      <c r="V137" s="19" t="inlineStr">
        <is>
          <t>/v1/external/credit-card/apply-instalment-conversion</t>
        </is>
      </c>
      <c r="W137" s="19" t="inlineStr">
        <is>
          <t>dep-card</t>
        </is>
      </c>
      <c r="X137" s="19" t="inlineStr">
        <is>
          <t>ECLIPSE_Account Dashboard_Credit_Card_DDD_API_Design_v1_Workshop.xlsx</t>
        </is>
      </c>
      <c r="Y137" s="19" t="inlineStr">
        <is>
          <t>2.4.2.2 Inst Conv Confirm</t>
        </is>
      </c>
      <c r="Z137" s="19" t="inlineStr">
        <is>
          <t>API_Specs_Index!A20:H20</t>
        </is>
      </c>
      <c r="AA137" s="22" t="inlineStr">
        <is>
          <t>API-009</t>
        </is>
      </c>
      <c r="AB137" s="19" t="inlineStr">
        <is>
          <t>Mapped to Apply installment convertion because the test case terms align with the 2.4.2.2 Inst Conv Confirm journey in the applicable API specification.</t>
        </is>
      </c>
      <c r="AC137" s="19" t="inlineStr">
        <is>
          <t>High</t>
        </is>
      </c>
      <c r="AD137" s="19" t="inlineStr">
        <is>
          <t>No additional validation notes were documented in the source index.</t>
        </is>
      </c>
    </row>
    <row r="138" ht="409.6" customHeight="1" s="2">
      <c r="A138" s="12" t="inlineStr">
        <is>
          <t>TC-B1-0137</t>
        </is>
      </c>
      <c r="B138" s="13" t="inlineStr">
        <is>
          <t>TS-B1-114</t>
        </is>
      </c>
      <c r="C138" s="13" t="inlineStr">
        <is>
          <t>Acct Dashboard Financing</t>
        </is>
      </c>
      <c r="D138" s="13" t="inlineStr">
        <is>
          <t>Dashboard - Credit Card / Card Management</t>
        </is>
      </c>
      <c r="E138" s="13" t="inlineStr">
        <is>
          <t>Validate 2.4.2.3 Inst Conv Ack for Credit Card (JCB)</t>
        </is>
      </c>
      <c r="F138" s="13" t="inlineStr">
        <is>
          <t>Functional</t>
        </is>
      </c>
      <c r="G138" s="13" t="inlineStr">
        <is>
          <t>Medium</t>
        </is>
      </c>
      <c r="H138" s="13" t="inlineStr">
        <is>
          <t>Eligible user and product are available. Trigger the stated condition: Conditional Step 34 - if proceeding with instalment conversion</t>
        </is>
      </c>
      <c r="I138" s="13" t="inlineStr">
        <is>
          <t>Credit Card (JCB)</t>
        </is>
      </c>
      <c r="J138" s="13" t="inlineStr">
        <is>
          <t>1. Open Credit Card (JCB).
2. Navigate to 2.4.2.3 Inst Conv Ack.
3. Perform the action or trigger described by: Conditional Step 34 - if proceeding with instalment conversion.
4. Observe the page, validation, navigation, and resulting state.</t>
        </is>
      </c>
      <c r="K138" s="13" t="inlineStr">
        <is>
          <t>2.4.2.3 Inst Conv Ack behaves according to the mapped requirement (Conditional Step 34 - if proceeding with instalment conversion); data, controls, navigation, and status are accurate and consistent.</t>
        </is>
      </c>
      <c r="L138" s="13" t="inlineStr">
        <is>
          <t>A&amp;A - refer to Authentication &amp; Authorisation FSD</t>
        </is>
      </c>
      <c r="M138" s="13" t="inlineStr">
        <is>
          <t>Request submitted / Request unsuccessful / Authorisation failed / Processing / Completed (per feature)</t>
        </is>
      </c>
      <c r="N138" s="13" t="inlineStr">
        <is>
          <t>Acct Dashboard Financing!A43:I43</t>
        </is>
      </c>
      <c r="O138" s="13" t="inlineStr">
        <is>
          <t>Not Run</t>
        </is>
      </c>
      <c r="P138" s="13" t="n"/>
      <c r="Q138" s="13" t="n"/>
      <c r="R138" s="14" t="inlineStr">
        <is>
          <t>Conditional coverage required.</t>
        </is>
      </c>
      <c r="S138" s="19" t="inlineStr">
        <is>
          <t>Credit Card API Design</t>
        </is>
      </c>
      <c r="T138" s="19" t="inlineStr">
        <is>
          <t>Apply installment convertion</t>
        </is>
      </c>
      <c r="U138" s="19" t="inlineStr">
        <is>
          <t>POST</t>
        </is>
      </c>
      <c r="V138" s="19" t="inlineStr">
        <is>
          <t>/v1/external/credit-card/apply-instalment-conversion</t>
        </is>
      </c>
      <c r="W138" s="19" t="inlineStr">
        <is>
          <t>dep-card</t>
        </is>
      </c>
      <c r="X138" s="19" t="inlineStr">
        <is>
          <t>ECLIPSE_Account Dashboard_Credit_Card_DDD_API_Design_v1_Workshop.xlsx</t>
        </is>
      </c>
      <c r="Y138" s="19" t="inlineStr">
        <is>
          <t>2.4.2.2 Inst Conv Confirm</t>
        </is>
      </c>
      <c r="Z138" s="19" t="inlineStr">
        <is>
          <t>API_Specs_Index!A20:H20</t>
        </is>
      </c>
      <c r="AA138" s="22" t="inlineStr">
        <is>
          <t>API-009</t>
        </is>
      </c>
      <c r="AB138" s="19" t="inlineStr">
        <is>
          <t>Mapped to Apply installment convertion because the test case terms align with the 2.4.2.2 Inst Conv Confirm journey in the applicable API specification.</t>
        </is>
      </c>
      <c r="AC138" s="19" t="inlineStr">
        <is>
          <t>High</t>
        </is>
      </c>
      <c r="AD138" s="19" t="inlineStr">
        <is>
          <t>No additional validation notes were documented in the source index.</t>
        </is>
      </c>
    </row>
    <row r="139" ht="409.6" customHeight="1" s="2">
      <c r="A139" s="15" t="inlineStr">
        <is>
          <t>TC-B1-0138</t>
        </is>
      </c>
      <c r="B139" s="16" t="inlineStr">
        <is>
          <t>TS-B1-115</t>
        </is>
      </c>
      <c r="C139" s="16" t="inlineStr">
        <is>
          <t>Acct Dashboard Financing</t>
        </is>
      </c>
      <c r="D139" s="16" t="inlineStr">
        <is>
          <t>Dashboard - Credit Card / Card Management</t>
        </is>
      </c>
      <c r="E139" s="16" t="inlineStr">
        <is>
          <t>Validate 2.4.2.4 Inst Conv Rcpt &amp; Notif for Credit Card (JCB)</t>
        </is>
      </c>
      <c r="F139" s="16" t="inlineStr">
        <is>
          <t>Functional</t>
        </is>
      </c>
      <c r="G139" s="16" t="inlineStr">
        <is>
          <t>Medium</t>
        </is>
      </c>
      <c r="H139" s="16" t="inlineStr">
        <is>
          <t>Eligible user and product are available. Trigger the stated condition: Conditional Step 35 - if proceeding with instalment conversion</t>
        </is>
      </c>
      <c r="I139" s="16" t="inlineStr">
        <is>
          <t>Credit Card (JCB)</t>
        </is>
      </c>
      <c r="J139" s="16" t="inlineStr">
        <is>
          <t>1. Open Credit Card (JCB).
2. Navigate to 2.4.2.4 Inst Conv Rcpt &amp; Notif.
3. Perform the action or trigger described by: Conditional Step 35 - if proceeding with instalment conversion.
4. Observe the page, validation, navigation, and resulting state.</t>
        </is>
      </c>
      <c r="K139" s="16" t="inlineStr">
        <is>
          <t>2.4.2.4 Inst Conv Rcpt &amp; Notif behaves according to the mapped requirement (Conditional Step 35 - if proceeding with instalment conversion); data, controls, navigation, and status are accurate and consistent.</t>
        </is>
      </c>
      <c r="L139" s="16" t="inlineStr">
        <is>
          <t>A&amp;A - refer to Authentication &amp; Authorisation FSD</t>
        </is>
      </c>
      <c r="M139" s="16" t="inlineStr">
        <is>
          <t>Request submitted / Request unsuccessful / Authorisation failed / Processing / Completed (per feature)</t>
        </is>
      </c>
      <c r="N139" s="16" t="inlineStr">
        <is>
          <t>Acct Dashboard Financing!A44:I44</t>
        </is>
      </c>
      <c r="O139" s="16" t="inlineStr">
        <is>
          <t>Not Run</t>
        </is>
      </c>
      <c r="P139" s="16" t="n"/>
      <c r="Q139" s="16" t="n"/>
      <c r="R139" s="17" t="inlineStr">
        <is>
          <t>Conditional coverage required.</t>
        </is>
      </c>
      <c r="S139" s="19" t="inlineStr">
        <is>
          <t>Credit Card API Design</t>
        </is>
      </c>
      <c r="T139" s="19" t="inlineStr">
        <is>
          <t>Apply installment convertion</t>
        </is>
      </c>
      <c r="U139" s="19" t="inlineStr">
        <is>
          <t>POST</t>
        </is>
      </c>
      <c r="V139" s="19" t="inlineStr">
        <is>
          <t>/v1/external/credit-card/apply-instalment-conversion</t>
        </is>
      </c>
      <c r="W139" s="19" t="inlineStr">
        <is>
          <t>dep-card</t>
        </is>
      </c>
      <c r="X139" s="19" t="inlineStr">
        <is>
          <t>ECLIPSE_Account Dashboard_Credit_Card_DDD_API_Design_v1_Workshop.xlsx</t>
        </is>
      </c>
      <c r="Y139" s="19" t="inlineStr">
        <is>
          <t>2.4.2.2 Inst Conv Confirm</t>
        </is>
      </c>
      <c r="Z139" s="19" t="inlineStr">
        <is>
          <t>API_Specs_Index!A20:H20</t>
        </is>
      </c>
      <c r="AA139" s="22" t="inlineStr">
        <is>
          <t>API-009</t>
        </is>
      </c>
      <c r="AB139" s="19" t="inlineStr">
        <is>
          <t>Mapped to Apply installment convertion because the test case terms align with the 2.4.2.2 Inst Conv Confirm journey in the applicable API specification.</t>
        </is>
      </c>
      <c r="AC139" s="19" t="inlineStr">
        <is>
          <t>High</t>
        </is>
      </c>
      <c r="AD139" s="19" t="inlineStr">
        <is>
          <t>No additional validation notes were documented in the source index.</t>
        </is>
      </c>
    </row>
    <row r="140" ht="409.6" customHeight="1" s="2">
      <c r="A140" s="12" t="inlineStr">
        <is>
          <t>TC-B1-0139</t>
        </is>
      </c>
      <c r="B140" s="13" t="inlineStr">
        <is>
          <t>TS-B1-116</t>
        </is>
      </c>
      <c r="C140" s="13" t="inlineStr">
        <is>
          <t>Acct Dashboard Financing</t>
        </is>
      </c>
      <c r="D140" s="13" t="inlineStr">
        <is>
          <t>Dashboard - Credit Card / Card Management</t>
        </is>
      </c>
      <c r="E140" s="13" t="inlineStr">
        <is>
          <t>Validate 2.4.3 Increase Credit Limit for Credit Card (JCB)</t>
        </is>
      </c>
      <c r="F140" s="13" t="inlineStr">
        <is>
          <t>Functional</t>
        </is>
      </c>
      <c r="G140" s="13" t="inlineStr">
        <is>
          <t>High</t>
        </is>
      </c>
      <c r="H140" s="13" t="inlineStr">
        <is>
          <t>Eligible user and product are available. Trigger the stated condition: Conditional Step 36 - if card eligible per MoB and policy</t>
        </is>
      </c>
      <c r="I140" s="13" t="inlineStr">
        <is>
          <t>Credit Card (JCB)</t>
        </is>
      </c>
      <c r="J140" s="13" t="inlineStr">
        <is>
          <t>1. Open Credit Card (JCB).
2. Navigate to 2.4.3 Increase Credit Limit.
3. Perform the action or trigger described by: Conditional Step 36 - if card eligible per MoB and policy.
4. Observe the page, validation, navigation, and resulting state.</t>
        </is>
      </c>
      <c r="K140" s="13" t="inlineStr">
        <is>
          <t>2.4.3 Increase Credit Limit behaves according to the mapped requirement (Conditional Step 36 - if card eligible per MoB and policy); data, controls, navigation, and status are accurate and consistent.</t>
        </is>
      </c>
      <c r="L140" s="13" t="inlineStr">
        <is>
          <t>A&amp;A - refer to Authentication &amp; Authorisation FSD</t>
        </is>
      </c>
      <c r="M140" s="13" t="inlineStr">
        <is>
          <t>Request submitted / Request unsuccessful / Authorisation failed / Processing / Completed (per feature)</t>
        </is>
      </c>
      <c r="N140" s="13" t="inlineStr">
        <is>
          <t>Acct Dashboard Financing!A45:I45</t>
        </is>
      </c>
      <c r="O140" s="13" t="inlineStr">
        <is>
          <t>Not Run</t>
        </is>
      </c>
      <c r="P140" s="13" t="n"/>
      <c r="Q140" s="13" t="n"/>
      <c r="R140" s="14" t="inlineStr">
        <is>
          <t>Conditional coverage required.</t>
        </is>
      </c>
      <c r="S140" s="19" t="inlineStr">
        <is>
          <t>Credit Card API Design</t>
        </is>
      </c>
      <c r="T140" s="19" t="inlineStr">
        <is>
          <t>Credit card transaction history</t>
        </is>
      </c>
      <c r="U140" s="19" t="inlineStr">
        <is>
          <t>GET</t>
        </is>
      </c>
      <c r="V140" s="19" t="inlineStr">
        <is>
          <t>/v1/external/accounts/account-type/{accountType}/account-id/{accountId}/transactions?startDate={startDate}&amp;endDate={endDate}&amp;page={page}&amp;limit={limit}</t>
        </is>
      </c>
      <c r="W140" s="19" t="inlineStr">
        <is>
          <t>info-card</t>
        </is>
      </c>
      <c r="X140" s="19" t="inlineStr">
        <is>
          <t>ECLIPSE_Account Dashboard_Credit_Card_DDD_API_Design_v1_Workshop.xlsx</t>
        </is>
      </c>
      <c r="Y140" s="19" t="inlineStr">
        <is>
          <t>2.2 CC &gt; Transactions</t>
        </is>
      </c>
      <c r="Z140" s="19" t="inlineStr">
        <is>
          <t>API_Specs_Index!A7:H7</t>
        </is>
      </c>
      <c r="AA140" s="22" t="inlineStr">
        <is>
          <t>API-004</t>
        </is>
      </c>
      <c r="AB140" s="19" t="inlineStr">
        <is>
          <t>Mapped to Credit card transaction history because the test case terms align with the 2.2 CC &gt; Transactions journey in the applicable API specification.</t>
        </is>
      </c>
      <c r="AC140" s="19" t="inlineStr">
        <is>
          <t>High</t>
        </is>
      </c>
      <c r="AD140" s="19" t="inlineStr">
        <is>
          <t>No Screen User Action Business Logic API Name Microservice Ownership Method Endpoint Request JSON Success Response JSON Failed Response JSON ESB Eclipse DB Source BE Validation; 1 User tap one of the card from "Cards" Dashboard When the screen is loaded, 1. It shall conduct block code check to show yellow label accordingly (e.g blocked, temporarily blocked) 2. It shall display Principal card by default and if there is any...</t>
        </is>
      </c>
    </row>
    <row r="141" ht="409.6" customHeight="1" s="2">
      <c r="A141" s="15" t="inlineStr">
        <is>
          <t>TC-B1-0140</t>
        </is>
      </c>
      <c r="B141" s="16" t="inlineStr">
        <is>
          <t>TS-B1-117</t>
        </is>
      </c>
      <c r="C141" s="16" t="inlineStr">
        <is>
          <t>Acct Dashboard Financing</t>
        </is>
      </c>
      <c r="D141" s="16" t="inlineStr">
        <is>
          <t>Dashboard - Credit Card / Card Management</t>
        </is>
      </c>
      <c r="E141" s="16" t="inlineStr">
        <is>
          <t>Validate 2.4.3.1 ICL Permanent for Credit Card (JCB)</t>
        </is>
      </c>
      <c r="F141" s="16" t="inlineStr">
        <is>
          <t>Functional</t>
        </is>
      </c>
      <c r="G141" s="16" t="inlineStr">
        <is>
          <t>Medium</t>
        </is>
      </c>
      <c r="H141" s="16" t="inlineStr">
        <is>
          <t>Eligible user and product are available. Trigger the stated condition: Conditional Step 37 - if Permanent selected</t>
        </is>
      </c>
      <c r="I141" s="16" t="inlineStr">
        <is>
          <t>Credit Card (JCB)</t>
        </is>
      </c>
      <c r="J141" s="16" t="inlineStr">
        <is>
          <t>1. Open Credit Card (JCB).
2. Navigate to 2.4.3.1 ICL Permanent.
3. Perform the action or trigger described by: Conditional Step 37 - if Permanent selected.
4. Observe the page, validation, navigation, and resulting state.</t>
        </is>
      </c>
      <c r="K141" s="16" t="inlineStr">
        <is>
          <t>2.4.3.1 ICL Permanent behaves according to the mapped requirement (Conditional Step 37 - if Permanent selected); data, controls, navigation, and status are accurate and consistent.</t>
        </is>
      </c>
      <c r="L141" s="16" t="inlineStr">
        <is>
          <t>A&amp;A - refer to Authentication &amp; Authorisation FSD</t>
        </is>
      </c>
      <c r="M141" s="16" t="inlineStr">
        <is>
          <t>Request submitted / Request unsuccessful / Authorisation failed / Processing / Completed (per feature)</t>
        </is>
      </c>
      <c r="N141" s="16" t="inlineStr">
        <is>
          <t>Acct Dashboard Financing!A46:I46</t>
        </is>
      </c>
      <c r="O141" s="16" t="inlineStr">
        <is>
          <t>Not Run</t>
        </is>
      </c>
      <c r="P141" s="16" t="n"/>
      <c r="Q141" s="16" t="n"/>
      <c r="R141" s="17" t="inlineStr">
        <is>
          <t>Conditional coverage required.</t>
        </is>
      </c>
      <c r="S141" s="19" t="inlineStr">
        <is>
          <t>Credit Card API Design</t>
        </is>
      </c>
      <c r="T141" s="19" t="inlineStr">
        <is>
          <t>Cards dashboard</t>
        </is>
      </c>
      <c r="U141" s="19" t="inlineStr">
        <is>
          <t>GET</t>
        </is>
      </c>
      <c r="V141" s="19" t="inlineStr">
        <is>
          <t>/v1/external/accounts?accountGroup={accountGroup}</t>
        </is>
      </c>
      <c r="W141" s="19" t="inlineStr">
        <is>
          <t>dep-dashboard</t>
        </is>
      </c>
      <c r="X141" s="19" t="inlineStr">
        <is>
          <t>ECLIPSE_Account Dashboard_Credit_Card_DDD_API_Design_v1_Workshop.xlsx</t>
        </is>
      </c>
      <c r="Y141" s="19" t="inlineStr">
        <is>
          <t>2.1 CC Dashboard - Landing</t>
        </is>
      </c>
      <c r="Z141" s="19" t="inlineStr">
        <is>
          <t>API_Specs_Index!A2:H2</t>
        </is>
      </c>
      <c r="AA141" s="22" t="inlineStr">
        <is>
          <t>API-001</t>
        </is>
      </c>
      <c r="AB141" s="19" t="inlineStr">
        <is>
          <t>Mapped to Cards dashboard because the test case terms align with the 2.1 CC Dashboard - Landing journey in the applicable API specification.</t>
        </is>
      </c>
      <c r="AC141" s="19" t="inlineStr">
        <is>
          <t>Medium</t>
        </is>
      </c>
      <c r="AD141" s="19" t="inlineStr">
        <is>
          <t>1 User tap "Cards" and screen is loaded N/A dep-dashboard GET /v1/external/accounts?accountGroup={accountGroup} example : /v1/external/accounts?accountGroup=CARD { "status": 200, "message": "Request processed successfully", "timestamp": "2026-01-1...</t>
        </is>
      </c>
    </row>
    <row r="142" ht="409.6" customHeight="1" s="2">
      <c r="A142" s="12" t="inlineStr">
        <is>
          <t>TC-B1-0141</t>
        </is>
      </c>
      <c r="B142" s="13" t="inlineStr">
        <is>
          <t>TS-B1-118</t>
        </is>
      </c>
      <c r="C142" s="13" t="inlineStr">
        <is>
          <t>Acct Dashboard Financing</t>
        </is>
      </c>
      <c r="D142" s="13" t="inlineStr">
        <is>
          <t>Dashboard - Credit Card / Card Management</t>
        </is>
      </c>
      <c r="E142" s="13" t="inlineStr">
        <is>
          <t>Validate 2.4.3.2 ICL Temporary for Credit Card (JCB)</t>
        </is>
      </c>
      <c r="F142" s="13" t="inlineStr">
        <is>
          <t>Functional</t>
        </is>
      </c>
      <c r="G142" s="13" t="inlineStr">
        <is>
          <t>Medium</t>
        </is>
      </c>
      <c r="H142" s="13" t="inlineStr">
        <is>
          <t>Eligible user and product are available. Trigger the stated condition: Conditional Step 38 - if Temporary selected</t>
        </is>
      </c>
      <c r="I142" s="13" t="inlineStr">
        <is>
          <t>Credit Card (JCB)</t>
        </is>
      </c>
      <c r="J142" s="13" t="inlineStr">
        <is>
          <t>1. Open Credit Card (JCB).
2. Navigate to 2.4.3.2 ICL Temporary.
3. Perform the action or trigger described by: Conditional Step 38 - if Temporary selected.
4. Observe the page, validation, navigation, and resulting state.</t>
        </is>
      </c>
      <c r="K142" s="13" t="inlineStr">
        <is>
          <t>2.4.3.2 ICL Temporary behaves according to the mapped requirement (Conditional Step 38 - if Temporary selected); data, controls, navigation, and status are accurate and consistent.</t>
        </is>
      </c>
      <c r="L142" s="13" t="inlineStr">
        <is>
          <t>A&amp;A - refer to Authentication &amp; Authorisation FSD</t>
        </is>
      </c>
      <c r="M142" s="13" t="inlineStr">
        <is>
          <t>Request submitted / Request unsuccessful / Authorisation failed / Processing / Completed (per feature)</t>
        </is>
      </c>
      <c r="N142" s="13" t="inlineStr">
        <is>
          <t>Acct Dashboard Financing!A47:I47</t>
        </is>
      </c>
      <c r="O142" s="13" t="inlineStr">
        <is>
          <t>Not Run</t>
        </is>
      </c>
      <c r="P142" s="13" t="n"/>
      <c r="Q142" s="13" t="n"/>
      <c r="R142" s="14" t="inlineStr">
        <is>
          <t>Conditional coverage required.</t>
        </is>
      </c>
      <c r="S142" s="19" t="inlineStr">
        <is>
          <t>Credit Card API Design</t>
        </is>
      </c>
      <c r="T142" s="19" t="inlineStr">
        <is>
          <t>Cards dashboard</t>
        </is>
      </c>
      <c r="U142" s="19" t="inlineStr">
        <is>
          <t>GET</t>
        </is>
      </c>
      <c r="V142" s="19" t="inlineStr">
        <is>
          <t>/v1/external/accounts?accountGroup={accountGroup}</t>
        </is>
      </c>
      <c r="W142" s="19" t="inlineStr">
        <is>
          <t>dep-dashboard</t>
        </is>
      </c>
      <c r="X142" s="19" t="inlineStr">
        <is>
          <t>ECLIPSE_Account Dashboard_Credit_Card_DDD_API_Design_v1_Workshop.xlsx</t>
        </is>
      </c>
      <c r="Y142" s="19" t="inlineStr">
        <is>
          <t>2.1 CC Dashboard - Landing</t>
        </is>
      </c>
      <c r="Z142" s="19" t="inlineStr">
        <is>
          <t>API_Specs_Index!A2:H2</t>
        </is>
      </c>
      <c r="AA142" s="22" t="inlineStr">
        <is>
          <t>API-001</t>
        </is>
      </c>
      <c r="AB142" s="19" t="inlineStr">
        <is>
          <t>Mapped to Cards dashboard because the test case terms align with the 2.1 CC Dashboard - Landing journey in the applicable API specification.</t>
        </is>
      </c>
      <c r="AC142" s="19" t="inlineStr">
        <is>
          <t>Medium</t>
        </is>
      </c>
      <c r="AD142" s="19" t="inlineStr">
        <is>
          <t>1 User tap "Cards" and screen is loaded N/A dep-dashboard GET /v1/external/accounts?accountGroup={accountGroup} example : /v1/external/accounts?accountGroup=CARD { "status": 200, "message": "Request processed successfully", "timestamp": "2026-01-1...</t>
        </is>
      </c>
    </row>
    <row r="143" ht="400.2" customHeight="1" s="2">
      <c r="A143" s="15" t="inlineStr">
        <is>
          <t>TC-B1-0142</t>
        </is>
      </c>
      <c r="B143" s="16" t="inlineStr">
        <is>
          <t>TS-B1-119</t>
        </is>
      </c>
      <c r="C143" s="16" t="inlineStr">
        <is>
          <t>Acct Dashboard Financing</t>
        </is>
      </c>
      <c r="D143" s="16" t="inlineStr">
        <is>
          <t>Dashboard - Credit Card / Card Management</t>
        </is>
      </c>
      <c r="E143" s="16" t="inlineStr">
        <is>
          <t>Validate 2.4.3.3 ICL TnC for Credit Card (JCB)</t>
        </is>
      </c>
      <c r="F143" s="16" t="inlineStr">
        <is>
          <t>Functional</t>
        </is>
      </c>
      <c r="G143" s="16" t="inlineStr">
        <is>
          <t>Medium</t>
        </is>
      </c>
      <c r="H143" s="16" t="inlineStr">
        <is>
          <t>Eligible user and product are available. Trigger the stated condition: Conditional Step 39 - if proceeding with ICL</t>
        </is>
      </c>
      <c r="I143" s="16" t="inlineStr">
        <is>
          <t>Credit Card (JCB)</t>
        </is>
      </c>
      <c r="J143" s="16" t="inlineStr">
        <is>
          <t>1. Open Credit Card (JCB).
2. Navigate to 2.4.3.3 ICL TnC.
3. Perform the action or trigger described by: Conditional Step 39 - if proceeding with ICL.
4. Observe the page, validation, navigation, and resulting state.</t>
        </is>
      </c>
      <c r="K143" s="16" t="inlineStr">
        <is>
          <t>2.4.3.3 ICL TnC behaves according to the mapped requirement (Conditional Step 39 - if proceeding with ICL); data, controls, navigation, and status are accurate and consistent.</t>
        </is>
      </c>
      <c r="L143" s="16" t="inlineStr">
        <is>
          <t>A&amp;A - refer to Authentication &amp; Authorisation FSD</t>
        </is>
      </c>
      <c r="M143" s="16" t="inlineStr">
        <is>
          <t>Request submitted / Request unsuccessful / Authorisation failed / Processing / Completed (per feature)</t>
        </is>
      </c>
      <c r="N143" s="16" t="inlineStr">
        <is>
          <t>Acct Dashboard Financing!A48:I48</t>
        </is>
      </c>
      <c r="O143" s="16" t="inlineStr">
        <is>
          <t>Not Run</t>
        </is>
      </c>
      <c r="P143" s="16" t="n"/>
      <c r="Q143" s="16" t="n"/>
      <c r="R143" s="17" t="inlineStr">
        <is>
          <t>Conditional coverage required.</t>
        </is>
      </c>
      <c r="S143" s="19" t="inlineStr">
        <is>
          <t>Credit Card API Design</t>
        </is>
      </c>
      <c r="T143" s="19" t="inlineStr">
        <is>
          <t>Cards dashboard</t>
        </is>
      </c>
      <c r="U143" s="19" t="inlineStr">
        <is>
          <t>GET</t>
        </is>
      </c>
      <c r="V143" s="19" t="inlineStr">
        <is>
          <t>/v1/external/accounts?accountGroup={accountGroup}</t>
        </is>
      </c>
      <c r="W143" s="19" t="inlineStr">
        <is>
          <t>dep-dashboard</t>
        </is>
      </c>
      <c r="X143" s="19" t="inlineStr">
        <is>
          <t>ECLIPSE_Account Dashboard_Credit_Card_DDD_API_Design_v1_Workshop.xlsx</t>
        </is>
      </c>
      <c r="Y143" s="19" t="inlineStr">
        <is>
          <t>2.1 CC Dashboard - Landing</t>
        </is>
      </c>
      <c r="Z143" s="19" t="inlineStr">
        <is>
          <t>API_Specs_Index!A2:H2</t>
        </is>
      </c>
      <c r="AA143" s="22" t="inlineStr">
        <is>
          <t>API-001</t>
        </is>
      </c>
      <c r="AB143" s="19" t="inlineStr">
        <is>
          <t>Mapped to Cards dashboard because the test case terms align with the 2.1 CC Dashboard - Landing journey in the applicable API specification.</t>
        </is>
      </c>
      <c r="AC143" s="19" t="inlineStr">
        <is>
          <t>Medium</t>
        </is>
      </c>
      <c r="AD143" s="19" t="inlineStr">
        <is>
          <t>1 User tap "Cards" and screen is loaded N/A dep-dashboard GET /v1/external/accounts?accountGroup={accountGroup} example : /v1/external/accounts?accountGroup=CARD { "status": 200, "message": "Request processed successfully", "timestamp": "2026-01-1...</t>
        </is>
      </c>
    </row>
    <row r="144" ht="409.6" customHeight="1" s="2">
      <c r="A144" s="12" t="inlineStr">
        <is>
          <t>TC-B1-0143</t>
        </is>
      </c>
      <c r="B144" s="13" t="inlineStr">
        <is>
          <t>TS-B1-120</t>
        </is>
      </c>
      <c r="C144" s="13" t="inlineStr">
        <is>
          <t>Acct Dashboard Financing</t>
        </is>
      </c>
      <c r="D144" s="13" t="inlineStr">
        <is>
          <t>Dashboard - Credit Card / Card Management</t>
        </is>
      </c>
      <c r="E144" s="13" t="inlineStr">
        <is>
          <t>Validate 2.4.3.4 ICL Confirm for Credit Card (JCB)</t>
        </is>
      </c>
      <c r="F144" s="13" t="inlineStr">
        <is>
          <t>Functional</t>
        </is>
      </c>
      <c r="G144" s="13" t="inlineStr">
        <is>
          <t>Medium</t>
        </is>
      </c>
      <c r="H144" s="13" t="inlineStr">
        <is>
          <t>Eligible user and product are available. Trigger the stated condition: Conditional Step 40 - if proceeding with ICL</t>
        </is>
      </c>
      <c r="I144" s="13" t="inlineStr">
        <is>
          <t>Credit Card (JCB)</t>
        </is>
      </c>
      <c r="J144" s="13" t="inlineStr">
        <is>
          <t>1. Open Credit Card (JCB).
2. Navigate to 2.4.3.4 ICL Confirm.
3. Perform the action or trigger described by: Conditional Step 40 - if proceeding with ICL.
4. Observe the page, validation, navigation, and resulting state.</t>
        </is>
      </c>
      <c r="K144" s="13" t="inlineStr">
        <is>
          <t>2.4.3.4 ICL Confirm behaves according to the mapped requirement (Conditional Step 40 - if proceeding with ICL); data, controls, navigation, and status are accurate and consistent.</t>
        </is>
      </c>
      <c r="L144" s="13" t="inlineStr">
        <is>
          <t>A&amp;A - refer to Authentication &amp; Authorisation FSD</t>
        </is>
      </c>
      <c r="M144" s="13" t="inlineStr">
        <is>
          <t>Request submitted / Request unsuccessful / Authorisation failed / Processing / Completed (per feature)</t>
        </is>
      </c>
      <c r="N144" s="13" t="inlineStr">
        <is>
          <t>Acct Dashboard Financing!A49:I49</t>
        </is>
      </c>
      <c r="O144" s="13" t="inlineStr">
        <is>
          <t>Not Run</t>
        </is>
      </c>
      <c r="P144" s="13" t="n"/>
      <c r="Q144" s="13" t="n"/>
      <c r="R144" s="14" t="inlineStr">
        <is>
          <t>Conditional coverage required.</t>
        </is>
      </c>
      <c r="S144" s="19" t="inlineStr">
        <is>
          <t>Credit Card API Design</t>
        </is>
      </c>
      <c r="T144" s="19" t="inlineStr">
        <is>
          <t>Cards dashboard</t>
        </is>
      </c>
      <c r="U144" s="19" t="inlineStr">
        <is>
          <t>GET</t>
        </is>
      </c>
      <c r="V144" s="19" t="inlineStr">
        <is>
          <t>/v1/external/accounts?accountGroup={accountGroup}</t>
        </is>
      </c>
      <c r="W144" s="19" t="inlineStr">
        <is>
          <t>dep-dashboard</t>
        </is>
      </c>
      <c r="X144" s="19" t="inlineStr">
        <is>
          <t>ECLIPSE_Account Dashboard_Credit_Card_DDD_API_Design_v1_Workshop.xlsx</t>
        </is>
      </c>
      <c r="Y144" s="19" t="inlineStr">
        <is>
          <t>2.1 CC Dashboard - Landing</t>
        </is>
      </c>
      <c r="Z144" s="19" t="inlineStr">
        <is>
          <t>API_Specs_Index!A2:H2</t>
        </is>
      </c>
      <c r="AA144" s="22" t="inlineStr">
        <is>
          <t>API-001</t>
        </is>
      </c>
      <c r="AB144" s="19" t="inlineStr">
        <is>
          <t>Mapped to Cards dashboard because the test case terms align with the 2.1 CC Dashboard - Landing journey in the applicable API specification.</t>
        </is>
      </c>
      <c r="AC144" s="19" t="inlineStr">
        <is>
          <t>Medium</t>
        </is>
      </c>
      <c r="AD144" s="19" t="inlineStr">
        <is>
          <t>1 User tap "Cards" and screen is loaded N/A dep-dashboard GET /v1/external/accounts?accountGroup={accountGroup} example : /v1/external/accounts?accountGroup=CARD { "status": 200, "message": "Request processed successfully", "timestamp": "2026-01-1...</t>
        </is>
      </c>
    </row>
    <row r="145" ht="400.2" customHeight="1" s="2">
      <c r="A145" s="15" t="inlineStr">
        <is>
          <t>TC-B1-0144</t>
        </is>
      </c>
      <c r="B145" s="16" t="inlineStr">
        <is>
          <t>TS-B1-121</t>
        </is>
      </c>
      <c r="C145" s="16" t="inlineStr">
        <is>
          <t>Acct Dashboard Financing</t>
        </is>
      </c>
      <c r="D145" s="16" t="inlineStr">
        <is>
          <t>Dashboard - Credit Card / Card Management</t>
        </is>
      </c>
      <c r="E145" s="16" t="inlineStr">
        <is>
          <t>Validate 2.4.3.5 ICL Ack for Credit Card (JCB)</t>
        </is>
      </c>
      <c r="F145" s="16" t="inlineStr">
        <is>
          <t>Functional</t>
        </is>
      </c>
      <c r="G145" s="16" t="inlineStr">
        <is>
          <t>Medium</t>
        </is>
      </c>
      <c r="H145" s="16" t="inlineStr">
        <is>
          <t>Eligible user and product are available. Trigger the stated condition: Conditional Step 41 - if proceeding with ICL</t>
        </is>
      </c>
      <c r="I145" s="16" t="inlineStr">
        <is>
          <t>Credit Card (JCB)</t>
        </is>
      </c>
      <c r="J145" s="16" t="inlineStr">
        <is>
          <t>1. Open Credit Card (JCB).
2. Navigate to 2.4.3.5 ICL Ack.
3. Perform the action or trigger described by: Conditional Step 41 - if proceeding with ICL.
4. Observe the page, validation, navigation, and resulting state.</t>
        </is>
      </c>
      <c r="K145" s="16" t="inlineStr">
        <is>
          <t>2.4.3.5 ICL Ack behaves according to the mapped requirement (Conditional Step 41 - if proceeding with ICL); data, controls, navigation, and status are accurate and consistent.</t>
        </is>
      </c>
      <c r="L145" s="16" t="inlineStr">
        <is>
          <t>A&amp;A - refer to Authentication &amp; Authorisation FSD</t>
        </is>
      </c>
      <c r="M145" s="16" t="inlineStr">
        <is>
          <t>Request submitted / Request unsuccessful / Authorisation failed / Processing / Completed (per feature)</t>
        </is>
      </c>
      <c r="N145" s="16" t="inlineStr">
        <is>
          <t>Acct Dashboard Financing!A50:I50</t>
        </is>
      </c>
      <c r="O145" s="16" t="inlineStr">
        <is>
          <t>Not Run</t>
        </is>
      </c>
      <c r="P145" s="16" t="n"/>
      <c r="Q145" s="16" t="n"/>
      <c r="R145" s="17" t="inlineStr">
        <is>
          <t>Conditional coverage required.</t>
        </is>
      </c>
      <c r="S145" s="19" t="inlineStr">
        <is>
          <t>Credit Card API Design</t>
        </is>
      </c>
      <c r="T145" s="19" t="inlineStr">
        <is>
          <t>Cards dashboard</t>
        </is>
      </c>
      <c r="U145" s="19" t="inlineStr">
        <is>
          <t>GET</t>
        </is>
      </c>
      <c r="V145" s="19" t="inlineStr">
        <is>
          <t>/v1/external/accounts?accountGroup={accountGroup}</t>
        </is>
      </c>
      <c r="W145" s="19" t="inlineStr">
        <is>
          <t>dep-dashboard</t>
        </is>
      </c>
      <c r="X145" s="19" t="inlineStr">
        <is>
          <t>ECLIPSE_Account Dashboard_Credit_Card_DDD_API_Design_v1_Workshop.xlsx</t>
        </is>
      </c>
      <c r="Y145" s="19" t="inlineStr">
        <is>
          <t>2.1 CC Dashboard - Landing</t>
        </is>
      </c>
      <c r="Z145" s="19" t="inlineStr">
        <is>
          <t>API_Specs_Index!A2:H2</t>
        </is>
      </c>
      <c r="AA145" s="22" t="inlineStr">
        <is>
          <t>API-001</t>
        </is>
      </c>
      <c r="AB145" s="19" t="inlineStr">
        <is>
          <t>Mapped to Cards dashboard because the test case terms align with the 2.1 CC Dashboard - Landing journey in the applicable API specification.</t>
        </is>
      </c>
      <c r="AC145" s="19" t="inlineStr">
        <is>
          <t>Medium</t>
        </is>
      </c>
      <c r="AD145" s="19" t="inlineStr">
        <is>
          <t>1 User tap "Cards" and screen is loaded N/A dep-dashboard GET /v1/external/accounts?accountGroup={accountGroup} example : /v1/external/accounts?accountGroup=CARD { "status": 200, "message": "Request processed successfully", "timestamp": "2026-01-1...</t>
        </is>
      </c>
    </row>
    <row r="146" ht="409.6" customHeight="1" s="2">
      <c r="A146" s="12" t="inlineStr">
        <is>
          <t>TC-B1-0145</t>
        </is>
      </c>
      <c r="B146" s="13" t="inlineStr">
        <is>
          <t>TS-B1-122</t>
        </is>
      </c>
      <c r="C146" s="13" t="inlineStr">
        <is>
          <t>Acct Dashboard Financing</t>
        </is>
      </c>
      <c r="D146" s="13" t="inlineStr">
        <is>
          <t>Dashboard - Credit Card / Card Management</t>
        </is>
      </c>
      <c r="E146" s="13" t="inlineStr">
        <is>
          <t>Validate 2.4.3.6 ICL Rcpt &amp; Notif for Credit Card (JCB)</t>
        </is>
      </c>
      <c r="F146" s="13" t="inlineStr">
        <is>
          <t>Functional</t>
        </is>
      </c>
      <c r="G146" s="13" t="inlineStr">
        <is>
          <t>Medium</t>
        </is>
      </c>
      <c r="H146" s="13" t="inlineStr">
        <is>
          <t>Eligible user and product are available. Trigger the stated condition: Conditional Step 42 - if proceeding with ICL</t>
        </is>
      </c>
      <c r="I146" s="13" t="inlineStr">
        <is>
          <t>Credit Card (JCB)</t>
        </is>
      </c>
      <c r="J146" s="13" t="inlineStr">
        <is>
          <t>1. Open Credit Card (JCB).
2. Navigate to 2.4.3.6 ICL Rcpt &amp; Notif.
3. Perform the action or trigger described by: Conditional Step 42 - if proceeding with ICL.
4. Observe the page, validation, navigation, and resulting state.</t>
        </is>
      </c>
      <c r="K146" s="13" t="inlineStr">
        <is>
          <t>2.4.3.6 ICL Rcpt &amp; Notif behaves according to the mapped requirement (Conditional Step 42 - if proceeding with ICL); data, controls, navigation, and status are accurate and consistent.</t>
        </is>
      </c>
      <c r="L146" s="13" t="inlineStr">
        <is>
          <t>A&amp;A - refer to Authentication &amp; Authorisation FSD</t>
        </is>
      </c>
      <c r="M146" s="13" t="inlineStr">
        <is>
          <t>Request submitted / Request unsuccessful / Authorisation failed / Processing / Completed (per feature)</t>
        </is>
      </c>
      <c r="N146" s="13" t="inlineStr">
        <is>
          <t>Acct Dashboard Financing!A51:I51</t>
        </is>
      </c>
      <c r="O146" s="13" t="inlineStr">
        <is>
          <t>Not Run</t>
        </is>
      </c>
      <c r="P146" s="13" t="n"/>
      <c r="Q146" s="13" t="n"/>
      <c r="R146" s="14" t="inlineStr">
        <is>
          <t>Conditional coverage required.</t>
        </is>
      </c>
      <c r="S146" s="19" t="inlineStr">
        <is>
          <t>Credit Card API Design</t>
        </is>
      </c>
      <c r="T146" s="19" t="inlineStr">
        <is>
          <t>Cards dashboard</t>
        </is>
      </c>
      <c r="U146" s="19" t="inlineStr">
        <is>
          <t>GET</t>
        </is>
      </c>
      <c r="V146" s="19" t="inlineStr">
        <is>
          <t>/v1/external/accounts?accountGroup={accountGroup}</t>
        </is>
      </c>
      <c r="W146" s="19" t="inlineStr">
        <is>
          <t>dep-dashboard</t>
        </is>
      </c>
      <c r="X146" s="19" t="inlineStr">
        <is>
          <t>ECLIPSE_Account Dashboard_Credit_Card_DDD_API_Design_v1_Workshop.xlsx</t>
        </is>
      </c>
      <c r="Y146" s="19" t="inlineStr">
        <is>
          <t>2.1 CC Dashboard - Landing</t>
        </is>
      </c>
      <c r="Z146" s="19" t="inlineStr">
        <is>
          <t>API_Specs_Index!A2:H2</t>
        </is>
      </c>
      <c r="AA146" s="22" t="inlineStr">
        <is>
          <t>API-001</t>
        </is>
      </c>
      <c r="AB146" s="19" t="inlineStr">
        <is>
          <t>Mapped to Cards dashboard because the test case terms align with the 2.1 CC Dashboard - Landing journey in the applicable API specification.</t>
        </is>
      </c>
      <c r="AC146" s="19" t="inlineStr">
        <is>
          <t>Medium</t>
        </is>
      </c>
      <c r="AD146" s="19" t="inlineStr">
        <is>
          <t>1 User tap "Cards" and screen is loaded N/A dep-dashboard GET /v1/external/accounts?accountGroup={accountGroup} example : /v1/external/accounts?accountGroup=CARD { "status": 200, "message": "Request processed successfully", "timestamp": "2026-01-1...</t>
        </is>
      </c>
    </row>
    <row r="147" ht="409.6" customHeight="1" s="2">
      <c r="A147" s="15" t="inlineStr">
        <is>
          <t>TC-B1-0146</t>
        </is>
      </c>
      <c r="B147" s="16" t="inlineStr">
        <is>
          <t>TS-B1-123</t>
        </is>
      </c>
      <c r="C147" s="16" t="inlineStr">
        <is>
          <t>Acct Dashboard Financing</t>
        </is>
      </c>
      <c r="D147" s="16" t="inlineStr">
        <is>
          <t>Dashboard - Credit Card / Card Management</t>
        </is>
      </c>
      <c r="E147" s="16" t="inlineStr">
        <is>
          <t>Validate 2.4.4 Block Card for Credit Card (JCB)</t>
        </is>
      </c>
      <c r="F147" s="16" t="inlineStr">
        <is>
          <t>Functional</t>
        </is>
      </c>
      <c r="G147" s="16" t="inlineStr">
        <is>
          <t>High</t>
        </is>
      </c>
      <c r="H147" s="16" t="inlineStr">
        <is>
          <t>Eligible user and product are available. Trigger the stated condition: Conditional Step 43 - for Active card block action</t>
        </is>
      </c>
      <c r="I147" s="16" t="inlineStr">
        <is>
          <t>Credit Card (JCB)</t>
        </is>
      </c>
      <c r="J147" s="16" t="inlineStr">
        <is>
          <t>1. Open Credit Card (JCB).
2. Navigate to 2.4.4 Block Card.
3. Perform the action or trigger described by: Conditional Step 43 - for Active card block action.
4. Observe the page, validation, navigation, and resulting state.</t>
        </is>
      </c>
      <c r="K147" s="16" t="inlineStr">
        <is>
          <t>2.4.4 Block Card behaves according to the mapped requirement (Conditional Step 43 - for Active card block action); data, controls, navigation, and status are accurate and consistent.</t>
        </is>
      </c>
      <c r="L147" s="16" t="inlineStr">
        <is>
          <t>A&amp;A - refer to Authentication &amp; Authorisation FSD</t>
        </is>
      </c>
      <c r="M147" s="16" t="inlineStr">
        <is>
          <t>Request submitted / Request unsuccessful / Authorisation failed / Processing / Completed (per feature)</t>
        </is>
      </c>
      <c r="N147" s="16" t="inlineStr">
        <is>
          <t>Acct Dashboard Financing!A52:I52</t>
        </is>
      </c>
      <c r="O147" s="16" t="inlineStr">
        <is>
          <t>Not Run</t>
        </is>
      </c>
      <c r="P147" s="16" t="n"/>
      <c r="Q147" s="16" t="n"/>
      <c r="R147" s="17" t="inlineStr">
        <is>
          <t>Conditional coverage required.</t>
        </is>
      </c>
      <c r="S147" s="19" t="inlineStr">
        <is>
          <t>Credit Card API Design</t>
        </is>
      </c>
      <c r="T147" s="19" t="inlineStr">
        <is>
          <t>Block credit card</t>
        </is>
      </c>
      <c r="U147" s="19" t="inlineStr">
        <is>
          <t>POST</t>
        </is>
      </c>
      <c r="V147" s="19" t="inlineStr">
        <is>
          <t>/v1/external/cards/block</t>
        </is>
      </c>
      <c r="W147" s="19" t="inlineStr">
        <is>
          <t>dep-card</t>
        </is>
      </c>
      <c r="X147" s="19" t="inlineStr">
        <is>
          <t>ECLIPSE_Account Dashboard_Credit_Card_DDD_API_Design_v1_Workshop.xlsx</t>
        </is>
      </c>
      <c r="Y147" s="19" t="inlineStr">
        <is>
          <t>2.4.4 Block Card</t>
        </is>
      </c>
      <c r="Z147" s="19" t="inlineStr">
        <is>
          <t>API_Specs_Index!A25:H25</t>
        </is>
      </c>
      <c r="AA147" s="22" t="inlineStr">
        <is>
          <t>API-011</t>
        </is>
      </c>
      <c r="AB147" s="19" t="inlineStr">
        <is>
          <t>Mapped to Block credit card because the test case terms align with the 2.4.4 Block Card journey in the applicable API specification.</t>
        </is>
      </c>
      <c r="AC147" s="19" t="inlineStr">
        <is>
          <t>High</t>
        </is>
      </c>
      <c r="AD147" s="19" t="inlineStr">
        <is>
          <t>No additional validation notes were documented in the source index.</t>
        </is>
      </c>
    </row>
    <row r="148" ht="409.6" customHeight="1" s="2">
      <c r="A148" s="12" t="inlineStr">
        <is>
          <t>TC-B1-0147</t>
        </is>
      </c>
      <c r="B148" s="13" t="inlineStr">
        <is>
          <t>TS-B1-124</t>
        </is>
      </c>
      <c r="C148" s="13" t="inlineStr">
        <is>
          <t>Acct Dashboard Financing</t>
        </is>
      </c>
      <c r="D148" s="13" t="inlineStr">
        <is>
          <t>Dashboard - Credit Card / Card Management</t>
        </is>
      </c>
      <c r="E148" s="13" t="inlineStr">
        <is>
          <t>Validate 2.4.4.1 Block Card Ack for Credit Card (JCB)</t>
        </is>
      </c>
      <c r="F148" s="13" t="inlineStr">
        <is>
          <t>Functional</t>
        </is>
      </c>
      <c r="G148" s="13" t="inlineStr">
        <is>
          <t>High</t>
        </is>
      </c>
      <c r="H148" s="13" t="inlineStr">
        <is>
          <t>Eligible user and product are available. Trigger the stated condition: Conditional Step 44 - if block action submitted</t>
        </is>
      </c>
      <c r="I148" s="13" t="inlineStr">
        <is>
          <t>Credit Card (JCB)</t>
        </is>
      </c>
      <c r="J148" s="13" t="inlineStr">
        <is>
          <t>1. Open Credit Card (JCB).
2. Navigate to 2.4.4.1 Block Card Ack.
3. Perform the action or trigger described by: Conditional Step 44 - if block action submitted.
4. Observe the page, validation, navigation, and resulting state.</t>
        </is>
      </c>
      <c r="K148" s="13" t="inlineStr">
        <is>
          <t>2.4.4.1 Block Card Ack behaves according to the mapped requirement (Conditional Step 44 - if block action submitted); data, controls, navigation, and status are accurate and consistent.</t>
        </is>
      </c>
      <c r="L148" s="13" t="inlineStr">
        <is>
          <t>A&amp;A - refer to Authentication &amp; Authorisation FSD</t>
        </is>
      </c>
      <c r="M148" s="13" t="inlineStr">
        <is>
          <t>Request submitted / Request unsuccessful / Authorisation failed / Processing / Completed (per feature)</t>
        </is>
      </c>
      <c r="N148" s="13" t="inlineStr">
        <is>
          <t>Acct Dashboard Financing!A53:I53</t>
        </is>
      </c>
      <c r="O148" s="13" t="inlineStr">
        <is>
          <t>Not Run</t>
        </is>
      </c>
      <c r="P148" s="13" t="n"/>
      <c r="Q148" s="13" t="n"/>
      <c r="R148" s="14" t="inlineStr">
        <is>
          <t>Conditional coverage required.</t>
        </is>
      </c>
      <c r="S148" s="19" t="inlineStr">
        <is>
          <t>Credit Card API Design</t>
        </is>
      </c>
      <c r="T148" s="19" t="inlineStr">
        <is>
          <t>Block credit card</t>
        </is>
      </c>
      <c r="U148" s="19" t="inlineStr">
        <is>
          <t>POST</t>
        </is>
      </c>
      <c r="V148" s="19" t="inlineStr">
        <is>
          <t>/v1/external/cards/block</t>
        </is>
      </c>
      <c r="W148" s="19" t="inlineStr">
        <is>
          <t>dep-card</t>
        </is>
      </c>
      <c r="X148" s="19" t="inlineStr">
        <is>
          <t>ECLIPSE_Account Dashboard_Credit_Card_DDD_API_Design_v1_Workshop.xlsx</t>
        </is>
      </c>
      <c r="Y148" s="19" t="inlineStr">
        <is>
          <t>2.4.4 Block Card</t>
        </is>
      </c>
      <c r="Z148" s="19" t="inlineStr">
        <is>
          <t>API_Specs_Index!A25:H25</t>
        </is>
      </c>
      <c r="AA148" s="22" t="inlineStr">
        <is>
          <t>API-011</t>
        </is>
      </c>
      <c r="AB148" s="19" t="inlineStr">
        <is>
          <t>Mapped to Block credit card because the test case terms align with the 2.4.4 Block Card journey in the applicable API specification.</t>
        </is>
      </c>
      <c r="AC148" s="19" t="inlineStr">
        <is>
          <t>High</t>
        </is>
      </c>
      <c r="AD148" s="19" t="inlineStr">
        <is>
          <t>No additional validation notes were documented in the source index.</t>
        </is>
      </c>
    </row>
    <row r="149" ht="409.6" customHeight="1" s="2">
      <c r="A149" s="15" t="inlineStr">
        <is>
          <t>TC-B1-0148</t>
        </is>
      </c>
      <c r="B149" s="16" t="inlineStr">
        <is>
          <t>TS-B1-125</t>
        </is>
      </c>
      <c r="C149" s="16" t="inlineStr">
        <is>
          <t>Acct Dashboard Financing</t>
        </is>
      </c>
      <c r="D149" s="16" t="inlineStr">
        <is>
          <t>Dashboard - Credit Card / Card Management</t>
        </is>
      </c>
      <c r="E149" s="16" t="inlineStr">
        <is>
          <t>Validate 2.4.4.2 Block Card Notif for Credit Card (JCB)</t>
        </is>
      </c>
      <c r="F149" s="16" t="inlineStr">
        <is>
          <t>Functional</t>
        </is>
      </c>
      <c r="G149" s="16" t="inlineStr">
        <is>
          <t>High</t>
        </is>
      </c>
      <c r="H149" s="16" t="inlineStr">
        <is>
          <t>Eligible user and product are available. Trigger the stated condition: Conditional Step 45 - if block action submitted</t>
        </is>
      </c>
      <c r="I149" s="16" t="inlineStr">
        <is>
          <t>Credit Card (JCB)</t>
        </is>
      </c>
      <c r="J149" s="16" t="inlineStr">
        <is>
          <t>1. Open Credit Card (JCB).
2. Navigate to 2.4.4.2 Block Card Notif.
3. Perform the action or trigger described by: Conditional Step 45 - if block action submitted.
4. Observe the page, validation, navigation, and resulting state.</t>
        </is>
      </c>
      <c r="K149" s="16" t="inlineStr">
        <is>
          <t>2.4.4.2 Block Card Notif behaves according to the mapped requirement (Conditional Step 45 - if block action submitted); data, controls, navigation, and status are accurate and consistent.</t>
        </is>
      </c>
      <c r="L149" s="16" t="inlineStr">
        <is>
          <t>A&amp;A - refer to Authentication &amp; Authorisation FSD</t>
        </is>
      </c>
      <c r="M149" s="16" t="inlineStr">
        <is>
          <t>Request submitted / Request unsuccessful / Authorisation failed / Processing / Completed (per feature)</t>
        </is>
      </c>
      <c r="N149" s="16" t="inlineStr">
        <is>
          <t>Acct Dashboard Financing!A54:I54</t>
        </is>
      </c>
      <c r="O149" s="16" t="inlineStr">
        <is>
          <t>Not Run</t>
        </is>
      </c>
      <c r="P149" s="16" t="n"/>
      <c r="Q149" s="16" t="n"/>
      <c r="R149" s="17" t="inlineStr">
        <is>
          <t>Conditional coverage required.</t>
        </is>
      </c>
      <c r="S149" s="19" t="inlineStr">
        <is>
          <t>Credit Card API Design</t>
        </is>
      </c>
      <c r="T149" s="19" t="inlineStr">
        <is>
          <t>Block credit card</t>
        </is>
      </c>
      <c r="U149" s="19" t="inlineStr">
        <is>
          <t>POST</t>
        </is>
      </c>
      <c r="V149" s="19" t="inlineStr">
        <is>
          <t>/v1/external/cards/block</t>
        </is>
      </c>
      <c r="W149" s="19" t="inlineStr">
        <is>
          <t>dep-card</t>
        </is>
      </c>
      <c r="X149" s="19" t="inlineStr">
        <is>
          <t>ECLIPSE_Account Dashboard_Credit_Card_DDD_API_Design_v1_Workshop.xlsx</t>
        </is>
      </c>
      <c r="Y149" s="19" t="inlineStr">
        <is>
          <t>2.4.4 Block Card</t>
        </is>
      </c>
      <c r="Z149" s="19" t="inlineStr">
        <is>
          <t>API_Specs_Index!A25:H25</t>
        </is>
      </c>
      <c r="AA149" s="22" t="inlineStr">
        <is>
          <t>API-011</t>
        </is>
      </c>
      <c r="AB149" s="19" t="inlineStr">
        <is>
          <t>Mapped to Block credit card because the test case terms align with the 2.4.4 Block Card journey in the applicable API specification.</t>
        </is>
      </c>
      <c r="AC149" s="19" t="inlineStr">
        <is>
          <t>High</t>
        </is>
      </c>
      <c r="AD149" s="19" t="inlineStr">
        <is>
          <t>No additional validation notes were documented in the source index.</t>
        </is>
      </c>
    </row>
    <row r="150" ht="409.6" customHeight="1" s="2">
      <c r="A150" s="12" t="inlineStr">
        <is>
          <t>TC-B1-0149</t>
        </is>
      </c>
      <c r="B150" s="13" t="inlineStr">
        <is>
          <t>TS-B1-126</t>
        </is>
      </c>
      <c r="C150" s="13" t="inlineStr">
        <is>
          <t>Acct Dashboard Financing</t>
        </is>
      </c>
      <c r="D150" s="13" t="inlineStr">
        <is>
          <t>Dashboard - Credit Card / Card Management</t>
        </is>
      </c>
      <c r="E150" s="13" t="inlineStr">
        <is>
          <t>Validate 2.4.5 Unblock Card for Credit Card (JCB)</t>
        </is>
      </c>
      <c r="F150" s="13" t="inlineStr">
        <is>
          <t>Negative</t>
        </is>
      </c>
      <c r="G150" s="13" t="inlineStr">
        <is>
          <t>High</t>
        </is>
      </c>
      <c r="H150" s="13" t="inlineStr">
        <is>
          <t>Eligible user and product are available. Trigger the stated condition: Conditional Step 46 - when card is temporarily blocked by eligible channel</t>
        </is>
      </c>
      <c r="I150" s="13" t="inlineStr">
        <is>
          <t>Credit Card (JCB)</t>
        </is>
      </c>
      <c r="J150" s="13" t="inlineStr">
        <is>
          <t>1. Open Credit Card (JCB).
2. Navigate to 2.4.5 Unblock Card.
3. Perform the action or trigger described by: Conditional Step 46 - when card is temporarily blocked by eligible channel.
4. Observe the page, validation, navigation, and resulting state.</t>
        </is>
      </c>
      <c r="K150" s="13" t="inlineStr">
        <is>
          <t>2.4.5 Unblock Card behaves according to the mapped requirement (Conditional Step 46 - when card is temporarily blocked by eligible channel); data, controls, navigation, and status are accurate and consistent.</t>
        </is>
      </c>
      <c r="L150" s="13" t="inlineStr">
        <is>
          <t>A&amp;A - refer to Authentication &amp; Authorisation FSD</t>
        </is>
      </c>
      <c r="M150" s="13" t="inlineStr">
        <is>
          <t>Request submitted / Request unsuccessful / Authorisation failed / Processing / Completed (per feature)</t>
        </is>
      </c>
      <c r="N150" s="13" t="inlineStr">
        <is>
          <t>Acct Dashboard Financing!A55:I55</t>
        </is>
      </c>
      <c r="O150" s="13" t="inlineStr">
        <is>
          <t>Not Run</t>
        </is>
      </c>
      <c r="P150" s="13" t="n"/>
      <c r="Q150" s="13" t="n"/>
      <c r="R150" s="14" t="inlineStr">
        <is>
          <t>Conditional coverage required.</t>
        </is>
      </c>
      <c r="S150" s="19" t="inlineStr">
        <is>
          <t>Credit Card API Design</t>
        </is>
      </c>
      <c r="T150" s="19" t="inlineStr">
        <is>
          <t>Unblock credit card</t>
        </is>
      </c>
      <c r="U150" s="19" t="inlineStr">
        <is>
          <t>POST</t>
        </is>
      </c>
      <c r="V150" s="19" t="inlineStr">
        <is>
          <t>/v1/external/cards/unblock</t>
        </is>
      </c>
      <c r="W150" s="19" t="inlineStr">
        <is>
          <t>dep-card</t>
        </is>
      </c>
      <c r="X150" s="19" t="inlineStr">
        <is>
          <t>ECLIPSE_Account Dashboard_Credit_Card_DDD_API_Design_v1_Workshop.xlsx</t>
        </is>
      </c>
      <c r="Y150" s="19" t="inlineStr">
        <is>
          <t>2.4.5 Unblock Card</t>
        </is>
      </c>
      <c r="Z150" s="19" t="inlineStr">
        <is>
          <t>API_Specs_Index!A26:H26</t>
        </is>
      </c>
      <c r="AA150" s="22" t="inlineStr">
        <is>
          <t>API-012</t>
        </is>
      </c>
      <c r="AB150" s="19" t="inlineStr">
        <is>
          <t>Mapped to Unblock credit card because the test case terms align with the 2.4.5 Unblock Card journey in the applicable API specification.</t>
        </is>
      </c>
      <c r="AC150" s="19" t="inlineStr">
        <is>
          <t>High</t>
        </is>
      </c>
      <c r="AD150" s="19" t="inlineStr">
        <is>
          <t>No Screen User Action Business Logic API Name Microservice Ownership Method Endpoint Request JSON Success Response JSON Failed Response JSON ESB Eclipse DB Source BE Validation</t>
        </is>
      </c>
    </row>
    <row r="151" ht="409.6" customHeight="1" s="2">
      <c r="A151" s="15" t="inlineStr">
        <is>
          <t>TC-B1-0150</t>
        </is>
      </c>
      <c r="B151" s="16" t="inlineStr">
        <is>
          <t>TS-B1-127</t>
        </is>
      </c>
      <c r="C151" s="16" t="inlineStr">
        <is>
          <t>Acct Dashboard Financing</t>
        </is>
      </c>
      <c r="D151" s="16" t="inlineStr">
        <is>
          <t>Dashboard - Credit Card / Card Management</t>
        </is>
      </c>
      <c r="E151" s="16" t="inlineStr">
        <is>
          <t>Validate 2.4.5.1 Unblock Card Ack for Credit Card (JCB)</t>
        </is>
      </c>
      <c r="F151" s="16" t="inlineStr">
        <is>
          <t>Functional</t>
        </is>
      </c>
      <c r="G151" s="16" t="inlineStr">
        <is>
          <t>High</t>
        </is>
      </c>
      <c r="H151" s="16" t="inlineStr">
        <is>
          <t>Eligible user and product are available. Trigger the stated condition: Conditional Step 47 - if unblock action submitted</t>
        </is>
      </c>
      <c r="I151" s="16" t="inlineStr">
        <is>
          <t>Credit Card (JCB)</t>
        </is>
      </c>
      <c r="J151" s="16" t="inlineStr">
        <is>
          <t>1. Open Credit Card (JCB).
2. Navigate to 2.4.5.1 Unblock Card Ack.
3. Perform the action or trigger described by: Conditional Step 47 - if unblock action submitted.
4. Observe the page, validation, navigation, and resulting state.</t>
        </is>
      </c>
      <c r="K151" s="16" t="inlineStr">
        <is>
          <t>2.4.5.1 Unblock Card Ack behaves according to the mapped requirement (Conditional Step 47 - if unblock action submitted); data, controls, navigation, and status are accurate and consistent.</t>
        </is>
      </c>
      <c r="L151" s="16" t="inlineStr">
        <is>
          <t>A&amp;A - refer to Authentication &amp; Authorisation FSD</t>
        </is>
      </c>
      <c r="M151" s="16" t="inlineStr">
        <is>
          <t>Request submitted / Request unsuccessful / Authorisation failed / Processing / Completed (per feature)</t>
        </is>
      </c>
      <c r="N151" s="16" t="inlineStr">
        <is>
          <t>Acct Dashboard Financing!A56:I56</t>
        </is>
      </c>
      <c r="O151" s="16" t="inlineStr">
        <is>
          <t>Not Run</t>
        </is>
      </c>
      <c r="P151" s="16" t="n"/>
      <c r="Q151" s="16" t="n"/>
      <c r="R151" s="17" t="inlineStr">
        <is>
          <t>Conditional coverage required.</t>
        </is>
      </c>
      <c r="S151" s="19" t="inlineStr">
        <is>
          <t>Credit Card API Design</t>
        </is>
      </c>
      <c r="T151" s="19" t="inlineStr">
        <is>
          <t>Unblock credit card</t>
        </is>
      </c>
      <c r="U151" s="19" t="inlineStr">
        <is>
          <t>POST</t>
        </is>
      </c>
      <c r="V151" s="19" t="inlineStr">
        <is>
          <t>/v1/external/cards/unblock</t>
        </is>
      </c>
      <c r="W151" s="19" t="inlineStr">
        <is>
          <t>dep-card</t>
        </is>
      </c>
      <c r="X151" s="19" t="inlineStr">
        <is>
          <t>ECLIPSE_Account Dashboard_Credit_Card_DDD_API_Design_v1_Workshop.xlsx</t>
        </is>
      </c>
      <c r="Y151" s="19" t="inlineStr">
        <is>
          <t>2.4.5 Unblock Card</t>
        </is>
      </c>
      <c r="Z151" s="19" t="inlineStr">
        <is>
          <t>API_Specs_Index!A26:H26</t>
        </is>
      </c>
      <c r="AA151" s="22" t="inlineStr">
        <is>
          <t>API-012</t>
        </is>
      </c>
      <c r="AB151" s="19" t="inlineStr">
        <is>
          <t>Mapped to Unblock credit card because the test case terms align with the 2.4.5 Unblock Card journey in the applicable API specification.</t>
        </is>
      </c>
      <c r="AC151" s="19" t="inlineStr">
        <is>
          <t>High</t>
        </is>
      </c>
      <c r="AD151" s="19" t="inlineStr">
        <is>
          <t>No Screen User Action Business Logic API Name Microservice Ownership Method Endpoint Request JSON Success Response JSON Failed Response JSON ESB Eclipse DB Source BE Validation</t>
        </is>
      </c>
    </row>
    <row r="152" ht="409.6" customHeight="1" s="2">
      <c r="A152" s="12" t="inlineStr">
        <is>
          <t>TC-B1-0151</t>
        </is>
      </c>
      <c r="B152" s="13" t="inlineStr">
        <is>
          <t>TS-B1-128</t>
        </is>
      </c>
      <c r="C152" s="13" t="inlineStr">
        <is>
          <t>Acct Dashboard Financing</t>
        </is>
      </c>
      <c r="D152" s="13" t="inlineStr">
        <is>
          <t>Dashboard - Credit Card / Card Management</t>
        </is>
      </c>
      <c r="E152" s="13" t="inlineStr">
        <is>
          <t>Validate 2.4.5.2 Unblock Card Notif for Credit Card (JCB)</t>
        </is>
      </c>
      <c r="F152" s="13" t="inlineStr">
        <is>
          <t>Functional</t>
        </is>
      </c>
      <c r="G152" s="13" t="inlineStr">
        <is>
          <t>High</t>
        </is>
      </c>
      <c r="H152" s="13" t="inlineStr">
        <is>
          <t>Eligible user and product are available. Trigger the stated condition: Conditional Step 48 - if unblock action submitted</t>
        </is>
      </c>
      <c r="I152" s="13" t="inlineStr">
        <is>
          <t>Credit Card (JCB)</t>
        </is>
      </c>
      <c r="J152" s="13" t="inlineStr">
        <is>
          <t>1. Open Credit Card (JCB).
2. Navigate to 2.4.5.2 Unblock Card Notif.
3. Perform the action or trigger described by: Conditional Step 48 - if unblock action submitted.
4. Observe the page, validation, navigation, and resulting state.</t>
        </is>
      </c>
      <c r="K152" s="13" t="inlineStr">
        <is>
          <t>2.4.5.2 Unblock Card Notif behaves according to the mapped requirement (Conditional Step 48 - if unblock action submitted); data, controls, navigation, and status are accurate and consistent.</t>
        </is>
      </c>
      <c r="L152" s="13" t="inlineStr">
        <is>
          <t>A&amp;A - refer to Authentication &amp; Authorisation FSD</t>
        </is>
      </c>
      <c r="M152" s="13" t="inlineStr">
        <is>
          <t>Request submitted / Request unsuccessful / Authorisation failed / Processing / Completed (per feature)</t>
        </is>
      </c>
      <c r="N152" s="13" t="inlineStr">
        <is>
          <t>Acct Dashboard Financing!A57:I57</t>
        </is>
      </c>
      <c r="O152" s="13" t="inlineStr">
        <is>
          <t>Not Run</t>
        </is>
      </c>
      <c r="P152" s="13" t="n"/>
      <c r="Q152" s="13" t="n"/>
      <c r="R152" s="14" t="inlineStr">
        <is>
          <t>Conditional coverage required.</t>
        </is>
      </c>
      <c r="S152" s="19" t="inlineStr">
        <is>
          <t>Credit Card API Design</t>
        </is>
      </c>
      <c r="T152" s="19" t="inlineStr">
        <is>
          <t>Unblock credit card</t>
        </is>
      </c>
      <c r="U152" s="19" t="inlineStr">
        <is>
          <t>POST</t>
        </is>
      </c>
      <c r="V152" s="19" t="inlineStr">
        <is>
          <t>/v1/external/cards/unblock</t>
        </is>
      </c>
      <c r="W152" s="19" t="inlineStr">
        <is>
          <t>dep-card</t>
        </is>
      </c>
      <c r="X152" s="19" t="inlineStr">
        <is>
          <t>ECLIPSE_Account Dashboard_Credit_Card_DDD_API_Design_v1_Workshop.xlsx</t>
        </is>
      </c>
      <c r="Y152" s="19" t="inlineStr">
        <is>
          <t>2.4.5 Unblock Card</t>
        </is>
      </c>
      <c r="Z152" s="19" t="inlineStr">
        <is>
          <t>API_Specs_Index!A26:H26</t>
        </is>
      </c>
      <c r="AA152" s="22" t="inlineStr">
        <is>
          <t>API-012</t>
        </is>
      </c>
      <c r="AB152" s="19" t="inlineStr">
        <is>
          <t>Mapped to Unblock credit card because the test case terms align with the 2.4.5 Unblock Card journey in the applicable API specification.</t>
        </is>
      </c>
      <c r="AC152" s="19" t="inlineStr">
        <is>
          <t>High</t>
        </is>
      </c>
      <c r="AD152" s="19" t="inlineStr">
        <is>
          <t>No Screen User Action Business Logic API Name Microservice Ownership Method Endpoint Request JSON Success Response JSON Failed Response JSON ESB Eclipse DB Source BE Validation</t>
        </is>
      </c>
    </row>
    <row r="153" ht="409.6" customHeight="1" s="2">
      <c r="A153" s="15" t="inlineStr">
        <is>
          <t>TC-B1-0152</t>
        </is>
      </c>
      <c r="B153" s="16" t="inlineStr">
        <is>
          <t>TS-B1-129</t>
        </is>
      </c>
      <c r="C153" s="16" t="inlineStr">
        <is>
          <t>Acct Dashboard Financing</t>
        </is>
      </c>
      <c r="D153" s="16" t="inlineStr">
        <is>
          <t>Dashboard - Credit Card / Card Management</t>
        </is>
      </c>
      <c r="E153" s="16" t="inlineStr">
        <is>
          <t>Validate 2.4.6 Replace &amp; Renew Card for Credit Card (JCB)</t>
        </is>
      </c>
      <c r="F153" s="16" t="inlineStr">
        <is>
          <t>Functional</t>
        </is>
      </c>
      <c r="G153" s="16" t="inlineStr">
        <is>
          <t>Medium</t>
        </is>
      </c>
      <c r="H153" s="16" t="inlineStr">
        <is>
          <t>Eligible user and product are available. Trigger the stated condition: Conditional Step 49 - replace card flow</t>
        </is>
      </c>
      <c r="I153" s="16" t="inlineStr">
        <is>
          <t>Credit Card (JCB)</t>
        </is>
      </c>
      <c r="J153" s="16" t="inlineStr">
        <is>
          <t>1. Open Credit Card (JCB).
2. Navigate to 2.4.6 Replace &amp; Renew Card.
3. Perform the action or trigger described by: Conditional Step 49 - replace card flow.
4. Observe the page, validation, navigation, and resulting state.</t>
        </is>
      </c>
      <c r="K153" s="16" t="inlineStr">
        <is>
          <t>2.4.6 Replace &amp; Renew Card behaves according to the mapped requirement (Conditional Step 49 - replace card flow); data, controls, navigation, and status are accurate and consistent.</t>
        </is>
      </c>
      <c r="L153" s="16" t="inlineStr">
        <is>
          <t>A&amp;A - refer to Authentication &amp; Authorisation FSD</t>
        </is>
      </c>
      <c r="M153" s="16" t="inlineStr">
        <is>
          <t>Request submitted / Request unsuccessful / Authorisation failed / Processing / Completed (per feature)</t>
        </is>
      </c>
      <c r="N153" s="16" t="inlineStr">
        <is>
          <t>Acct Dashboard Financing!A58:I58</t>
        </is>
      </c>
      <c r="O153" s="16" t="inlineStr">
        <is>
          <t>Not Run</t>
        </is>
      </c>
      <c r="P153" s="16" t="n"/>
      <c r="Q153" s="16" t="n"/>
      <c r="R153" s="17" t="inlineStr">
        <is>
          <t>Conditional coverage required.</t>
        </is>
      </c>
      <c r="S153" s="19" t="inlineStr">
        <is>
          <t>Credit Card API Design</t>
        </is>
      </c>
      <c r="T153" s="19" t="inlineStr">
        <is>
          <t>Credit card replacement</t>
        </is>
      </c>
      <c r="U153" s="19" t="inlineStr">
        <is>
          <t>POST</t>
        </is>
      </c>
      <c r="V153" s="19" t="inlineStr">
        <is>
          <t>/v1/external/credit-card/replacement</t>
        </is>
      </c>
      <c r="W153" s="19" t="inlineStr">
        <is>
          <t>dep-card</t>
        </is>
      </c>
      <c r="X153" s="19" t="inlineStr">
        <is>
          <t>ECLIPSE_Account Dashboard_Credit_Card_DDD_API_Design_v1_Workshop.xlsx</t>
        </is>
      </c>
      <c r="Y153" s="19" t="inlineStr">
        <is>
          <t>2.4.6 Replace &amp; Renew Card</t>
        </is>
      </c>
      <c r="Z153" s="19" t="inlineStr">
        <is>
          <t>API_Specs_Index!A27:H27</t>
        </is>
      </c>
      <c r="AA153" s="22" t="inlineStr">
        <is>
          <t>API-013</t>
        </is>
      </c>
      <c r="AB153" s="19" t="inlineStr">
        <is>
          <t>Mapped to Credit card replacement because the test case terms align with the 2.4.6 Replace &amp; Renew Card journey in the applicable API specification.</t>
        </is>
      </c>
      <c r="AC153" s="19" t="inlineStr">
        <is>
          <t>High</t>
        </is>
      </c>
      <c r="AD153" s="19" t="inlineStr">
        <is>
          <t>No additional validation notes were documented in the source index.</t>
        </is>
      </c>
    </row>
    <row r="154" ht="409.6" customHeight="1" s="2">
      <c r="A154" s="12" t="inlineStr">
        <is>
          <t>TC-B1-0153</t>
        </is>
      </c>
      <c r="B154" s="13" t="inlineStr">
        <is>
          <t>TS-B1-130</t>
        </is>
      </c>
      <c r="C154" s="13" t="inlineStr">
        <is>
          <t>Acct Dashboard Financing</t>
        </is>
      </c>
      <c r="D154" s="13" t="inlineStr">
        <is>
          <t>Dashboard - Credit Card / Card Management</t>
        </is>
      </c>
      <c r="E154" s="13" t="inlineStr">
        <is>
          <t>Validate 2.4.6.1 R&amp;R Ack for Credit Card (JCB)</t>
        </is>
      </c>
      <c r="F154" s="13" t="inlineStr">
        <is>
          <t>Functional</t>
        </is>
      </c>
      <c r="G154" s="13" t="inlineStr">
        <is>
          <t>Medium</t>
        </is>
      </c>
      <c r="H154" s="13" t="inlineStr">
        <is>
          <t>Eligible user and product are available. Trigger the stated condition: Conditional Step 50 - if replace request submitted</t>
        </is>
      </c>
      <c r="I154" s="13" t="inlineStr">
        <is>
          <t>Credit Card (JCB)</t>
        </is>
      </c>
      <c r="J154" s="13" t="inlineStr">
        <is>
          <t>1. Open Credit Card (JCB).
2. Navigate to 2.4.6.1 R&amp;R Ack.
3. Perform the action or trigger described by: Conditional Step 50 - if replace request submitted.
4. Observe the page, validation, navigation, and resulting state.</t>
        </is>
      </c>
      <c r="K154" s="13" t="inlineStr">
        <is>
          <t>2.4.6.1 R&amp;R Ack behaves according to the mapped requirement (Conditional Step 50 - if replace request submitted); data, controls, navigation, and status are accurate and consistent.</t>
        </is>
      </c>
      <c r="L154" s="13" t="inlineStr">
        <is>
          <t>A&amp;A - refer to Authentication &amp; Authorisation FSD</t>
        </is>
      </c>
      <c r="M154" s="13" t="inlineStr">
        <is>
          <t>Request submitted / Request unsuccessful / Authorisation failed / Processing / Completed (per feature)</t>
        </is>
      </c>
      <c r="N154" s="13" t="inlineStr">
        <is>
          <t>Acct Dashboard Financing!A59:I59</t>
        </is>
      </c>
      <c r="O154" s="13" t="inlineStr">
        <is>
          <t>Not Run</t>
        </is>
      </c>
      <c r="P154" s="13" t="n"/>
      <c r="Q154" s="13" t="n"/>
      <c r="R154" s="14" t="inlineStr">
        <is>
          <t>Conditional coverage required.</t>
        </is>
      </c>
      <c r="S154" s="19" t="inlineStr">
        <is>
          <t>Credit Card API Design</t>
        </is>
      </c>
      <c r="T154" s="19" t="inlineStr">
        <is>
          <t>Cards dashboard</t>
        </is>
      </c>
      <c r="U154" s="19" t="inlineStr">
        <is>
          <t>GET</t>
        </is>
      </c>
      <c r="V154" s="19" t="inlineStr">
        <is>
          <t>/v1/external/accounts?accountGroup={accountGroup}</t>
        </is>
      </c>
      <c r="W154" s="19" t="inlineStr">
        <is>
          <t>dep-dashboard</t>
        </is>
      </c>
      <c r="X154" s="19" t="inlineStr">
        <is>
          <t>ECLIPSE_Account Dashboard_Credit_Card_DDD_API_Design_v1_Workshop.xlsx</t>
        </is>
      </c>
      <c r="Y154" s="19" t="inlineStr">
        <is>
          <t>2.1 CC Dashboard - Landing</t>
        </is>
      </c>
      <c r="Z154" s="19" t="inlineStr">
        <is>
          <t>API_Specs_Index!A2:H2</t>
        </is>
      </c>
      <c r="AA154" s="22" t="inlineStr">
        <is>
          <t>API-001</t>
        </is>
      </c>
      <c r="AB154" s="19" t="inlineStr">
        <is>
          <t>Mapped to Cards dashboard because the test case terms align with the 2.1 CC Dashboard - Landing journey in the applicable API specification.</t>
        </is>
      </c>
      <c r="AC154" s="19" t="inlineStr">
        <is>
          <t>Medium</t>
        </is>
      </c>
      <c r="AD154" s="19" t="inlineStr">
        <is>
          <t>1 User tap "Cards" and screen is loaded N/A dep-dashboard GET /v1/external/accounts?accountGroup={accountGroup} example : /v1/external/accounts?accountGroup=CARD { "status": 200, "message": "Request processed successfully", "timestamp": "2026-01-1...</t>
        </is>
      </c>
    </row>
    <row r="155" ht="409.6" customHeight="1" s="2">
      <c r="A155" s="15" t="inlineStr">
        <is>
          <t>TC-B1-0154</t>
        </is>
      </c>
      <c r="B155" s="16" t="inlineStr">
        <is>
          <t>TS-B1-131</t>
        </is>
      </c>
      <c r="C155" s="16" t="inlineStr">
        <is>
          <t>Acct Dashboard Financing</t>
        </is>
      </c>
      <c r="D155" s="16" t="inlineStr">
        <is>
          <t>Dashboard - Credit Card / Card Management</t>
        </is>
      </c>
      <c r="E155" s="16" t="inlineStr">
        <is>
          <t>Validate 2.4.6.2 R&amp;R Notif for Credit Card (JCB)</t>
        </is>
      </c>
      <c r="F155" s="16" t="inlineStr">
        <is>
          <t>Functional</t>
        </is>
      </c>
      <c r="G155" s="16" t="inlineStr">
        <is>
          <t>Medium</t>
        </is>
      </c>
      <c r="H155" s="16" t="inlineStr">
        <is>
          <t>Eligible user and product are available. Trigger the stated condition: Conditional Step 51 - if replace request submitted</t>
        </is>
      </c>
      <c r="I155" s="16" t="inlineStr">
        <is>
          <t>Credit Card (JCB)</t>
        </is>
      </c>
      <c r="J155" s="16" t="inlineStr">
        <is>
          <t>1. Open Credit Card (JCB).
2. Navigate to 2.4.6.2 R&amp;R Notif.
3. Perform the action or trigger described by: Conditional Step 51 - if replace request submitted.
4. Observe the page, validation, navigation, and resulting state.</t>
        </is>
      </c>
      <c r="K155" s="16" t="inlineStr">
        <is>
          <t>2.4.6.2 R&amp;R Notif behaves according to the mapped requirement (Conditional Step 51 - if replace request submitted); data, controls, navigation, and status are accurate and consistent.</t>
        </is>
      </c>
      <c r="L155" s="16" t="inlineStr">
        <is>
          <t>A&amp;A - refer to Authentication &amp; Authorisation FSD</t>
        </is>
      </c>
      <c r="M155" s="16" t="inlineStr">
        <is>
          <t>Request submitted / Request unsuccessful / Authorisation failed / Processing / Completed (per feature)</t>
        </is>
      </c>
      <c r="N155" s="16" t="inlineStr">
        <is>
          <t>Acct Dashboard Financing!A60:I60</t>
        </is>
      </c>
      <c r="O155" s="16" t="inlineStr">
        <is>
          <t>Not Run</t>
        </is>
      </c>
      <c r="P155" s="16" t="n"/>
      <c r="Q155" s="16" t="n"/>
      <c r="R155" s="17" t="inlineStr">
        <is>
          <t>Conditional coverage required.</t>
        </is>
      </c>
      <c r="S155" s="19" t="inlineStr">
        <is>
          <t>Credit Card API Design</t>
        </is>
      </c>
      <c r="T155" s="19" t="inlineStr">
        <is>
          <t>Cards dashboard</t>
        </is>
      </c>
      <c r="U155" s="19" t="inlineStr">
        <is>
          <t>GET</t>
        </is>
      </c>
      <c r="V155" s="19" t="inlineStr">
        <is>
          <t>/v1/external/accounts?accountGroup={accountGroup}</t>
        </is>
      </c>
      <c r="W155" s="19" t="inlineStr">
        <is>
          <t>dep-dashboard</t>
        </is>
      </c>
      <c r="X155" s="19" t="inlineStr">
        <is>
          <t>ECLIPSE_Account Dashboard_Credit_Card_DDD_API_Design_v1_Workshop.xlsx</t>
        </is>
      </c>
      <c r="Y155" s="19" t="inlineStr">
        <is>
          <t>2.1 CC Dashboard - Landing</t>
        </is>
      </c>
      <c r="Z155" s="19" t="inlineStr">
        <is>
          <t>API_Specs_Index!A2:H2</t>
        </is>
      </c>
      <c r="AA155" s="22" t="inlineStr">
        <is>
          <t>API-001</t>
        </is>
      </c>
      <c r="AB155" s="19" t="inlineStr">
        <is>
          <t>Mapped to Cards dashboard because the test case terms align with the 2.1 CC Dashboard - Landing journey in the applicable API specification.</t>
        </is>
      </c>
      <c r="AC155" s="19" t="inlineStr">
        <is>
          <t>Medium</t>
        </is>
      </c>
      <c r="AD155" s="19" t="inlineStr">
        <is>
          <t>1 User tap "Cards" and screen is loaded N/A dep-dashboard GET /v1/external/accounts?accountGroup={accountGroup} example : /v1/external/accounts?accountGroup=CARD { "status": 200, "message": "Request processed successfully", "timestamp": "2026-01-1...</t>
        </is>
      </c>
    </row>
    <row r="156" ht="386.4" customHeight="1" s="2">
      <c r="A156" s="12" t="inlineStr">
        <is>
          <t>TC-B1-0155</t>
        </is>
      </c>
      <c r="B156" s="13" t="inlineStr">
        <is>
          <t>TS-B1-132</t>
        </is>
      </c>
      <c r="C156" s="13" t="inlineStr">
        <is>
          <t>Acct Dashboard Financing</t>
        </is>
      </c>
      <c r="D156" s="13" t="inlineStr">
        <is>
          <t>Dashboard - Credit Card / Card Management</t>
        </is>
      </c>
      <c r="E156" s="13" t="inlineStr">
        <is>
          <t>Validate 2.4.7 Reset PIN for Credit Card (JCB)</t>
        </is>
      </c>
      <c r="F156" s="13" t="inlineStr">
        <is>
          <t>Functional</t>
        </is>
      </c>
      <c r="G156" s="13" t="inlineStr">
        <is>
          <t>Medium</t>
        </is>
      </c>
      <c r="H156" s="13" t="inlineStr">
        <is>
          <t>Eligible user and product are available. Trigger the stated condition: Conditional Step 52 - reset PIN flow</t>
        </is>
      </c>
      <c r="I156" s="13" t="inlineStr">
        <is>
          <t>Credit Card (JCB)</t>
        </is>
      </c>
      <c r="J156" s="13" t="inlineStr">
        <is>
          <t>1. Open Credit Card (JCB).
2. Navigate to 2.4.7 Reset PIN.
3. Perform the action or trigger described by: Conditional Step 52 - reset PIN flow.
4. Observe the page, validation, navigation, and resulting state.</t>
        </is>
      </c>
      <c r="K156" s="13" t="inlineStr">
        <is>
          <t>2.4.7 Reset PIN behaves according to the mapped requirement (Conditional Step 52 - reset PIN flow); data, controls, navigation, and status are accurate and consistent.</t>
        </is>
      </c>
      <c r="L156" s="13" t="inlineStr">
        <is>
          <t>A&amp;A - refer to Authentication &amp; Authorisation FSD</t>
        </is>
      </c>
      <c r="M156" s="13" t="inlineStr">
        <is>
          <t>Request submitted / Request unsuccessful / Authorisation failed / Processing / Completed (per feature)</t>
        </is>
      </c>
      <c r="N156" s="13" t="inlineStr">
        <is>
          <t>Acct Dashboard Financing!A61:I61</t>
        </is>
      </c>
      <c r="O156" s="13" t="inlineStr">
        <is>
          <t>Not Run</t>
        </is>
      </c>
      <c r="P156" s="13" t="n"/>
      <c r="Q156" s="13" t="n"/>
      <c r="R156" s="14" t="inlineStr">
        <is>
          <t>Conditional coverage required.</t>
        </is>
      </c>
      <c r="S156" s="19" t="inlineStr">
        <is>
          <t>Credit Card API Design</t>
        </is>
      </c>
      <c r="T156" s="19" t="inlineStr">
        <is>
          <t>Reset credit card PIN</t>
        </is>
      </c>
      <c r="U156" s="19" t="inlineStr">
        <is>
          <t>POST</t>
        </is>
      </c>
      <c r="V156" s="19" t="inlineStr">
        <is>
          <t>/v1/external/cards/reset-pin</t>
        </is>
      </c>
      <c r="W156" s="19" t="inlineStr">
        <is>
          <t>dep-card</t>
        </is>
      </c>
      <c r="X156" s="19" t="inlineStr">
        <is>
          <t>ECLIPSE_Account Dashboard_Credit_Card_DDD_API_Design_v1_Workshop.xlsx</t>
        </is>
      </c>
      <c r="Y156" s="19" t="inlineStr">
        <is>
          <t>2.4.7 Reset PIN</t>
        </is>
      </c>
      <c r="Z156" s="19" t="inlineStr">
        <is>
          <t>API_Specs_Index!A29:H29</t>
        </is>
      </c>
      <c r="AA156" s="22" t="inlineStr">
        <is>
          <t>API-014</t>
        </is>
      </c>
      <c r="AB156" s="19" t="inlineStr">
        <is>
          <t>Mapped to Reset credit card PIN because the test case terms align with the 2.4.7 Reset PIN journey in the applicable API specification.</t>
        </is>
      </c>
      <c r="AC156" s="19" t="inlineStr">
        <is>
          <t>High</t>
        </is>
      </c>
      <c r="AD156" s="19" t="inlineStr">
        <is>
          <t>No Screen User Action Business Logic API Name Microservice Ownership Method Endpoint Request JSON Success Response JSON Failed Response JSON ESB Eclipse DB Source BE Validation; 1 When user key in PIN Upon click [Confirm] button, system to perform the following validations, in order: 1. If New PIN is empty, display in-line error message "Required field." 2. If New PIN is with value, but does not meet PIN requirements, dis...</t>
        </is>
      </c>
    </row>
    <row r="157" ht="409.6" customHeight="1" s="2">
      <c r="A157" s="15" t="inlineStr">
        <is>
          <t>TC-B1-0156</t>
        </is>
      </c>
      <c r="B157" s="16" t="inlineStr">
        <is>
          <t>TS-B1-133</t>
        </is>
      </c>
      <c r="C157" s="16" t="inlineStr">
        <is>
          <t>Acct Dashboard Financing</t>
        </is>
      </c>
      <c r="D157" s="16" t="inlineStr">
        <is>
          <t>Dashboard - Credit Card / Card Management</t>
        </is>
      </c>
      <c r="E157" s="16" t="inlineStr">
        <is>
          <t>Validate 2.4.8 Block Code for Credit Card (JCB)</t>
        </is>
      </c>
      <c r="F157" s="16" t="inlineStr">
        <is>
          <t>Functional</t>
        </is>
      </c>
      <c r="G157" s="16" t="inlineStr">
        <is>
          <t>High</t>
        </is>
      </c>
      <c r="H157" s="16" t="inlineStr">
        <is>
          <t>Eligible user and product are available. Trigger the stated condition: Conditional Step 53 - block code matrix governs status/feature gating</t>
        </is>
      </c>
      <c r="I157" s="16" t="inlineStr">
        <is>
          <t>Credit Card (JCB)</t>
        </is>
      </c>
      <c r="J157" s="16" t="inlineStr">
        <is>
          <t>1. Open Credit Card (JCB).
2. Navigate to 2.4.8 Block Code.
3. Perform the action or trigger described by: Conditional Step 53 - block code matrix governs status/feature gating.
4. Observe the page, validation, navigation, and resulting state.</t>
        </is>
      </c>
      <c r="K157" s="16" t="inlineStr">
        <is>
          <t>2.4.8 Block Code behaves according to the mapped requirement (Conditional Step 53 - block code matrix governs status/feature gating); data, controls, navigation, and status are accurate and consistent.</t>
        </is>
      </c>
      <c r="L157" s="16" t="inlineStr">
        <is>
          <t>A&amp;A - refer to Authentication &amp; Authorisation FSD</t>
        </is>
      </c>
      <c r="M157" s="16" t="inlineStr">
        <is>
          <t>Request submitted / Request unsuccessful / Authorisation failed / Processing / Completed (per feature)</t>
        </is>
      </c>
      <c r="N157" s="16" t="inlineStr">
        <is>
          <t>Acct Dashboard Financing!A62:I62</t>
        </is>
      </c>
      <c r="O157" s="16" t="inlineStr">
        <is>
          <t>Not Run</t>
        </is>
      </c>
      <c r="P157" s="16" t="n"/>
      <c r="Q157" s="16" t="n"/>
      <c r="R157" s="17" t="inlineStr">
        <is>
          <t>Conditional coverage required.</t>
        </is>
      </c>
      <c r="S157" s="19" t="inlineStr">
        <is>
          <t>Credit Card API Design</t>
        </is>
      </c>
      <c r="T157" s="19" t="inlineStr">
        <is>
          <t>Block credit card</t>
        </is>
      </c>
      <c r="U157" s="19" t="inlineStr">
        <is>
          <t>POST</t>
        </is>
      </c>
      <c r="V157" s="19" t="inlineStr">
        <is>
          <t>/v1/external/cards/block</t>
        </is>
      </c>
      <c r="W157" s="19" t="inlineStr">
        <is>
          <t>dep-card</t>
        </is>
      </c>
      <c r="X157" s="19" t="inlineStr">
        <is>
          <t>ECLIPSE_Account Dashboard_Credit_Card_DDD_API_Design_v1_Workshop.xlsx</t>
        </is>
      </c>
      <c r="Y157" s="19" t="inlineStr">
        <is>
          <t>2.4.4 Block Card</t>
        </is>
      </c>
      <c r="Z157" s="19" t="inlineStr">
        <is>
          <t>API_Specs_Index!A25:H25</t>
        </is>
      </c>
      <c r="AA157" s="22" t="inlineStr">
        <is>
          <t>API-011</t>
        </is>
      </c>
      <c r="AB157" s="19" t="inlineStr">
        <is>
          <t>Mapped to Block credit card because the test case terms align with the 2.4.4 Block Card journey in the applicable API specification.</t>
        </is>
      </c>
      <c r="AC157" s="19" t="inlineStr">
        <is>
          <t>High</t>
        </is>
      </c>
      <c r="AD157" s="19" t="inlineStr">
        <is>
          <t>No additional validation notes were documented in the source index.</t>
        </is>
      </c>
    </row>
    <row r="158" ht="303.6" customHeight="1" s="2">
      <c r="A158" s="12" t="inlineStr">
        <is>
          <t>TC-B1-0157</t>
        </is>
      </c>
      <c r="B158" s="13" t="inlineStr">
        <is>
          <t>TS-B1-134</t>
        </is>
      </c>
      <c r="C158" s="13" t="inlineStr">
        <is>
          <t>Acct Dashboard Financing</t>
        </is>
      </c>
      <c r="D158" s="13" t="inlineStr">
        <is>
          <t>Dashboard - Credit Card / Card Management</t>
        </is>
      </c>
      <c r="E158" s="13" t="inlineStr">
        <is>
          <t>Validate successful final state for Credit Card (JCB)</t>
        </is>
      </c>
      <c r="F158" s="13" t="inlineStr">
        <is>
          <t>Positive</t>
        </is>
      </c>
      <c r="G158" s="13" t="inlineStr">
        <is>
          <t>High</t>
        </is>
      </c>
      <c r="H158" s="13" t="inlineStr">
        <is>
          <t>All required inputs and services are valid. Expected statuses: Request submitted / Request unsuccessful / Authorisation failed / Processing / Completed (per feature)</t>
        </is>
      </c>
      <c r="I158" s="13" t="inlineStr">
        <is>
          <t>Credit Card (JCB)</t>
        </is>
      </c>
      <c r="J158" s="13" t="inlineStr">
        <is>
          <t>1. Complete the end-to-end journey with valid data.
2. Submit/confirm the final action.
3. Verify result, receipt/notification where applicable, and persisted state.</t>
        </is>
      </c>
      <c r="K158" s="13" t="inlineStr">
        <is>
          <t>A valid success status from the requirement is shown. The transaction or change is applied once, persisted, and reflected on refresh.</t>
        </is>
      </c>
      <c r="L158" s="13" t="inlineStr">
        <is>
          <t>A&amp;A - refer to Authentication &amp; Authorisation FSD</t>
        </is>
      </c>
      <c r="M158" s="13" t="inlineStr">
        <is>
          <t>Request submitted / Request unsuccessful / Authorisation failed / Processing / Completed (per feature)</t>
        </is>
      </c>
      <c r="N158" s="13" t="inlineStr">
        <is>
          <t>Acct Dashboard Financing!I1:I62</t>
        </is>
      </c>
      <c r="O158" s="13" t="inlineStr">
        <is>
          <t>Not Run</t>
        </is>
      </c>
      <c r="P158" s="13" t="n"/>
      <c r="Q158" s="13" t="n"/>
      <c r="R158" s="14" t="n"/>
      <c r="S158" s="19" t="inlineStr">
        <is>
          <t>Credit Card API Design</t>
        </is>
      </c>
      <c r="T158" s="19" t="inlineStr">
        <is>
          <t>Credit card transaction history</t>
        </is>
      </c>
      <c r="U158" s="19" t="inlineStr">
        <is>
          <t>GET</t>
        </is>
      </c>
      <c r="V158" s="19" t="inlineStr">
        <is>
          <t>/v1/external/accounts/account-type/{accountType}/account-id/{accountId}/transactions?startDate={startDate}&amp;endDate={endDate}&amp;page={page}&amp;limit={limit}</t>
        </is>
      </c>
      <c r="W158" s="19" t="inlineStr">
        <is>
          <t>info-card</t>
        </is>
      </c>
      <c r="X158" s="19" t="inlineStr">
        <is>
          <t>ECLIPSE_Account Dashboard_Credit_Card_DDD_API_Design_v1_Workshop.xlsx</t>
        </is>
      </c>
      <c r="Y158" s="19" t="inlineStr">
        <is>
          <t>2.2 CC &gt; Transactions</t>
        </is>
      </c>
      <c r="Z158" s="19" t="inlineStr">
        <is>
          <t>API_Specs_Index!A7:H7</t>
        </is>
      </c>
      <c r="AA158" s="22" t="inlineStr">
        <is>
          <t>API-004</t>
        </is>
      </c>
      <c r="AB158" s="19" t="inlineStr">
        <is>
          <t>Mapped to Credit card transaction history because the test case terms align with the 2.2 CC &gt; Transactions journey in the applicable API specification.</t>
        </is>
      </c>
      <c r="AC158" s="19" t="inlineStr">
        <is>
          <t>High</t>
        </is>
      </c>
      <c r="AD158" s="19" t="inlineStr">
        <is>
          <t>No Screen User Action Business Logic API Name Microservice Ownership Method Endpoint Request JSON Success Response JSON Failed Response JSON ESB Eclipse DB Source BE Validation; 1 User tap one of the card from "Cards" Dashboard When the screen is loaded, 1. It shall conduct block code check to show yellow label accordingly (e.g blocked, temporarily blocked) 2. It shall display Principal card by default and if there is any...</t>
        </is>
      </c>
    </row>
    <row r="159" ht="409.6" customHeight="1" s="2">
      <c r="A159" s="15" t="inlineStr">
        <is>
          <t>TC-B1-0158</t>
        </is>
      </c>
      <c r="B159" s="16" t="inlineStr">
        <is>
          <t>TS-B1-134</t>
        </is>
      </c>
      <c r="C159" s="16" t="inlineStr">
        <is>
          <t>Acct Dashboard Financing</t>
        </is>
      </c>
      <c r="D159" s="16" t="inlineStr">
        <is>
          <t>Dashboard - Credit Card / Card Management</t>
        </is>
      </c>
      <c r="E159" s="16" t="inlineStr">
        <is>
          <t>Validate service failure and retry for Credit Card (JCB)</t>
        </is>
      </c>
      <c r="F159" s="16" t="inlineStr">
        <is>
          <t>Negative</t>
        </is>
      </c>
      <c r="G159" s="16" t="inlineStr">
        <is>
          <t>High</t>
        </is>
      </c>
      <c r="H159" s="16" t="inlineStr">
        <is>
          <t>Journey is available; simulate a controlled downstream timeout or unsuccessful response. Expected statuses: Request submitted / Request unsuccessful / Authorisation failed / Processing / Completed (per feature)</t>
        </is>
      </c>
      <c r="I159" s="16" t="inlineStr">
        <is>
          <t>Credit Card (JCB)</t>
        </is>
      </c>
      <c r="J159" s="16" t="inlineStr">
        <is>
          <t>1. Progress to the final action.
2. Trigger a timeout, unavailable service, or unsuccessful response.
3. Verify the error message and retry behavior.
4. Retry after service recovery.</t>
        </is>
      </c>
      <c r="K159" s="16" t="inlineStr">
        <is>
          <t>No duplicate action occurs. The configured unsuccessful/processing state is shown, retry is safe, and final status becomes consistent after recovery.</t>
        </is>
      </c>
      <c r="L159" s="16" t="inlineStr">
        <is>
          <t>A&amp;A - refer to Authentication &amp; Authorisation FSD</t>
        </is>
      </c>
      <c r="M159" s="16" t="inlineStr">
        <is>
          <t>Request submitted / Request unsuccessful / Authorisation failed / Processing / Completed (per feature)</t>
        </is>
      </c>
      <c r="N159" s="16" t="inlineStr">
        <is>
          <t>Acct Dashboard Financing!I1:I62</t>
        </is>
      </c>
      <c r="O159" s="16" t="inlineStr">
        <is>
          <t>Not Run</t>
        </is>
      </c>
      <c r="P159" s="16" t="n"/>
      <c r="Q159" s="16" t="n"/>
      <c r="R159" s="17" t="n"/>
      <c r="S159" s="19" t="inlineStr">
        <is>
          <t>Credit Card API Design</t>
        </is>
      </c>
      <c r="T159" s="19" t="inlineStr">
        <is>
          <t>Cards dashboard</t>
        </is>
      </c>
      <c r="U159" s="19" t="inlineStr">
        <is>
          <t>GET</t>
        </is>
      </c>
      <c r="V159" s="19" t="inlineStr">
        <is>
          <t>/v1/external/accounts?accountGroup={accountGroup}</t>
        </is>
      </c>
      <c r="W159" s="19" t="inlineStr">
        <is>
          <t>dep-dashboard</t>
        </is>
      </c>
      <c r="X159" s="19" t="inlineStr">
        <is>
          <t>ECLIPSE_Account Dashboard_Credit_Card_DDD_API_Design_v1_Workshop.xlsx</t>
        </is>
      </c>
      <c r="Y159" s="19" t="inlineStr">
        <is>
          <t>2.1 CC Dashboard - Landing</t>
        </is>
      </c>
      <c r="Z159" s="19" t="inlineStr">
        <is>
          <t>API_Specs_Index!A2:H2</t>
        </is>
      </c>
      <c r="AA159" s="22" t="inlineStr">
        <is>
          <t>API-001</t>
        </is>
      </c>
      <c r="AB159" s="19" t="inlineStr">
        <is>
          <t>Mapped to Cards dashboard because the test case terms align with the 2.1 CC Dashboard - Landing journey in the applicable API specification.</t>
        </is>
      </c>
      <c r="AC159" s="19" t="inlineStr">
        <is>
          <t>Medium</t>
        </is>
      </c>
      <c r="AD159" s="19" t="inlineStr">
        <is>
          <t>1 User tap "Cards" and screen is loaded N/A dep-dashboard GET /v1/external/accounts?accountGroup={accountGroup} example : /v1/external/accounts?accountGroup=CARD { "status": 200, "message": "Request processed successfully", "timestamp": "2026-01-1...</t>
        </is>
      </c>
    </row>
    <row r="160" ht="409.6" customHeight="1" s="2">
      <c r="A160" s="12" t="inlineStr">
        <is>
          <t>TC-B1-0159</t>
        </is>
      </c>
      <c r="B160" s="13" t="inlineStr">
        <is>
          <t>TS-B1-135</t>
        </is>
      </c>
      <c r="C160" s="13" t="inlineStr">
        <is>
          <t>Acct Dashboard Non-Financing</t>
        </is>
      </c>
      <c r="D160" s="13" t="inlineStr">
        <is>
          <t>Dashboard — Deposits</t>
        </is>
      </c>
      <c r="E160" s="13" t="inlineStr">
        <is>
          <t>Open CASA: Regular Savings Account; Current Account (conventional and shariah) from valid entry point</t>
        </is>
      </c>
      <c r="F160" s="13" t="inlineStr">
        <is>
          <t>Positive</t>
        </is>
      </c>
      <c r="G160" s="13" t="inlineStr">
        <is>
          <t>Medium</t>
        </is>
      </c>
      <c r="H160" s="13" t="inlineStr">
        <is>
          <t>Eligible user: L3 post-login M2U ID holder with CASA account; personal (individual) — Joint-AND restrictions apply per NGBO config</t>
        </is>
      </c>
      <c r="I160" s="13"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60" s="13" t="inlineStr">
        <is>
          <t>1. Sign in at the required access level.
2. Navigate using: Account Dashboard Landing → Savings &amp; Current tab (default selected); or direct tap on account card.
3. Select CASA: Regular Savings Account; Current Account (conventional and shariah).</t>
        </is>
      </c>
      <c r="K160" s="13" t="inlineStr">
        <is>
          <t>The correct Dashboard — Deposits page opens and relevant product information is displayed without error.</t>
        </is>
      </c>
      <c r="L160" s="13" t="inlineStr">
        <is>
          <t>L1 → redirect to Login (A&amp;A FSD); L3 → direct access; S2U required for: Manage Linked Card, Block Account, Reactivate Account (Inactive)</t>
        </is>
      </c>
      <c r="M160" s="13" t="inlineStr">
        <is>
          <t>Account details displayed; Transaction list displayed; S2U success / unsuccessful / authorisation failed for Manage Linked Card, Block Account, Reactivate Account</t>
        </is>
      </c>
      <c r="N160" s="13" t="inlineStr">
        <is>
          <t>Acct Dashboard Non-Financing!B1:B45</t>
        </is>
      </c>
      <c r="O160" s="13" t="inlineStr">
        <is>
          <t>Not Run</t>
        </is>
      </c>
      <c r="P160" s="13" t="n"/>
      <c r="Q160" s="13" t="n"/>
      <c r="R160" s="14" t="n"/>
      <c r="S160" s="19" t="inlineStr">
        <is>
          <t>Debit Card API Design</t>
        </is>
      </c>
      <c r="T160" s="19" t="inlineStr">
        <is>
          <t>Debit card detail</t>
        </is>
      </c>
      <c r="U160" s="19" t="inlineStr">
        <is>
          <t>GET</t>
        </is>
      </c>
      <c r="V160" s="19" t="inlineStr">
        <is>
          <t>/v1/external/accounts/account-type/{accountType}/account-id/{accountId}/detail</t>
        </is>
      </c>
      <c r="W160" s="19" t="inlineStr">
        <is>
          <t>info-card</t>
        </is>
      </c>
      <c r="X160" s="19" t="inlineStr">
        <is>
          <t>ECLIPSE_Account Dashboard_Debit_Card_DDD_API_Design_v1_Workshop (1).xlsx</t>
        </is>
      </c>
      <c r="Y160" s="19" t="inlineStr">
        <is>
          <t>1.3.2 Card Details</t>
        </is>
      </c>
      <c r="Z160" s="19" t="inlineStr">
        <is>
          <t>API_Specs_Index!A5:H5</t>
        </is>
      </c>
      <c r="AA160" s="22" t="inlineStr">
        <is>
          <t>API-017</t>
        </is>
      </c>
      <c r="AB160" s="19" t="inlineStr">
        <is>
          <t>Mapped to Debit card detail because the test case terms align with the 1.3.2 Card Details journey in the applicable API specification.</t>
        </is>
      </c>
      <c r="AC160" s="19" t="inlineStr">
        <is>
          <t>High</t>
        </is>
      </c>
      <c r="AD160"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61" ht="409.6" customHeight="1" s="2">
      <c r="A161" s="15" t="inlineStr">
        <is>
          <t>TC-B1-0160</t>
        </is>
      </c>
      <c r="B161" s="16" t="inlineStr">
        <is>
          <t>TS-B1-135</t>
        </is>
      </c>
      <c r="C161" s="16" t="inlineStr">
        <is>
          <t>Acct Dashboard Non-Financing</t>
        </is>
      </c>
      <c r="D161" s="16" t="inlineStr">
        <is>
          <t>Dashboard — Deposits</t>
        </is>
      </c>
      <c r="E161" s="16" t="inlineStr">
        <is>
          <t>Validate ineligible or unavailable state for CASA: Regular Savings Account; Current Account (conventional and shariah)</t>
        </is>
      </c>
      <c r="F161" s="16" t="inlineStr">
        <is>
          <t>Negative</t>
        </is>
      </c>
      <c r="G161" s="16" t="inlineStr">
        <is>
          <t>High</t>
        </is>
      </c>
      <c r="H161" s="16" t="inlineStr">
        <is>
          <t>User or product does not meet one configured eligibility condition. Eligible baseline: L3 post-login M2U ID holder with CASA account; personal (individual) — Joint-AND restrictions apply per NGBO config</t>
        </is>
      </c>
      <c r="I161" s="16"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61" s="16" t="inlineStr">
        <is>
          <t>1. Prepare an ineligible, unsupported, blocked, or unavailable test profile.
2. Navigate using: Account Dashboard Landing → Savings &amp; Current tab (default selected); or direct tap on account card.
3. Attempt to open CASA: Regular Savings Account; Current Account (conventional and shariah).</t>
        </is>
      </c>
      <c r="K161" s="16" t="inlineStr">
        <is>
          <t>Access is prevented or the feature is hidden/disabled. A clear message is shown and no unauthorised data or action is exposed.</t>
        </is>
      </c>
      <c r="L161" s="16" t="inlineStr">
        <is>
          <t>L1 → redirect to Login (A&amp;A FSD); L3 → direct access; S2U required for: Manage Linked Card, Block Account, Reactivate Account (Inactive)</t>
        </is>
      </c>
      <c r="M161" s="16" t="inlineStr">
        <is>
          <t>Account details displayed; Transaction list displayed; S2U success / unsuccessful / authorisation failed for Manage Linked Card, Block Account, Reactivate Account</t>
        </is>
      </c>
      <c r="N161" s="16" t="inlineStr">
        <is>
          <t>Acct Dashboard Non-Financing!B1:B45</t>
        </is>
      </c>
      <c r="O161" s="16" t="inlineStr">
        <is>
          <t>Not Run</t>
        </is>
      </c>
      <c r="P161" s="16" t="n"/>
      <c r="Q161" s="16" t="n"/>
      <c r="R161" s="17" t="n"/>
      <c r="S161" s="19" t="inlineStr">
        <is>
          <t>Debit Card API Design</t>
        </is>
      </c>
      <c r="T161" s="19" t="inlineStr">
        <is>
          <t>Debit card detail</t>
        </is>
      </c>
      <c r="U161" s="19" t="inlineStr">
        <is>
          <t>GET</t>
        </is>
      </c>
      <c r="V161" s="19" t="inlineStr">
        <is>
          <t>/v1/external/accounts/account-type/{accountType}/account-id/{accountId}/detail</t>
        </is>
      </c>
      <c r="W161" s="19" t="inlineStr">
        <is>
          <t>info-card</t>
        </is>
      </c>
      <c r="X161" s="19" t="inlineStr">
        <is>
          <t>ECLIPSE_Account Dashboard_Debit_Card_DDD_API_Design_v1_Workshop (1).xlsx</t>
        </is>
      </c>
      <c r="Y161" s="19" t="inlineStr">
        <is>
          <t>1.3.2 Card Details</t>
        </is>
      </c>
      <c r="Z161" s="19" t="inlineStr">
        <is>
          <t>API_Specs_Index!A5:H5</t>
        </is>
      </c>
      <c r="AA161" s="22" t="inlineStr">
        <is>
          <t>API-017</t>
        </is>
      </c>
      <c r="AB161" s="19" t="inlineStr">
        <is>
          <t>Mapped to Debit card detail because the test case terms align with the 1.3.2 Card Details journey in the applicable API specification.</t>
        </is>
      </c>
      <c r="AC161" s="19" t="inlineStr">
        <is>
          <t>High</t>
        </is>
      </c>
      <c r="AD161"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62" ht="409.6" customHeight="1" s="2">
      <c r="A162" s="12" t="inlineStr">
        <is>
          <t>TC-B1-0161</t>
        </is>
      </c>
      <c r="B162" s="13" t="inlineStr">
        <is>
          <t>TS-B1-136</t>
        </is>
      </c>
      <c r="C162" s="13" t="inlineStr">
        <is>
          <t>Acct Dashboard Non-Financing</t>
        </is>
      </c>
      <c r="D162" s="13" t="inlineStr">
        <is>
          <t>Dashboard — Deposits</t>
        </is>
      </c>
      <c r="E162" s="13" t="inlineStr">
        <is>
          <t>Complete required authentication for CASA: Regular Savings Account; Current Account (conventional and shariah)</t>
        </is>
      </c>
      <c r="F162" s="13" t="inlineStr">
        <is>
          <t>Security</t>
        </is>
      </c>
      <c r="G162" s="13" t="inlineStr">
        <is>
          <t>High</t>
        </is>
      </c>
      <c r="H162" s="13" t="inlineStr">
        <is>
          <t>Eligible user; authentication method is active. Requirement: L1 → redirect to Login (A&amp;A FSD); L3 → direct access; S2U required for: Manage Linked Card, Block Account, Reactivate Account (Inactive)</t>
        </is>
      </c>
      <c r="I162" s="13"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62" s="13" t="inlineStr">
        <is>
          <t>1. Start the protected action.
2. Complete the configured authentication with valid credentials.
3. Continue the journey.</t>
        </is>
      </c>
      <c r="K162" s="13" t="inlineStr">
        <is>
          <t>Authentication succeeds, the protected action continues once, and the user returns to the correct journey context.</t>
        </is>
      </c>
      <c r="L162" s="13" t="inlineStr">
        <is>
          <t>L1 → redirect to Login (A&amp;A FSD); L3 → direct access; S2U required for: Manage Linked Card, Block Account, Reactivate Account (Inactive)</t>
        </is>
      </c>
      <c r="M162" s="13" t="inlineStr">
        <is>
          <t>Account details displayed; Transaction list displayed; S2U success / unsuccessful / authorisation failed for Manage Linked Card, Block Account, Reactivate Account</t>
        </is>
      </c>
      <c r="N162" s="13" t="inlineStr">
        <is>
          <t>Acct Dashboard Non-Financing!B1:B45</t>
        </is>
      </c>
      <c r="O162" s="13" t="inlineStr">
        <is>
          <t>Not Run</t>
        </is>
      </c>
      <c r="P162" s="13" t="n"/>
      <c r="Q162" s="13" t="n"/>
      <c r="R162" s="14" t="n"/>
      <c r="S162" s="19" t="inlineStr">
        <is>
          <t>Debit Card API Design</t>
        </is>
      </c>
      <c r="T162" s="19" t="inlineStr">
        <is>
          <t>Debit card detail</t>
        </is>
      </c>
      <c r="U162" s="19" t="inlineStr">
        <is>
          <t>GET</t>
        </is>
      </c>
      <c r="V162" s="19" t="inlineStr">
        <is>
          <t>/v1/external/accounts/account-type/{accountType}/account-id/{accountId}/detail</t>
        </is>
      </c>
      <c r="W162" s="19" t="inlineStr">
        <is>
          <t>info-card</t>
        </is>
      </c>
      <c r="X162" s="19" t="inlineStr">
        <is>
          <t>ECLIPSE_Account Dashboard_Debit_Card_DDD_API_Design_v1_Workshop (1).xlsx</t>
        </is>
      </c>
      <c r="Y162" s="19" t="inlineStr">
        <is>
          <t>1.3.2 Card Details</t>
        </is>
      </c>
      <c r="Z162" s="19" t="inlineStr">
        <is>
          <t>API_Specs_Index!A5:H5</t>
        </is>
      </c>
      <c r="AA162" s="22" t="inlineStr">
        <is>
          <t>API-017</t>
        </is>
      </c>
      <c r="AB162" s="19" t="inlineStr">
        <is>
          <t>Mapped to Debit card detail because the test case terms align with the 1.3.2 Card Details journey in the applicable API specification.</t>
        </is>
      </c>
      <c r="AC162" s="19" t="inlineStr">
        <is>
          <t>High</t>
        </is>
      </c>
      <c r="AD162"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63" ht="409.6" customHeight="1" s="2">
      <c r="A163" s="15" t="inlineStr">
        <is>
          <t>TC-B1-0162</t>
        </is>
      </c>
      <c r="B163" s="16" t="inlineStr">
        <is>
          <t>TS-B1-136</t>
        </is>
      </c>
      <c r="C163" s="16" t="inlineStr">
        <is>
          <t>Acct Dashboard Non-Financing</t>
        </is>
      </c>
      <c r="D163" s="16" t="inlineStr">
        <is>
          <t>Dashboard — Deposits</t>
        </is>
      </c>
      <c r="E163" s="16" t="inlineStr">
        <is>
          <t>Reject invalid, cancelled, or expired authentication for CASA: Regular Savings Account; Current Account (conventional and shariah)</t>
        </is>
      </c>
      <c r="F163" s="16" t="inlineStr">
        <is>
          <t>Negative / Security</t>
        </is>
      </c>
      <c r="G163" s="16" t="inlineStr">
        <is>
          <t>High</t>
        </is>
      </c>
      <c r="H163" s="16" t="inlineStr">
        <is>
          <t>Eligible user; protected action requires authentication. Requirement: L1 → redirect to Login (A&amp;A FSD); L3 → direct access; S2U required for: Manage Linked Card, Block Account, Reactivate Account (Inactive)</t>
        </is>
      </c>
      <c r="I163" s="16"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63" s="16" t="inlineStr">
        <is>
          <t>1. Start the protected action.
2. Enter invalid credentials, cancel, or allow the challenge to expire.
3. Observe the result.</t>
        </is>
      </c>
      <c r="K163" s="16" t="inlineStr">
        <is>
          <t>The action is not performed. The configured failure/lockout message is shown, sensitive data remains protected, and retry behavior follows the requirement.</t>
        </is>
      </c>
      <c r="L163" s="16" t="inlineStr">
        <is>
          <t>L1 → redirect to Login (A&amp;A FSD); L3 → direct access; S2U required for: Manage Linked Card, Block Account, Reactivate Account (Inactive)</t>
        </is>
      </c>
      <c r="M163" s="16" t="inlineStr">
        <is>
          <t>Account details displayed; Transaction list displayed; S2U success / unsuccessful / authorisation failed for Manage Linked Card, Block Account, Reactivate Account</t>
        </is>
      </c>
      <c r="N163" s="16" t="inlineStr">
        <is>
          <t>Acct Dashboard Non-Financing!B1:B45</t>
        </is>
      </c>
      <c r="O163" s="16" t="inlineStr">
        <is>
          <t>Not Run</t>
        </is>
      </c>
      <c r="P163" s="16" t="n"/>
      <c r="Q163" s="16" t="n"/>
      <c r="R163" s="17" t="n"/>
      <c r="S163" s="19" t="inlineStr">
        <is>
          <t>Debit Card API Design</t>
        </is>
      </c>
      <c r="T163" s="19" t="inlineStr">
        <is>
          <t>Debit card detail</t>
        </is>
      </c>
      <c r="U163" s="19" t="inlineStr">
        <is>
          <t>GET</t>
        </is>
      </c>
      <c r="V163" s="19" t="inlineStr">
        <is>
          <t>/v1/external/accounts/account-type/{accountType}/account-id/{accountId}/detail</t>
        </is>
      </c>
      <c r="W163" s="19" t="inlineStr">
        <is>
          <t>info-card</t>
        </is>
      </c>
      <c r="X163" s="19" t="inlineStr">
        <is>
          <t>ECLIPSE_Account Dashboard_Debit_Card_DDD_API_Design_v1_Workshop (1).xlsx</t>
        </is>
      </c>
      <c r="Y163" s="19" t="inlineStr">
        <is>
          <t>1.3.2 Card Details</t>
        </is>
      </c>
      <c r="Z163" s="19" t="inlineStr">
        <is>
          <t>API_Specs_Index!A5:H5</t>
        </is>
      </c>
      <c r="AA163" s="22" t="inlineStr">
        <is>
          <t>API-017</t>
        </is>
      </c>
      <c r="AB163" s="19" t="inlineStr">
        <is>
          <t>Mapped to Debit card detail because the test case terms align with the 1.3.2 Card Details journey in the applicable API specification.</t>
        </is>
      </c>
      <c r="AC163" s="19" t="inlineStr">
        <is>
          <t>High</t>
        </is>
      </c>
      <c r="AD163"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64" ht="409.6" customHeight="1" s="2">
      <c r="A164" s="12" t="inlineStr">
        <is>
          <t>TC-B1-0163</t>
        </is>
      </c>
      <c r="B164" s="13" t="inlineStr">
        <is>
          <t>TS-B1-137</t>
        </is>
      </c>
      <c r="C164" s="13" t="inlineStr">
        <is>
          <t>Acct Dashboard Non-Financing</t>
        </is>
      </c>
      <c r="D164" s="13" t="inlineStr">
        <is>
          <t>Dashboard — Deposits</t>
        </is>
      </c>
      <c r="E164" s="13" t="inlineStr">
        <is>
          <t>Validate Step 1 — 1.1 Account Dashboard Landing for CASA: Regular Savings Account; Current Account (conventional and shariah)</t>
        </is>
      </c>
      <c r="F164" s="13" t="inlineStr">
        <is>
          <t>UI / Functional</t>
        </is>
      </c>
      <c r="G164" s="13" t="inlineStr">
        <is>
          <t>Medium</t>
        </is>
      </c>
      <c r="H164" s="13" t="inlineStr">
        <is>
          <t>Eligible user and product are available. User has reached the preceding journey step.</t>
        </is>
      </c>
      <c r="I164" s="13"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64" s="13" t="inlineStr">
        <is>
          <t>1. Open CASA: Regular Savings Account; Current Account (conventional and shariah).
2. Navigate to Step 1 — 1.1 Account Dashboard Landing.
3. Perform the action or trigger described by: Step 1.
4. Observe the page, validation, navigation, and resulting state.</t>
        </is>
      </c>
      <c r="K164" s="13" t="inlineStr">
        <is>
          <t>Step 1 — 1.1 Account Dashboard Landing behaves according to the mapped requirement (Step 1); data, controls, navigation, and status are accurate and consistent.</t>
        </is>
      </c>
      <c r="L164" s="13" t="inlineStr">
        <is>
          <t>L1 → redirect to Login (A&amp;A FSD); L3 → direct access; S2U required for: Manage Linked Card, Block Account, Reactivate Account (Inactive)</t>
        </is>
      </c>
      <c r="M164" s="13" t="inlineStr">
        <is>
          <t>Account details displayed; Transaction list displayed; S2U success / unsuccessful / authorisation failed for Manage Linked Card, Block Account, Reactivate Account</t>
        </is>
      </c>
      <c r="N164" s="13" t="inlineStr">
        <is>
          <t>Acct Dashboard Non-Financing!A10:B10</t>
        </is>
      </c>
      <c r="O164" s="13" t="inlineStr">
        <is>
          <t>Not Run</t>
        </is>
      </c>
      <c r="P164" s="13" t="n"/>
      <c r="Q164" s="13" t="n"/>
      <c r="R164" s="14" t="n"/>
      <c r="S164" s="19" t="inlineStr">
        <is>
          <t>Debit Card API Design</t>
        </is>
      </c>
      <c r="T164" s="19" t="inlineStr">
        <is>
          <t>Debit card detail</t>
        </is>
      </c>
      <c r="U164" s="19" t="inlineStr">
        <is>
          <t>GET</t>
        </is>
      </c>
      <c r="V164" s="19" t="inlineStr">
        <is>
          <t>/v1/external/accounts/account-type/{accountType}/account-id/{accountId}/detail</t>
        </is>
      </c>
      <c r="W164" s="19" t="inlineStr">
        <is>
          <t>info-card</t>
        </is>
      </c>
      <c r="X164" s="19" t="inlineStr">
        <is>
          <t>ECLIPSE_Account Dashboard_Debit_Card_DDD_API_Design_v1_Workshop (1).xlsx</t>
        </is>
      </c>
      <c r="Y164" s="19" t="inlineStr">
        <is>
          <t>1.3.2 Card Details</t>
        </is>
      </c>
      <c r="Z164" s="19" t="inlineStr">
        <is>
          <t>API_Specs_Index!A5:H5</t>
        </is>
      </c>
      <c r="AA164" s="22" t="inlineStr">
        <is>
          <t>API-017</t>
        </is>
      </c>
      <c r="AB164" s="19" t="inlineStr">
        <is>
          <t>Mapped to Debit card detail because the test case terms align with the 1.3.2 Card Details journey in the applicable API specification.</t>
        </is>
      </c>
      <c r="AC164" s="19" t="inlineStr">
        <is>
          <t>High</t>
        </is>
      </c>
      <c r="AD164"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65" ht="409.6" customHeight="1" s="2">
      <c r="A165" s="15" t="inlineStr">
        <is>
          <t>TC-B1-0164</t>
        </is>
      </c>
      <c r="B165" s="16" t="inlineStr">
        <is>
          <t>TS-B1-138</t>
        </is>
      </c>
      <c r="C165" s="16" t="inlineStr">
        <is>
          <t>Acct Dashboard Non-Financing</t>
        </is>
      </c>
      <c r="D165" s="16" t="inlineStr">
        <is>
          <t>Dashboard — Deposits</t>
        </is>
      </c>
      <c r="E165" s="16" t="inlineStr">
        <is>
          <t>Validate Step 2 — 1.2 Account Listing (Savings &amp; Current) for CASA: Regular Savings Account; Current Account (conventional and shariah)</t>
        </is>
      </c>
      <c r="F165" s="16" t="inlineStr">
        <is>
          <t>UI / Functional</t>
        </is>
      </c>
      <c r="G165" s="16" t="inlineStr">
        <is>
          <t>Medium</t>
        </is>
      </c>
      <c r="H165" s="16" t="inlineStr">
        <is>
          <t>Eligible user and product are available. Trigger the stated condition: Step 2 — displays account card; total balance with/without '≈'; Tabung banner/card; upsell banner; business profile disclaimer if applicable</t>
        </is>
      </c>
      <c r="I165" s="16"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65" s="16" t="inlineStr">
        <is>
          <t>1. Open CASA: Regular Savings Account; Current Account (conventional and shariah).
2. Navigate to Step 2 — 1.2 Account Listing (Savings &amp; Current).
3. Perform the action or trigger described by: Step 2 — displays account card; total balance with/without '≈'; Tabung banner/card; upsell banner; business profile disclaimer if applicable.
4. Observe the page, validation, navigation, and resulting state.</t>
        </is>
      </c>
      <c r="K165" s="16" t="inlineStr">
        <is>
          <t>Step 2 — 1.2 Account Listing (Savings &amp; Current) behaves according to the mapped requirement (Step 2 — displays account card; total balance with/without '≈'; Tabung banner/card; upsell banner; business profile disclaimer if applicable); data, controls, navigation, and status are accurate and consistent.</t>
        </is>
      </c>
      <c r="L165" s="16" t="inlineStr">
        <is>
          <t>L1 → redirect to Login (A&amp;A FSD); L3 → direct access; S2U required for: Manage Linked Card, Block Account, Reactivate Account (Inactive)</t>
        </is>
      </c>
      <c r="M165" s="16" t="inlineStr">
        <is>
          <t>Account details displayed; Transaction list displayed; S2U success / unsuccessful / authorisation failed for Manage Linked Card, Block Account, Reactivate Account</t>
        </is>
      </c>
      <c r="N165" s="16" t="inlineStr">
        <is>
          <t>Acct Dashboard Non-Financing!A11:B11</t>
        </is>
      </c>
      <c r="O165" s="16" t="inlineStr">
        <is>
          <t>Not Run</t>
        </is>
      </c>
      <c r="P165" s="16" t="n"/>
      <c r="Q165" s="16" t="n"/>
      <c r="R165" s="17" t="inlineStr">
        <is>
          <t>Conditional coverage required.</t>
        </is>
      </c>
      <c r="S165" s="19" t="inlineStr">
        <is>
          <t>Debit Card API Design</t>
        </is>
      </c>
      <c r="T165" s="19" t="inlineStr">
        <is>
          <t>Debit card detail</t>
        </is>
      </c>
      <c r="U165" s="19" t="inlineStr">
        <is>
          <t>GET</t>
        </is>
      </c>
      <c r="V165" s="19" t="inlineStr">
        <is>
          <t>/v1/external/accounts/account-type/{accountType}/account-id/{accountId}/detail</t>
        </is>
      </c>
      <c r="W165" s="19" t="inlineStr">
        <is>
          <t>info-card</t>
        </is>
      </c>
      <c r="X165" s="19" t="inlineStr">
        <is>
          <t>ECLIPSE_Account Dashboard_Debit_Card_DDD_API_Design_v1_Workshop (1).xlsx</t>
        </is>
      </c>
      <c r="Y165" s="19" t="inlineStr">
        <is>
          <t>1.3.2 Card Details</t>
        </is>
      </c>
      <c r="Z165" s="19" t="inlineStr">
        <is>
          <t>API_Specs_Index!A5:H5</t>
        </is>
      </c>
      <c r="AA165" s="22" t="inlineStr">
        <is>
          <t>API-017</t>
        </is>
      </c>
      <c r="AB165" s="19" t="inlineStr">
        <is>
          <t>Mapped to Debit card detail because the test case terms align with the 1.3.2 Card Details journey in the applicable API specification.</t>
        </is>
      </c>
      <c r="AC165" s="19" t="inlineStr">
        <is>
          <t>High</t>
        </is>
      </c>
      <c r="AD165"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66" ht="409.6" customHeight="1" s="2">
      <c r="A166" s="12" t="inlineStr">
        <is>
          <t>TC-B1-0165</t>
        </is>
      </c>
      <c r="B166" s="13" t="inlineStr">
        <is>
          <t>TS-B1-139</t>
        </is>
      </c>
      <c r="C166" s="13" t="inlineStr">
        <is>
          <t>Acct Dashboard Non-Financing</t>
        </is>
      </c>
      <c r="D166" s="13" t="inlineStr">
        <is>
          <t>Dashboard — Deposits</t>
        </is>
      </c>
      <c r="E166" s="13" t="inlineStr">
        <is>
          <t>Validate Step 3 — 1.2.1 CASA Account Details for CASA: Regular Savings Account; Current Account (conventional and shariah)</t>
        </is>
      </c>
      <c r="F166" s="13" t="inlineStr">
        <is>
          <t>UI / Functional</t>
        </is>
      </c>
      <c r="G166" s="13" t="inlineStr">
        <is>
          <t>High</t>
        </is>
      </c>
      <c r="H166" s="13" t="inlineStr">
        <is>
          <t>Eligible user and product are available. User has reached the preceding journey step.</t>
        </is>
      </c>
      <c r="I166" s="13"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66" s="13" t="inlineStr">
        <is>
          <t>1. Open CASA: Regular Savings Account; Current Account (conventional and shariah).
2. Navigate to Step 3 — 1.2.1 CASA Account Details.
3. Perform the action or trigger described by: Step 3 — Transactions / Summary / Manage tabs; account balance drawer; linked term savings section; Quick Actions (Transfer, Pay, eWallet, View Statements, View linked card); Set Primary; Manage Linked Card; Block Account available per eligibility.
4. Observe the page, validation, navigation, and resulting state.</t>
        </is>
      </c>
      <c r="K166" s="13" t="inlineStr">
        <is>
          <t>Step 3 — 1.2.1 CASA Account Details behaves according to the mapped requirement (Step 3 — Transactions / Summary / Manage tabs; account balance drawer; linked term savings section; Quick Actions (Transfer, Pay, eWallet, View Statements, View linked card); Set Primary; Manage Linked Card; Block Account available per eligibility); data, controls, navigation, and status are accurate and consistent.</t>
        </is>
      </c>
      <c r="L166" s="13" t="inlineStr">
        <is>
          <t>L1 → redirect to Login (A&amp;A FSD); L3 → direct access; S2U required for: Manage Linked Card, Block Account, Reactivate Account (Inactive)</t>
        </is>
      </c>
      <c r="M166" s="13" t="inlineStr">
        <is>
          <t>Account details displayed; Transaction list displayed; S2U success / unsuccessful / authorisation failed for Manage Linked Card, Block Account, Reactivate Account</t>
        </is>
      </c>
      <c r="N166" s="13" t="inlineStr">
        <is>
          <t>Acct Dashboard Non-Financing!A12:B12</t>
        </is>
      </c>
      <c r="O166" s="13" t="inlineStr">
        <is>
          <t>Not Run</t>
        </is>
      </c>
      <c r="P166" s="13" t="n"/>
      <c r="Q166" s="13" t="n"/>
      <c r="R166" s="14" t="n"/>
      <c r="S166" s="19" t="inlineStr">
        <is>
          <t>Debit Card API Design</t>
        </is>
      </c>
      <c r="T166" s="19" t="inlineStr">
        <is>
          <t>Debit card detail</t>
        </is>
      </c>
      <c r="U166" s="19" t="inlineStr">
        <is>
          <t>GET</t>
        </is>
      </c>
      <c r="V166" s="19" t="inlineStr">
        <is>
          <t>/v1/external/accounts/account-type/{accountType}/account-id/{accountId}/detail</t>
        </is>
      </c>
      <c r="W166" s="19" t="inlineStr">
        <is>
          <t>info-card</t>
        </is>
      </c>
      <c r="X166" s="19" t="inlineStr">
        <is>
          <t>ECLIPSE_Account Dashboard_Debit_Card_DDD_API_Design_v1_Workshop (1).xlsx</t>
        </is>
      </c>
      <c r="Y166" s="19" t="inlineStr">
        <is>
          <t>1.3.2 Card Details</t>
        </is>
      </c>
      <c r="Z166" s="19" t="inlineStr">
        <is>
          <t>API_Specs_Index!A5:H5</t>
        </is>
      </c>
      <c r="AA166" s="22" t="inlineStr">
        <is>
          <t>API-017</t>
        </is>
      </c>
      <c r="AB166" s="19" t="inlineStr">
        <is>
          <t>Mapped to Debit card detail because the test case terms align with the 1.3.2 Card Details journey in the applicable API specification.</t>
        </is>
      </c>
      <c r="AC166" s="19" t="inlineStr">
        <is>
          <t>High</t>
        </is>
      </c>
      <c r="AD166"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67" ht="409.6" customHeight="1" s="2">
      <c r="A167" s="15" t="inlineStr">
        <is>
          <t>TC-B1-0166</t>
        </is>
      </c>
      <c r="B167" s="16" t="inlineStr">
        <is>
          <t>TS-B1-140</t>
        </is>
      </c>
      <c r="C167" s="16" t="inlineStr">
        <is>
          <t>Acct Dashboard Non-Financing</t>
        </is>
      </c>
      <c r="D167" s="16" t="inlineStr">
        <is>
          <t>Dashboard — Deposits</t>
        </is>
      </c>
      <c r="E167" s="16" t="inlineStr">
        <is>
          <t>Validate Step 4 — 1.2.1.1 Transaction Details for CASA: Regular Savings Account; Current Account (conventional and shariah)</t>
        </is>
      </c>
      <c r="F167" s="16" t="inlineStr">
        <is>
          <t>UI / Functional</t>
        </is>
      </c>
      <c r="G167" s="16" t="inlineStr">
        <is>
          <t>High</t>
        </is>
      </c>
      <c r="H167" s="16" t="inlineStr">
        <is>
          <t>Eligible user and product are available. User has reached the preceding journey step.</t>
        </is>
      </c>
      <c r="I167" s="16"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67" s="16" t="inlineStr">
        <is>
          <t>1. Open CASA: Regular Savings Account; Current Account (conventional and shariah).
2. Navigate to Step 4 — 1.2.1.1 Transaction Details.
3. Perform the action or trigger described by: Step 4 — tap any transaction in Transactions tab or ViewAllTrans; displays per transaction type matrix (Overseas Transfer, Currency Exchange, Pay Using Card, Scan &amp; Pay, Transfer, Money In/Out variants).
4. Observe the page, validation, navigation, and resulting state.</t>
        </is>
      </c>
      <c r="K167" s="16" t="inlineStr">
        <is>
          <t>Step 4 — 1.2.1.1 Transaction Details behaves according to the mapped requirement (Step 4 — tap any transaction in Transactions tab or ViewAllTrans; displays per transaction type matrix (Overseas Transfer, Currency Exchange, Pay Using Card, Scan &amp; Pay, Transfer, Money In/Out variants)); data, controls, navigation, and status are accurate and consistent.</t>
        </is>
      </c>
      <c r="L167" s="16" t="inlineStr">
        <is>
          <t>L1 → redirect to Login (A&amp;A FSD); L3 → direct access; S2U required for: Manage Linked Card, Block Account, Reactivate Account (Inactive)</t>
        </is>
      </c>
      <c r="M167" s="16" t="inlineStr">
        <is>
          <t>Account details displayed; Transaction list displayed; S2U success / unsuccessful / authorisation failed for Manage Linked Card, Block Account, Reactivate Account</t>
        </is>
      </c>
      <c r="N167" s="16" t="inlineStr">
        <is>
          <t>Acct Dashboard Non-Financing!A13:B13</t>
        </is>
      </c>
      <c r="O167" s="16" t="inlineStr">
        <is>
          <t>Not Run</t>
        </is>
      </c>
      <c r="P167" s="16" t="n"/>
      <c r="Q167" s="16" t="n"/>
      <c r="R167" s="17" t="n"/>
      <c r="S167" s="19" t="inlineStr">
        <is>
          <t>Debit Card API Design</t>
        </is>
      </c>
      <c r="T167" s="19" t="inlineStr">
        <is>
          <t>Debit card detail</t>
        </is>
      </c>
      <c r="U167" s="19" t="inlineStr">
        <is>
          <t>GET</t>
        </is>
      </c>
      <c r="V167" s="19" t="inlineStr">
        <is>
          <t>/v1/external/accounts/account-type/{accountType}/account-id/{accountId}/detail</t>
        </is>
      </c>
      <c r="W167" s="19" t="inlineStr">
        <is>
          <t>info-card</t>
        </is>
      </c>
      <c r="X167" s="19" t="inlineStr">
        <is>
          <t>ECLIPSE_Account Dashboard_Debit_Card_DDD_API_Design_v1_Workshop (1).xlsx</t>
        </is>
      </c>
      <c r="Y167" s="19" t="inlineStr">
        <is>
          <t>1.3.2 Card Details</t>
        </is>
      </c>
      <c r="Z167" s="19" t="inlineStr">
        <is>
          <t>API_Specs_Index!A5:H5</t>
        </is>
      </c>
      <c r="AA167" s="22" t="inlineStr">
        <is>
          <t>API-017</t>
        </is>
      </c>
      <c r="AB167" s="19" t="inlineStr">
        <is>
          <t>Mapped to Debit card detail because the test case terms align with the 1.3.2 Card Details journey in the applicable API specification.</t>
        </is>
      </c>
      <c r="AC167" s="19" t="inlineStr">
        <is>
          <t>High</t>
        </is>
      </c>
      <c r="AD167"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68" ht="409.6" customHeight="1" s="2">
      <c r="A168" s="12" t="inlineStr">
        <is>
          <t>TC-B1-0167</t>
        </is>
      </c>
      <c r="B168" s="13" t="inlineStr">
        <is>
          <t>TS-B1-141</t>
        </is>
      </c>
      <c r="C168" s="13" t="inlineStr">
        <is>
          <t>Acct Dashboard Non-Financing</t>
        </is>
      </c>
      <c r="D168" s="13" t="inlineStr">
        <is>
          <t>Dashboard — Deposits</t>
        </is>
      </c>
      <c r="E168" s="13" t="inlineStr">
        <is>
          <t>Validate Step 5 — 1.2.1.2 ViewAllTrans for CASA: Regular Savings Account; Current Account (conventional and shariah)</t>
        </is>
      </c>
      <c r="F168" s="13" t="inlineStr">
        <is>
          <t>Functional</t>
        </is>
      </c>
      <c r="G168" s="13" t="inlineStr">
        <is>
          <t>Medium</t>
        </is>
      </c>
      <c r="H168" s="13" t="inlineStr">
        <is>
          <t>Eligible user and product are available. User has reached the preceding journey step.</t>
        </is>
      </c>
      <c r="I168" s="13"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68" s="13" t="inlineStr">
        <is>
          <t>1. Open CASA: Regular Savings Account; Current Account (conventional and shariah).
2. Navigate to Step 5 — 1.2.1.2 ViewAllTrans.
3. Perform the action or trigger described by: Step 5 — search, filter (Money In/Out, Transaction Currency for GAA/MCA, Time Range, Custom date), export (PDF/CSV/XLSX, Send to Email / Save to device).
4. Observe the page, validation, navigation, and resulting state.</t>
        </is>
      </c>
      <c r="K168" s="13" t="inlineStr">
        <is>
          <t>Step 5 — 1.2.1.2 ViewAllTrans behaves according to the mapped requirement (Step 5 — search, filter (Money In/Out, Transaction Currency for GAA/MCA, Time Range, Custom date), export (PDF/CSV/XLSX, Send to Email / Save to device)); data, controls, navigation, and status are accurate and consistent.</t>
        </is>
      </c>
      <c r="L168" s="13" t="inlineStr">
        <is>
          <t>L1 → redirect to Login (A&amp;A FSD); L3 → direct access; S2U required for: Manage Linked Card, Block Account, Reactivate Account (Inactive)</t>
        </is>
      </c>
      <c r="M168" s="13" t="inlineStr">
        <is>
          <t>Account details displayed; Transaction list displayed; S2U success / unsuccessful / authorisation failed for Manage Linked Card, Block Account, Reactivate Account</t>
        </is>
      </c>
      <c r="N168" s="13" t="inlineStr">
        <is>
          <t>Acct Dashboard Non-Financing!A14:B14</t>
        </is>
      </c>
      <c r="O168" s="13" t="inlineStr">
        <is>
          <t>Not Run</t>
        </is>
      </c>
      <c r="P168" s="13" t="n"/>
      <c r="Q168" s="13" t="n"/>
      <c r="R168" s="14" t="n"/>
      <c r="S168" s="19" t="inlineStr">
        <is>
          <t>Debit Card API Design</t>
        </is>
      </c>
      <c r="T168" s="19" t="inlineStr">
        <is>
          <t>Debit card detail</t>
        </is>
      </c>
      <c r="U168" s="19" t="inlineStr">
        <is>
          <t>GET</t>
        </is>
      </c>
      <c r="V168" s="19" t="inlineStr">
        <is>
          <t>/v1/external/accounts/account-type/{accountType}/account-id/{accountId}/detail</t>
        </is>
      </c>
      <c r="W168" s="19" t="inlineStr">
        <is>
          <t>info-card</t>
        </is>
      </c>
      <c r="X168" s="19" t="inlineStr">
        <is>
          <t>ECLIPSE_Account Dashboard_Debit_Card_DDD_API_Design_v1_Workshop (1).xlsx</t>
        </is>
      </c>
      <c r="Y168" s="19" t="inlineStr">
        <is>
          <t>1.3.2 Card Details</t>
        </is>
      </c>
      <c r="Z168" s="19" t="inlineStr">
        <is>
          <t>API_Specs_Index!A5:H5</t>
        </is>
      </c>
      <c r="AA168" s="22" t="inlineStr">
        <is>
          <t>API-017</t>
        </is>
      </c>
      <c r="AB168" s="19" t="inlineStr">
        <is>
          <t>Mapped to Debit card detail because the test case terms align with the 1.3.2 Card Details journey in the applicable API specification.</t>
        </is>
      </c>
      <c r="AC168" s="19" t="inlineStr">
        <is>
          <t>High</t>
        </is>
      </c>
      <c r="AD168"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69" ht="409.6" customHeight="1" s="2">
      <c r="A169" s="15" t="inlineStr">
        <is>
          <t>TC-B1-0168</t>
        </is>
      </c>
      <c r="B169" s="16" t="inlineStr">
        <is>
          <t>TS-B1-142</t>
        </is>
      </c>
      <c r="C169" s="16" t="inlineStr">
        <is>
          <t>Acct Dashboard Non-Financing</t>
        </is>
      </c>
      <c r="D169" s="16" t="inlineStr">
        <is>
          <t>Dashboard — Deposits</t>
        </is>
      </c>
      <c r="E169" s="16" t="inlineStr">
        <is>
          <t>Validate Step 6 — 1.2.1.3 ManageLinkedCard for CASA: Regular Savings Account; Current Account (conventional and shariah)</t>
        </is>
      </c>
      <c r="F169" s="16" t="inlineStr">
        <is>
          <t>UI / Functional</t>
        </is>
      </c>
      <c r="G169" s="16" t="inlineStr">
        <is>
          <t>Medium</t>
        </is>
      </c>
      <c r="H169" s="16" t="inlineStr">
        <is>
          <t>Eligible user and product are available. Trigger the stated condition: Step 6 — view/link/unlink/update linked debit card; S2U required; Global Access account displays only GAA cards; non-GAA account excludes GAA cards; max 8 linked accounts per card; default account restriction</t>
        </is>
      </c>
      <c r="I169" s="16"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69" s="16" t="inlineStr">
        <is>
          <t>1. Open CASA: Regular Savings Account; Current Account (conventional and shariah).
2. Navigate to Step 6 — 1.2.1.3 ManageLinkedCard.
3. Perform the action or trigger described by: Step 6 — view/link/unlink/update linked debit card; S2U required; Global Access account displays only GAA cards; non-GAA account excludes GAA cards; max 8 linked accounts per card; default account restriction.
4. Observe the page, validation, navigation, and resulting state.</t>
        </is>
      </c>
      <c r="K169" s="16" t="inlineStr">
        <is>
          <t>Step 6 — 1.2.1.3 ManageLinkedCard behaves according to the mapped requirement (Step 6 — view/link/unlink/update linked debit card; S2U required; Global Access account displays only GAA cards; non-GAA account excludes GAA cards; max 8 linked accounts per card; default account restriction); data, controls, navigation, and status are accurate and consistent.</t>
        </is>
      </c>
      <c r="L169" s="16" t="inlineStr">
        <is>
          <t>L1 → redirect to Login (A&amp;A FSD); L3 → direct access; S2U required for: Manage Linked Card, Block Account, Reactivate Account (Inactive)</t>
        </is>
      </c>
      <c r="M169" s="16" t="inlineStr">
        <is>
          <t>Account details displayed; Transaction list displayed; S2U success / unsuccessful / authorisation failed for Manage Linked Card, Block Account, Reactivate Account</t>
        </is>
      </c>
      <c r="N169" s="16" t="inlineStr">
        <is>
          <t>Acct Dashboard Non-Financing!A15:B15</t>
        </is>
      </c>
      <c r="O169" s="16" t="inlineStr">
        <is>
          <t>Not Run</t>
        </is>
      </c>
      <c r="P169" s="16" t="n"/>
      <c r="Q169" s="16" t="n"/>
      <c r="R169" s="17" t="inlineStr">
        <is>
          <t>Conditional coverage required.</t>
        </is>
      </c>
      <c r="S169" s="19" t="inlineStr">
        <is>
          <t>Debit Card API Design</t>
        </is>
      </c>
      <c r="T169" s="19" t="inlineStr">
        <is>
          <t>Debit card detail</t>
        </is>
      </c>
      <c r="U169" s="19" t="inlineStr">
        <is>
          <t>GET</t>
        </is>
      </c>
      <c r="V169" s="19" t="inlineStr">
        <is>
          <t>/v1/external/accounts/account-type/{accountType}/account-id/{accountId}/detail</t>
        </is>
      </c>
      <c r="W169" s="19" t="inlineStr">
        <is>
          <t>info-card</t>
        </is>
      </c>
      <c r="X169" s="19" t="inlineStr">
        <is>
          <t>ECLIPSE_Account Dashboard_Debit_Card_DDD_API_Design_v1_Workshop (1).xlsx</t>
        </is>
      </c>
      <c r="Y169" s="19" t="inlineStr">
        <is>
          <t>1.3.2 Card Details</t>
        </is>
      </c>
      <c r="Z169" s="19" t="inlineStr">
        <is>
          <t>API_Specs_Index!A5:H5</t>
        </is>
      </c>
      <c r="AA169" s="22" t="inlineStr">
        <is>
          <t>API-017</t>
        </is>
      </c>
      <c r="AB169" s="19" t="inlineStr">
        <is>
          <t>Mapped to Debit card detail because the test case terms align with the 1.3.2 Card Details journey in the applicable API specification.</t>
        </is>
      </c>
      <c r="AC169" s="19" t="inlineStr">
        <is>
          <t>High</t>
        </is>
      </c>
      <c r="AD169"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70" ht="409.6" customHeight="1" s="2">
      <c r="A170" s="12" t="inlineStr">
        <is>
          <t>TC-B1-0169</t>
        </is>
      </c>
      <c r="B170" s="13" t="inlineStr">
        <is>
          <t>TS-B1-143</t>
        </is>
      </c>
      <c r="C170" s="13" t="inlineStr">
        <is>
          <t>Acct Dashboard Non-Financing</t>
        </is>
      </c>
      <c r="D170" s="13" t="inlineStr">
        <is>
          <t>Dashboard — Deposits</t>
        </is>
      </c>
      <c r="E170" s="13" t="inlineStr">
        <is>
          <t>Validate Step 7 — 1.2.1.4 BlockAccount for CASA: Regular Savings Account; Current Account (conventional and shariah)</t>
        </is>
      </c>
      <c r="F170" s="13" t="inlineStr">
        <is>
          <t>Functional</t>
        </is>
      </c>
      <c r="G170" s="13" t="inlineStr">
        <is>
          <t>High</t>
        </is>
      </c>
      <c r="H170" s="13" t="inlineStr">
        <is>
          <t>Eligible user and product are available. User has reached the preceding journey step.</t>
        </is>
      </c>
      <c r="I170" s="13"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70" s="13" t="inlineStr">
        <is>
          <t>1. Open CASA: Regular Savings Account; Current Account (conventional and shariah).
2. Navigate to Step 7 — 1.2.1.4 BlockAccount.
3. Perform the action or trigger described by: Step 7 — single or multi-select block; S2U required; eligible accounts per product code / segment ID / status Active; post-block: Frozen status, Quick Actions greyed except View Statements, Manage greyed except Add/Edit Nickname.
4. Observe the page, validation, navigation, and resulting state.</t>
        </is>
      </c>
      <c r="K170" s="13" t="inlineStr">
        <is>
          <t>Step 7 — 1.2.1.4 BlockAccount behaves according to the mapped requirement (Step 7 — single or multi-select block; S2U required; eligible accounts per product code / segment ID / status Active; post-block: Frozen status, Quick Actions greyed except View Statements, Manage greyed except Add/Edit Nickname); data, controls, navigation, and status are accurate and consistent.</t>
        </is>
      </c>
      <c r="L170" s="13" t="inlineStr">
        <is>
          <t>L1 → redirect to Login (A&amp;A FSD); L3 → direct access; S2U required for: Manage Linked Card, Block Account, Reactivate Account (Inactive)</t>
        </is>
      </c>
      <c r="M170" s="13" t="inlineStr">
        <is>
          <t>Account details displayed; Transaction list displayed; S2U success / unsuccessful / authorisation failed for Manage Linked Card, Block Account, Reactivate Account</t>
        </is>
      </c>
      <c r="N170" s="13" t="inlineStr">
        <is>
          <t>Acct Dashboard Non-Financing!A16:B16</t>
        </is>
      </c>
      <c r="O170" s="13" t="inlineStr">
        <is>
          <t>Not Run</t>
        </is>
      </c>
      <c r="P170" s="13" t="n"/>
      <c r="Q170" s="13" t="n"/>
      <c r="R170" s="14" t="n"/>
      <c r="S170" s="19" t="inlineStr">
        <is>
          <t>Debit Card API Design</t>
        </is>
      </c>
      <c r="T170" s="19" t="inlineStr">
        <is>
          <t>Debit card detail</t>
        </is>
      </c>
      <c r="U170" s="19" t="inlineStr">
        <is>
          <t>GET</t>
        </is>
      </c>
      <c r="V170" s="19" t="inlineStr">
        <is>
          <t>/v1/external/accounts/account-type/{accountType}/account-id/{accountId}/detail</t>
        </is>
      </c>
      <c r="W170" s="19" t="inlineStr">
        <is>
          <t>info-card</t>
        </is>
      </c>
      <c r="X170" s="19" t="inlineStr">
        <is>
          <t>ECLIPSE_Account Dashboard_Debit_Card_DDD_API_Design_v1_Workshop (1).xlsx</t>
        </is>
      </c>
      <c r="Y170" s="19" t="inlineStr">
        <is>
          <t>1.3.2 Card Details</t>
        </is>
      </c>
      <c r="Z170" s="19" t="inlineStr">
        <is>
          <t>API_Specs_Index!A5:H5</t>
        </is>
      </c>
      <c r="AA170" s="22" t="inlineStr">
        <is>
          <t>API-017</t>
        </is>
      </c>
      <c r="AB170" s="19" t="inlineStr">
        <is>
          <t>Mapped to Debit card detail because the test case terms align with the 1.3.2 Card Details journey in the applicable API specification.</t>
        </is>
      </c>
      <c r="AC170" s="19" t="inlineStr">
        <is>
          <t>High</t>
        </is>
      </c>
      <c r="AD170"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71" ht="409.6" customHeight="1" s="2">
      <c r="A171" s="15" t="inlineStr">
        <is>
          <t>TC-B1-0170</t>
        </is>
      </c>
      <c r="B171" s="16" t="inlineStr">
        <is>
          <t>TS-B1-144</t>
        </is>
      </c>
      <c r="C171" s="16" t="inlineStr">
        <is>
          <t>Acct Dashboard Non-Financing</t>
        </is>
      </c>
      <c r="D171" s="16" t="inlineStr">
        <is>
          <t>Dashboard — Deposits</t>
        </is>
      </c>
      <c r="E171" s="16" t="inlineStr">
        <is>
          <t>Validate Step 8 — 1.2.1.5 DormantAccount for CASA: Regular Savings Account; Current Account (conventional and shariah)</t>
        </is>
      </c>
      <c r="F171" s="16" t="inlineStr">
        <is>
          <t>UI / Functional</t>
        </is>
      </c>
      <c r="G171" s="16" t="inlineStr">
        <is>
          <t>Medium</t>
        </is>
      </c>
      <c r="H171" s="16" t="inlineStr">
        <is>
          <t>Eligible user and product are available. Trigger the stated condition: Conditional Step 8 — displayed when account status is Dormant; all Quick Actions and Manage greyed except View Statements and Add/Edit Nickname; dormancy PN+email notifications 1 month prior and on effective date</t>
        </is>
      </c>
      <c r="I171" s="16"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71" s="16" t="inlineStr">
        <is>
          <t>1. Open CASA: Regular Savings Account; Current Account (conventional and shariah).
2. Navigate to Step 8 — 1.2.1.5 DormantAccount.
3. Perform the action or trigger described by: Conditional Step 8 — displayed when account status is Dormant; all Quick Actions and Manage greyed except View Statements and Add/Edit Nickname; dormancy PN+email notifications 1 month prior and on effective date.
4. Observe the page, validation, navigation, and resulting state.</t>
        </is>
      </c>
      <c r="K171" s="16" t="inlineStr">
        <is>
          <t>Step 8 — 1.2.1.5 DormantAccount behaves according to the mapped requirement (Conditional Step 8 — displayed when account status is Dormant; all Quick Actions and Manage greyed except View Statements and Add/Edit Nickname; dormancy PN+email notifications 1 month prior and on effective date); data, controls, navigation, and status are accurate and consistent.</t>
        </is>
      </c>
      <c r="L171" s="16" t="inlineStr">
        <is>
          <t>L1 → redirect to Login (A&amp;A FSD); L3 → direct access; S2U required for: Manage Linked Card, Block Account, Reactivate Account (Inactive)</t>
        </is>
      </c>
      <c r="M171" s="16" t="inlineStr">
        <is>
          <t>Account details displayed; Transaction list displayed; S2U success / unsuccessful / authorisation failed for Manage Linked Card, Block Account, Reactivate Account</t>
        </is>
      </c>
      <c r="N171" s="16" t="inlineStr">
        <is>
          <t>Acct Dashboard Non-Financing!A17:B17</t>
        </is>
      </c>
      <c r="O171" s="16" t="inlineStr">
        <is>
          <t>Not Run</t>
        </is>
      </c>
      <c r="P171" s="16" t="n"/>
      <c r="Q171" s="16" t="n"/>
      <c r="R171" s="17" t="inlineStr">
        <is>
          <t>Conditional coverage required.</t>
        </is>
      </c>
      <c r="S171" s="19" t="inlineStr">
        <is>
          <t>Debit Card API Design</t>
        </is>
      </c>
      <c r="T171" s="19" t="inlineStr">
        <is>
          <t>Debit card detail</t>
        </is>
      </c>
      <c r="U171" s="19" t="inlineStr">
        <is>
          <t>GET</t>
        </is>
      </c>
      <c r="V171" s="19" t="inlineStr">
        <is>
          <t>/v1/external/accounts/account-type/{accountType}/account-id/{accountId}/detail</t>
        </is>
      </c>
      <c r="W171" s="19" t="inlineStr">
        <is>
          <t>info-card</t>
        </is>
      </c>
      <c r="X171" s="19" t="inlineStr">
        <is>
          <t>ECLIPSE_Account Dashboard_Debit_Card_DDD_API_Design_v1_Workshop (1).xlsx</t>
        </is>
      </c>
      <c r="Y171" s="19" t="inlineStr">
        <is>
          <t>1.3.2 Card Details</t>
        </is>
      </c>
      <c r="Z171" s="19" t="inlineStr">
        <is>
          <t>API_Specs_Index!A5:H5</t>
        </is>
      </c>
      <c r="AA171" s="22" t="inlineStr">
        <is>
          <t>API-017</t>
        </is>
      </c>
      <c r="AB171" s="19" t="inlineStr">
        <is>
          <t>Mapped to Debit card detail because the test case terms align with the 1.3.2 Card Details journey in the applicable API specification.</t>
        </is>
      </c>
      <c r="AC171" s="19" t="inlineStr">
        <is>
          <t>High</t>
        </is>
      </c>
      <c r="AD171"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72" ht="409.6" customHeight="1" s="2">
      <c r="A172" s="12" t="inlineStr">
        <is>
          <t>TC-B1-0171</t>
        </is>
      </c>
      <c r="B172" s="13" t="inlineStr">
        <is>
          <t>TS-B1-145</t>
        </is>
      </c>
      <c r="C172" s="13" t="inlineStr">
        <is>
          <t>Acct Dashboard Non-Financing</t>
        </is>
      </c>
      <c r="D172" s="13" t="inlineStr">
        <is>
          <t>Dashboard — Deposits</t>
        </is>
      </c>
      <c r="E172" s="13" t="inlineStr">
        <is>
          <t>Validate Step 9 — 1.2.1.6 Inactive Account for CASA: Regular Savings Account; Current Account (conventional and shariah)</t>
        </is>
      </c>
      <c r="F172" s="13" t="inlineStr">
        <is>
          <t>Negative</t>
        </is>
      </c>
      <c r="G172" s="13" t="inlineStr">
        <is>
          <t>High</t>
        </is>
      </c>
      <c r="H172" s="13" t="inlineStr">
        <is>
          <t>Eligible user and product are available. Trigger the stated condition: Conditional Step 9 — displayed when account status is Inactive; Reactivate button displayed (except excluded product codes 319, 826, 209, 219, 279, 806); Update Personal Details → Confirmation → S2U → Acknowledgement; Account Reactivated / Update Unsuccessful</t>
        </is>
      </c>
      <c r="I172" s="13"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72" s="13" t="inlineStr">
        <is>
          <t>1. Open CASA: Regular Savings Account; Current Account (conventional and shariah).
2. Navigate to Step 9 — 1.2.1.6 Inactive Account.
3. Perform the action or trigger described by: Conditional Step 9 — displayed when account status is Inactive; Reactivate button displayed (except excluded product codes 319, 826, 209, 219, 279, 806); Update Personal Details → Confirmation → S2U → Acknowledgement; Account Reactivated / Update Unsuccessful.
4. Observe the page, validation, navigation, and resulting state.</t>
        </is>
      </c>
      <c r="K172" s="13" t="inlineStr">
        <is>
          <t>Step 9 — 1.2.1.6 Inactive Account behaves according to the mapped requirement (Conditional Step 9 — displayed when account status is Inactive; Reactivate button displayed (except excluded product codes 319, 826, 209, 219, 279, 806); Update Personal Details → Confirmation → S2U → Acknowledgement; Account Reactivated / Update Unsuccessful); data, controls, navigation, and status are accurate and consistent.</t>
        </is>
      </c>
      <c r="L172" s="13" t="inlineStr">
        <is>
          <t>L1 → redirect to Login (A&amp;A FSD); L3 → direct access; S2U required for: Manage Linked Card, Block Account, Reactivate Account (Inactive)</t>
        </is>
      </c>
      <c r="M172" s="13" t="inlineStr">
        <is>
          <t>Account details displayed; Transaction list displayed; S2U success / unsuccessful / authorisation failed for Manage Linked Card, Block Account, Reactivate Account</t>
        </is>
      </c>
      <c r="N172" s="13" t="inlineStr">
        <is>
          <t>Acct Dashboard Non-Financing!A18:B18</t>
        </is>
      </c>
      <c r="O172" s="13" t="inlineStr">
        <is>
          <t>Not Run</t>
        </is>
      </c>
      <c r="P172" s="13" t="n"/>
      <c r="Q172" s="13" t="n"/>
      <c r="R172" s="14" t="inlineStr">
        <is>
          <t>Conditional coverage required.</t>
        </is>
      </c>
      <c r="S172" s="19" t="inlineStr">
        <is>
          <t>Debit Card API Design</t>
        </is>
      </c>
      <c r="T172" s="19" t="inlineStr">
        <is>
          <t>Debit card detail</t>
        </is>
      </c>
      <c r="U172" s="19" t="inlineStr">
        <is>
          <t>GET</t>
        </is>
      </c>
      <c r="V172" s="19" t="inlineStr">
        <is>
          <t>/v1/external/accounts/account-type/{accountType}/account-id/{accountId}/detail</t>
        </is>
      </c>
      <c r="W172" s="19" t="inlineStr">
        <is>
          <t>info-card</t>
        </is>
      </c>
      <c r="X172" s="19" t="inlineStr">
        <is>
          <t>ECLIPSE_Account Dashboard_Debit_Card_DDD_API_Design_v1_Workshop (1).xlsx</t>
        </is>
      </c>
      <c r="Y172" s="19" t="inlineStr">
        <is>
          <t>1.3.2 Card Details</t>
        </is>
      </c>
      <c r="Z172" s="19" t="inlineStr">
        <is>
          <t>API_Specs_Index!A5:H5</t>
        </is>
      </c>
      <c r="AA172" s="22" t="inlineStr">
        <is>
          <t>API-017</t>
        </is>
      </c>
      <c r="AB172" s="19" t="inlineStr">
        <is>
          <t>Mapped to Debit card detail because the test case terms align with the 1.3.2 Card Details journey in the applicable API specification.</t>
        </is>
      </c>
      <c r="AC172" s="19" t="inlineStr">
        <is>
          <t>High</t>
        </is>
      </c>
      <c r="AD172"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73" ht="409.6" customHeight="1" s="2">
      <c r="A173" s="15" t="inlineStr">
        <is>
          <t>TC-B1-0172</t>
        </is>
      </c>
      <c r="B173" s="16" t="inlineStr">
        <is>
          <t>TS-B1-146</t>
        </is>
      </c>
      <c r="C173" s="16" t="inlineStr">
        <is>
          <t>Acct Dashboard Non-Financing</t>
        </is>
      </c>
      <c r="D173" s="16" t="inlineStr">
        <is>
          <t>Dashboard — Deposits</t>
        </is>
      </c>
      <c r="E173" s="16" t="inlineStr">
        <is>
          <t>Validate Step 10 — 1.2.1.7 Closed Account for CASA: Regular Savings Account; Current Account (conventional and shariah)</t>
        </is>
      </c>
      <c r="F173" s="16" t="inlineStr">
        <is>
          <t>Negative</t>
        </is>
      </c>
      <c r="G173" s="16" t="inlineStr">
        <is>
          <t>Medium</t>
        </is>
      </c>
      <c r="H173" s="16" t="inlineStr">
        <is>
          <t>Eligible user and product are available. Trigger the stated condition: Conditional Step 10 — displayed up to 90 days after closing date (NGBO-parameterised; 0 = not displayed); View Statements only; all other actions disabled</t>
        </is>
      </c>
      <c r="I173" s="16"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73" s="16" t="inlineStr">
        <is>
          <t>1. Open CASA: Regular Savings Account; Current Account (conventional and shariah).
2. Navigate to Step 10 — 1.2.1.7 Closed Account.
3. Perform the action or trigger described by: Conditional Step 10 — displayed up to 90 days after closing date (NGBO-parameterised; 0 = not displayed); View Statements only; all other actions disabled.
4. Observe the page, validation, navigation, and resulting state.</t>
        </is>
      </c>
      <c r="K173" s="16" t="inlineStr">
        <is>
          <t>Step 10 — 1.2.1.7 Closed Account behaves according to the mapped requirement (Conditional Step 10 — displayed up to 90 days after closing date (NGBO-parameterised; 0 = not displayed); View Statements only; all other actions disabled); data, controls, navigation, and status are accurate and consistent.</t>
        </is>
      </c>
      <c r="L173" s="16" t="inlineStr">
        <is>
          <t>L1 → redirect to Login (A&amp;A FSD); L3 → direct access; S2U required for: Manage Linked Card, Block Account, Reactivate Account (Inactive)</t>
        </is>
      </c>
      <c r="M173" s="16" t="inlineStr">
        <is>
          <t>Account details displayed; Transaction list displayed; S2U success / unsuccessful / authorisation failed for Manage Linked Card, Block Account, Reactivate Account</t>
        </is>
      </c>
      <c r="N173" s="16" t="inlineStr">
        <is>
          <t>Acct Dashboard Non-Financing!A19:B19</t>
        </is>
      </c>
      <c r="O173" s="16" t="inlineStr">
        <is>
          <t>Not Run</t>
        </is>
      </c>
      <c r="P173" s="16" t="n"/>
      <c r="Q173" s="16" t="n"/>
      <c r="R173" s="17" t="inlineStr">
        <is>
          <t>Conditional coverage required.</t>
        </is>
      </c>
      <c r="S173" s="19" t="inlineStr">
        <is>
          <t>Debit Card API Design</t>
        </is>
      </c>
      <c r="T173" s="19" t="inlineStr">
        <is>
          <t>Debit card detail</t>
        </is>
      </c>
      <c r="U173" s="19" t="inlineStr">
        <is>
          <t>GET</t>
        </is>
      </c>
      <c r="V173" s="19" t="inlineStr">
        <is>
          <t>/v1/external/accounts/account-type/{accountType}/account-id/{accountId}/detail</t>
        </is>
      </c>
      <c r="W173" s="19" t="inlineStr">
        <is>
          <t>info-card</t>
        </is>
      </c>
      <c r="X173" s="19" t="inlineStr">
        <is>
          <t>ECLIPSE_Account Dashboard_Debit_Card_DDD_API_Design_v1_Workshop (1).xlsx</t>
        </is>
      </c>
      <c r="Y173" s="19" t="inlineStr">
        <is>
          <t>1.3.2 Card Details</t>
        </is>
      </c>
      <c r="Z173" s="19" t="inlineStr">
        <is>
          <t>API_Specs_Index!A5:H5</t>
        </is>
      </c>
      <c r="AA173" s="22" t="inlineStr">
        <is>
          <t>API-017</t>
        </is>
      </c>
      <c r="AB173" s="19" t="inlineStr">
        <is>
          <t>Mapped to Debit card detail because the test case terms align with the 1.3.2 Card Details journey in the applicable API specification.</t>
        </is>
      </c>
      <c r="AC173" s="19" t="inlineStr">
        <is>
          <t>High</t>
        </is>
      </c>
      <c r="AD173"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74" ht="409.6" customHeight="1" s="2">
      <c r="A174" s="12" t="inlineStr">
        <is>
          <t>TC-B1-0173</t>
        </is>
      </c>
      <c r="B174" s="13" t="inlineStr">
        <is>
          <t>TS-B1-147</t>
        </is>
      </c>
      <c r="C174" s="13" t="inlineStr">
        <is>
          <t>Acct Dashboard Non-Financing</t>
        </is>
      </c>
      <c r="D174" s="13" t="inlineStr">
        <is>
          <t>Dashboard — Deposits</t>
        </is>
      </c>
      <c r="E174" s="13" t="inlineStr">
        <is>
          <t>Validate ViewAllTrans — Transaction History Display Rule for CASA: Regular Savings Account; Current Account (conventional and shariah)</t>
        </is>
      </c>
      <c r="F174" s="13" t="inlineStr">
        <is>
          <t>UI / Functional</t>
        </is>
      </c>
      <c r="G174" s="13" t="inlineStr">
        <is>
          <t>Medium</t>
        </is>
      </c>
      <c r="H174" s="13" t="inlineStr">
        <is>
          <t>Eligible user and product are available. Trigger the stated condition: Transactions tab shows latest 10 (YTD + last 24 months); "View All Transactions" hyperlink shown only if &gt;10 transactions</t>
        </is>
      </c>
      <c r="I174" s="13"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74" s="13" t="inlineStr">
        <is>
          <t>1. Open CASA: Regular Savings Account; Current Account (conventional and shariah).
2. Navigate to ViewAllTrans — Transaction History Display Rule.
3. Perform the action or trigger described by: Transactions tab shows latest 10 (YTD + last 24 months); "View All Transactions" hyperlink shown only if &gt;10 transactions.
4. Observe the page, validation, navigation, and resulting state.</t>
        </is>
      </c>
      <c r="K174" s="13" t="inlineStr">
        <is>
          <t>ViewAllTrans — Transaction History Display Rule behaves according to the mapped requirement (Transactions tab shows latest 10 (YTD + last 24 months); "View All Transactions" hyperlink shown only if &gt;10 transactions); data, controls, navigation, and status are accurate and consistent.</t>
        </is>
      </c>
      <c r="L174" s="13" t="inlineStr">
        <is>
          <t>L1 → redirect to Login (A&amp;A FSD); L3 → direct access; S2U required for: Manage Linked Card, Block Account, Reactivate Account (Inactive)</t>
        </is>
      </c>
      <c r="M174" s="13" t="inlineStr">
        <is>
          <t>Account details displayed; Transaction list displayed; S2U success / unsuccessful / authorisation failed for Manage Linked Card, Block Account, Reactivate Account</t>
        </is>
      </c>
      <c r="N174" s="13" t="inlineStr">
        <is>
          <t>Acct Dashboard Non-Financing!A40:B40</t>
        </is>
      </c>
      <c r="O174" s="13" t="inlineStr">
        <is>
          <t>Not Run</t>
        </is>
      </c>
      <c r="P174" s="13" t="n"/>
      <c r="Q174" s="13" t="n"/>
      <c r="R174" s="14" t="inlineStr">
        <is>
          <t>Conditional coverage required.</t>
        </is>
      </c>
      <c r="S174" s="19" t="inlineStr">
        <is>
          <t>Debit Card API Design</t>
        </is>
      </c>
      <c r="T174" s="19" t="inlineStr">
        <is>
          <t>Debit card detail</t>
        </is>
      </c>
      <c r="U174" s="19" t="inlineStr">
        <is>
          <t>GET</t>
        </is>
      </c>
      <c r="V174" s="19" t="inlineStr">
        <is>
          <t>/v1/external/accounts/account-type/{accountType}/account-id/{accountId}/detail</t>
        </is>
      </c>
      <c r="W174" s="19" t="inlineStr">
        <is>
          <t>info-card</t>
        </is>
      </c>
      <c r="X174" s="19" t="inlineStr">
        <is>
          <t>ECLIPSE_Account Dashboard_Debit_Card_DDD_API_Design_v1_Workshop (1).xlsx</t>
        </is>
      </c>
      <c r="Y174" s="19" t="inlineStr">
        <is>
          <t>1.3.2 Card Details</t>
        </is>
      </c>
      <c r="Z174" s="19" t="inlineStr">
        <is>
          <t>API_Specs_Index!A5:H5</t>
        </is>
      </c>
      <c r="AA174" s="22" t="inlineStr">
        <is>
          <t>API-017</t>
        </is>
      </c>
      <c r="AB174" s="19" t="inlineStr">
        <is>
          <t>Mapped to Debit card detail because the test case terms align with the 1.3.2 Card Details journey in the applicable API specification.</t>
        </is>
      </c>
      <c r="AC174" s="19" t="inlineStr">
        <is>
          <t>High</t>
        </is>
      </c>
      <c r="AD174"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75" ht="409.6" customHeight="1" s="2">
      <c r="A175" s="15" t="inlineStr">
        <is>
          <t>TC-B1-0174</t>
        </is>
      </c>
      <c r="B175" s="16" t="inlineStr">
        <is>
          <t>TS-B1-148</t>
        </is>
      </c>
      <c r="C175" s="16" t="inlineStr">
        <is>
          <t>Acct Dashboard Non-Financing</t>
        </is>
      </c>
      <c r="D175" s="16" t="inlineStr">
        <is>
          <t>Dashboard — Deposits</t>
        </is>
      </c>
      <c r="E175" s="16" t="inlineStr">
        <is>
          <t>Validate Business Profile / IBO Disclaimer for CASA: Regular Savings Account; Current Account (conventional and shariah)</t>
        </is>
      </c>
      <c r="F175" s="16" t="inlineStr">
        <is>
          <t>UI / Functional</t>
        </is>
      </c>
      <c r="G175" s="16" t="inlineStr">
        <is>
          <t>Medium</t>
        </is>
      </c>
      <c r="H175" s="16" t="inlineStr">
        <is>
          <t>Eligible user and product are available. Trigger the stated condition: Disclaimer box displayed if business profile set up; for this release all accounts shown; upon IBO: only personal accounts displayed</t>
        </is>
      </c>
      <c r="I175" s="16"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75" s="16" t="inlineStr">
        <is>
          <t>1. Open CASA: Regular Savings Account; Current Account (conventional and shariah).
2. Navigate to Business Profile / IBO Disclaimer.
3. Perform the action or trigger described by: Disclaimer box displayed if business profile set up; for this release all accounts shown; upon IBO: only personal accounts displayed.
4. Observe the page, validation, navigation, and resulting state.</t>
        </is>
      </c>
      <c r="K175" s="16" t="inlineStr">
        <is>
          <t>Business Profile / IBO Disclaimer behaves according to the mapped requirement (Disclaimer box displayed if business profile set up; for this release all accounts shown; upon IBO: only personal accounts displayed); data, controls, navigation, and status are accurate and consistent.</t>
        </is>
      </c>
      <c r="L175" s="16" t="inlineStr">
        <is>
          <t>L1 → redirect to Login (A&amp;A FSD); L3 → direct access; S2U required for: Manage Linked Card, Block Account, Reactivate Account (Inactive)</t>
        </is>
      </c>
      <c r="M175" s="16" t="inlineStr">
        <is>
          <t>Account details displayed; Transaction list displayed; S2U success / unsuccessful / authorisation failed for Manage Linked Card, Block Account, Reactivate Account</t>
        </is>
      </c>
      <c r="N175" s="16" t="inlineStr">
        <is>
          <t>Acct Dashboard Non-Financing!A43:B43</t>
        </is>
      </c>
      <c r="O175" s="16" t="inlineStr">
        <is>
          <t>Not Run</t>
        </is>
      </c>
      <c r="P175" s="16" t="n"/>
      <c r="Q175" s="16" t="n"/>
      <c r="R175" s="17" t="inlineStr">
        <is>
          <t>Conditional coverage required.</t>
        </is>
      </c>
      <c r="S175" s="19" t="inlineStr">
        <is>
          <t>Debit Card API Design</t>
        </is>
      </c>
      <c r="T175" s="19" t="inlineStr">
        <is>
          <t>Debit card detail</t>
        </is>
      </c>
      <c r="U175" s="19" t="inlineStr">
        <is>
          <t>GET</t>
        </is>
      </c>
      <c r="V175" s="19" t="inlineStr">
        <is>
          <t>/v1/external/accounts/account-type/{accountType}/account-id/{accountId}/detail</t>
        </is>
      </c>
      <c r="W175" s="19" t="inlineStr">
        <is>
          <t>info-card</t>
        </is>
      </c>
      <c r="X175" s="19" t="inlineStr">
        <is>
          <t>ECLIPSE_Account Dashboard_Debit_Card_DDD_API_Design_v1_Workshop (1).xlsx</t>
        </is>
      </c>
      <c r="Y175" s="19" t="inlineStr">
        <is>
          <t>1.3.2 Card Details</t>
        </is>
      </c>
      <c r="Z175" s="19" t="inlineStr">
        <is>
          <t>API_Specs_Index!A5:H5</t>
        </is>
      </c>
      <c r="AA175" s="22" t="inlineStr">
        <is>
          <t>API-017</t>
        </is>
      </c>
      <c r="AB175" s="19" t="inlineStr">
        <is>
          <t>Mapped to Debit card detail because the test case terms align with the 1.3.2 Card Details journey in the applicable API specification.</t>
        </is>
      </c>
      <c r="AC175" s="19" t="inlineStr">
        <is>
          <t>High</t>
        </is>
      </c>
      <c r="AD175"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76" ht="409.6" customHeight="1" s="2">
      <c r="A176" s="12" t="inlineStr">
        <is>
          <t>TC-B1-0175</t>
        </is>
      </c>
      <c r="B176" s="13" t="inlineStr">
        <is>
          <t>TS-B1-149</t>
        </is>
      </c>
      <c r="C176" s="13" t="inlineStr">
        <is>
          <t>Acct Dashboard Non-Financing</t>
        </is>
      </c>
      <c r="D176" s="13" t="inlineStr">
        <is>
          <t>Dashboard — Deposits</t>
        </is>
      </c>
      <c r="E176" s="13" t="inlineStr">
        <is>
          <t>Validate External FSD References for CASA: Regular Savings Account; Current Account (conventional and shariah)</t>
        </is>
      </c>
      <c r="F176" s="13" t="inlineStr">
        <is>
          <t>Security</t>
        </is>
      </c>
      <c r="G176" s="13" t="inlineStr">
        <is>
          <t>High</t>
        </is>
      </c>
      <c r="H176" s="13" t="inlineStr">
        <is>
          <t>Eligible user and product are available. User has reached the preceding journey step.</t>
        </is>
      </c>
      <c r="I176" s="13"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76" s="13" t="inlineStr">
        <is>
          <t>1. Open CASA: Regular Savings Account; Current Account (conventional and shariah).
2. Navigate to External FSD References.
3. Perform the action or trigger described by: Login: refer to A&amp;A FSD; Set as Primary: refer to AD Common FSD; Add/Edit Nickname: refer to AD Common FSD; Tabung: refer to Tabung FSD; Apply Deposit: refer to Apply STP Non Financing FSD; View Statements: refer to Document FSD; Transfer: refer to Local Transfer FSD; Pay Bills: refer to Money Out FSD; Common Authorisation Failed: refer to Common FSD; Common Masking Rules: refer to Common FSD; Edit Function Rules: refer to Common FSD.
4. Observe the page, validation, navigation, and resulting state.</t>
        </is>
      </c>
      <c r="K176" s="13" t="inlineStr">
        <is>
          <t>External FSD References behaves according to the mapped requirement (Login: refer to A&amp;A FSD; Set as Primary: refer to AD Common FSD; Add/Edit Nickname: refer to AD Common FSD; Tabung: refer to Tabung FSD; Apply Deposit: refer to Apply STP Non Financing FSD; View Statements: refer to Document FSD; Transfer: refer to Local Transfer FSD; Pay Bills: refer to Money Out FSD; Common Authorisation Failed: refer to Common FSD; Common Masking Rules: refer to Common FSD; Edit Function Rules: refer to Common FSD); data, controls, navigation, and status are accurate and consistent.</t>
        </is>
      </c>
      <c r="L176" s="13" t="inlineStr">
        <is>
          <t>L1 → redirect to Login (A&amp;A FSD); L3 → direct access; S2U required for: Manage Linked Card, Block Account, Reactivate Account (Inactive)</t>
        </is>
      </c>
      <c r="M176" s="13" t="inlineStr">
        <is>
          <t>Account details displayed; Transaction list displayed; S2U success / unsuccessful / authorisation failed for Manage Linked Card, Block Account, Reactivate Account</t>
        </is>
      </c>
      <c r="N176" s="13" t="inlineStr">
        <is>
          <t>Acct Dashboard Non-Financing!A45:B45</t>
        </is>
      </c>
      <c r="O176" s="13" t="inlineStr">
        <is>
          <t>Not Run</t>
        </is>
      </c>
      <c r="P176" s="13" t="n"/>
      <c r="Q176" s="13" t="n"/>
      <c r="R176" s="14" t="n"/>
      <c r="S176" s="19" t="inlineStr">
        <is>
          <t>Debit Card API Design</t>
        </is>
      </c>
      <c r="T176" s="19" t="inlineStr">
        <is>
          <t>Debit card detail</t>
        </is>
      </c>
      <c r="U176" s="19" t="inlineStr">
        <is>
          <t>GET</t>
        </is>
      </c>
      <c r="V176" s="19" t="inlineStr">
        <is>
          <t>/v1/external/accounts/account-type/{accountType}/account-id/{accountId}/detail</t>
        </is>
      </c>
      <c r="W176" s="19" t="inlineStr">
        <is>
          <t>info-card</t>
        </is>
      </c>
      <c r="X176" s="19" t="inlineStr">
        <is>
          <t>ECLIPSE_Account Dashboard_Debit_Card_DDD_API_Design_v1_Workshop (1).xlsx</t>
        </is>
      </c>
      <c r="Y176" s="19" t="inlineStr">
        <is>
          <t>1.3.2 Card Details</t>
        </is>
      </c>
      <c r="Z176" s="19" t="inlineStr">
        <is>
          <t>API_Specs_Index!A5:H5</t>
        </is>
      </c>
      <c r="AA176" s="22" t="inlineStr">
        <is>
          <t>API-017</t>
        </is>
      </c>
      <c r="AB176" s="19" t="inlineStr">
        <is>
          <t>Mapped to Debit card detail because the test case terms align with the 1.3.2 Card Details journey in the applicable API specification.</t>
        </is>
      </c>
      <c r="AC176" s="19" t="inlineStr">
        <is>
          <t>High</t>
        </is>
      </c>
      <c r="AD176"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77" ht="409.6" customHeight="1" s="2">
      <c r="A177" s="15" t="inlineStr">
        <is>
          <t>TC-B1-0176</t>
        </is>
      </c>
      <c r="B177" s="16" t="inlineStr">
        <is>
          <t>TS-B1-150</t>
        </is>
      </c>
      <c r="C177" s="16" t="inlineStr">
        <is>
          <t>Acct Dashboard Non-Financing</t>
        </is>
      </c>
      <c r="D177" s="16" t="inlineStr">
        <is>
          <t>Dashboard — Deposits</t>
        </is>
      </c>
      <c r="E177" s="16" t="inlineStr">
        <is>
          <t>Validate successful final state for CASA: Regular Savings Account; Current Account (conventional and shariah)</t>
        </is>
      </c>
      <c r="F177" s="16" t="inlineStr">
        <is>
          <t>Positive</t>
        </is>
      </c>
      <c r="G177" s="16" t="inlineStr">
        <is>
          <t>High</t>
        </is>
      </c>
      <c r="H177" s="16" t="inlineStr">
        <is>
          <t>All required inputs and services are valid. Expected statuses: Account details displayed; Transaction list displayed; S2U success / unsuccessful / authorisation failed for Manage Linked Card, Block Account, Reactivate Account</t>
        </is>
      </c>
      <c r="I177" s="16"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77" s="16" t="inlineStr">
        <is>
          <t>1. Complete the end-to-end journey with valid data.
2. Submit/confirm the final action.
3. Verify result, receipt/notification where applicable, and persisted state.</t>
        </is>
      </c>
      <c r="K177" s="16" t="inlineStr">
        <is>
          <t>A valid success status from the requirement is shown. The transaction or change is applied once, persisted, and reflected on refresh.</t>
        </is>
      </c>
      <c r="L177" s="16" t="inlineStr">
        <is>
          <t>L1 → redirect to Login (A&amp;A FSD); L3 → direct access; S2U required for: Manage Linked Card, Block Account, Reactivate Account (Inactive)</t>
        </is>
      </c>
      <c r="M177" s="16" t="inlineStr">
        <is>
          <t>Account details displayed; Transaction list displayed; S2U success / unsuccessful / authorisation failed for Manage Linked Card, Block Account, Reactivate Account</t>
        </is>
      </c>
      <c r="N177" s="16" t="inlineStr">
        <is>
          <t>Acct Dashboard Non-Financing!B1:B45</t>
        </is>
      </c>
      <c r="O177" s="16" t="inlineStr">
        <is>
          <t>Not Run</t>
        </is>
      </c>
      <c r="P177" s="16" t="n"/>
      <c r="Q177" s="16" t="n"/>
      <c r="R177" s="17" t="n"/>
      <c r="S177" s="19" t="inlineStr">
        <is>
          <t>Debit Card API Design</t>
        </is>
      </c>
      <c r="T177" s="19" t="inlineStr">
        <is>
          <t>Debit card detail</t>
        </is>
      </c>
      <c r="U177" s="19" t="inlineStr">
        <is>
          <t>GET</t>
        </is>
      </c>
      <c r="V177" s="19" t="inlineStr">
        <is>
          <t>/v1/external/accounts/account-type/{accountType}/account-id/{accountId}/detail</t>
        </is>
      </c>
      <c r="W177" s="19" t="inlineStr">
        <is>
          <t>info-card</t>
        </is>
      </c>
      <c r="X177" s="19" t="inlineStr">
        <is>
          <t>ECLIPSE_Account Dashboard_Debit_Card_DDD_API_Design_v1_Workshop (1).xlsx</t>
        </is>
      </c>
      <c r="Y177" s="19" t="inlineStr">
        <is>
          <t>1.3.2 Card Details</t>
        </is>
      </c>
      <c r="Z177" s="19" t="inlineStr">
        <is>
          <t>API_Specs_Index!A5:H5</t>
        </is>
      </c>
      <c r="AA177" s="22" t="inlineStr">
        <is>
          <t>API-017</t>
        </is>
      </c>
      <c r="AB177" s="19" t="inlineStr">
        <is>
          <t>Mapped to Debit card detail because the test case terms align with the 1.3.2 Card Details journey in the applicable API specification.</t>
        </is>
      </c>
      <c r="AC177" s="19" t="inlineStr">
        <is>
          <t>High</t>
        </is>
      </c>
      <c r="AD177"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78" ht="409.6" customHeight="1" s="2">
      <c r="A178" s="12" t="inlineStr">
        <is>
          <t>TC-B1-0177</t>
        </is>
      </c>
      <c r="B178" s="13" t="inlineStr">
        <is>
          <t>TS-B1-150</t>
        </is>
      </c>
      <c r="C178" s="13" t="inlineStr">
        <is>
          <t>Acct Dashboard Non-Financing</t>
        </is>
      </c>
      <c r="D178" s="13" t="inlineStr">
        <is>
          <t>Dashboard — Deposits</t>
        </is>
      </c>
      <c r="E178" s="13" t="inlineStr">
        <is>
          <t>Validate service failure and retry for CASA: Regular Savings Account; Current Account (conventional and shariah)</t>
        </is>
      </c>
      <c r="F178" s="13" t="inlineStr">
        <is>
          <t>Negative</t>
        </is>
      </c>
      <c r="G178" s="13" t="inlineStr">
        <is>
          <t>High</t>
        </is>
      </c>
      <c r="H178" s="13" t="inlineStr">
        <is>
          <t>Journey is available; simulate a controlled downstream timeout or unsuccessful response. Expected statuses: Account details displayed; Transaction list displayed; S2U success / unsuccessful / authorisation failed for Manage Linked Card, Block Account, Reactivate Account</t>
        </is>
      </c>
      <c r="I178" s="13" t="inlineStr">
        <is>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is>
      </c>
      <c r="J178" s="13" t="inlineStr">
        <is>
          <t>1. Progress to the final action.
2. Trigger a timeout, unavailable service, or unsuccessful response.
3. Verify the error message and retry behavior.
4. Retry after service recovery.</t>
        </is>
      </c>
      <c r="K178" s="13" t="inlineStr">
        <is>
          <t>No duplicate action occurs. The configured unsuccessful/processing state is shown, retry is safe, and final status becomes consistent after recovery.</t>
        </is>
      </c>
      <c r="L178" s="13" t="inlineStr">
        <is>
          <t>L1 → redirect to Login (A&amp;A FSD); L3 → direct access; S2U required for: Manage Linked Card, Block Account, Reactivate Account (Inactive)</t>
        </is>
      </c>
      <c r="M178" s="13" t="inlineStr">
        <is>
          <t>Account details displayed; Transaction list displayed; S2U success / unsuccessful / authorisation failed for Manage Linked Card, Block Account, Reactivate Account</t>
        </is>
      </c>
      <c r="N178" s="13" t="inlineStr">
        <is>
          <t>Acct Dashboard Non-Financing!B1:B45</t>
        </is>
      </c>
      <c r="O178" s="13" t="inlineStr">
        <is>
          <t>Not Run</t>
        </is>
      </c>
      <c r="P178" s="13" t="n"/>
      <c r="Q178" s="13" t="n"/>
      <c r="R178" s="14" t="n"/>
      <c r="S178" s="19" t="inlineStr">
        <is>
          <t>Debit Card API Design</t>
        </is>
      </c>
      <c r="T178" s="19" t="inlineStr">
        <is>
          <t>Debit card detail</t>
        </is>
      </c>
      <c r="U178" s="19" t="inlineStr">
        <is>
          <t>GET</t>
        </is>
      </c>
      <c r="V178" s="19" t="inlineStr">
        <is>
          <t>/v1/external/accounts/account-type/{accountType}/account-id/{accountId}/detail</t>
        </is>
      </c>
      <c r="W178" s="19" t="inlineStr">
        <is>
          <t>info-card</t>
        </is>
      </c>
      <c r="X178" s="19" t="inlineStr">
        <is>
          <t>ECLIPSE_Account Dashboard_Debit_Card_DDD_API_Design_v1_Workshop (1).xlsx</t>
        </is>
      </c>
      <c r="Y178" s="19" t="inlineStr">
        <is>
          <t>1.3.2 Card Details</t>
        </is>
      </c>
      <c r="Z178" s="19" t="inlineStr">
        <is>
          <t>API_Specs_Index!A5:H5</t>
        </is>
      </c>
      <c r="AA178" s="22" t="inlineStr">
        <is>
          <t>API-017</t>
        </is>
      </c>
      <c r="AB178" s="19" t="inlineStr">
        <is>
          <t>Mapped to Debit card detail because the test case terms align with the 1.3.2 Card Details journey in the applicable API specification.</t>
        </is>
      </c>
      <c r="AC178" s="19" t="inlineStr">
        <is>
          <t>High</t>
        </is>
      </c>
      <c r="AD178" s="19" t="inlineStr">
        <is>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is>
      </c>
    </row>
    <row r="179" ht="345" customHeight="1" s="2">
      <c r="A179" s="15" t="inlineStr">
        <is>
          <t>TC-B1-0178</t>
        </is>
      </c>
      <c r="B179" s="16" t="inlineStr">
        <is>
          <t>TS-B1-151</t>
        </is>
      </c>
      <c r="C179" s="16" t="inlineStr">
        <is>
          <t>Acct Dashboard Non-Financing</t>
        </is>
      </c>
      <c r="D179" s="16" t="inlineStr">
        <is>
          <t>Dashboard — Deposits</t>
        </is>
      </c>
      <c r="E179" s="16" t="inlineStr">
        <is>
          <t>Open RDN Konvensional (securities nominee account) from valid entry point</t>
        </is>
      </c>
      <c r="F179" s="16" t="inlineStr">
        <is>
          <t>Positive</t>
        </is>
      </c>
      <c r="G179" s="16" t="inlineStr">
        <is>
          <t>Medium</t>
        </is>
      </c>
      <c r="H179" s="16" t="inlineStr">
        <is>
          <t>Eligible user: L3 post-login; personal individual account holder</t>
        </is>
      </c>
      <c r="I179" s="16" t="inlineStr">
        <is>
          <t>Account / Card / Policy Type: Active RDNK; IDR; no primary, no joint-AND primary; linked to securities firm; Currency / FCY Criteria: IDR only</t>
        </is>
      </c>
      <c r="J179" s="16" t="inlineStr">
        <is>
          <t>1. Sign in at the required access level.
2. Navigate using: Account Dashboard Landing → Savings &amp; Current tab → RDN card.
3. Select RDN Konvensional (securities nominee account).</t>
        </is>
      </c>
      <c r="K179" s="16" t="inlineStr">
        <is>
          <t>The correct Dashboard — Deposits page opens and relevant product information is displayed without error.</t>
        </is>
      </c>
      <c r="L179" s="16" t="inlineStr">
        <is>
          <t>L3 direct access; no S2U for view; S2U for linked card / block actions per 1.2.1.x</t>
        </is>
      </c>
      <c r="M179" s="16" t="inlineStr">
        <is>
          <t>Account details displayed; transaction list displayed</t>
        </is>
      </c>
      <c r="N179" s="16" t="inlineStr">
        <is>
          <t>Acct Dashboard Non-Financing!C1:C45</t>
        </is>
      </c>
      <c r="O179" s="16" t="inlineStr">
        <is>
          <t>Not Run</t>
        </is>
      </c>
      <c r="P179" s="16" t="n"/>
      <c r="Q179" s="16" t="n"/>
      <c r="R179" s="17" t="n"/>
      <c r="S179" s="19" t="inlineStr">
        <is>
          <t>Loan API Design</t>
        </is>
      </c>
      <c r="T179" s="19" t="inlineStr">
        <is>
          <t>View all transaction history</t>
        </is>
      </c>
      <c r="U179" s="19" t="inlineStr">
        <is>
          <t>GET</t>
        </is>
      </c>
      <c r="V179" s="19" t="inlineStr">
        <is>
          <t>/v1/external/accounts/account-type/{accountType}/account-id/{accountId}/transactions?startDate={startDate}&amp;endDate={endDate}&amp;page={page}&amp;limit={limit}</t>
        </is>
      </c>
      <c r="W179" s="19" t="inlineStr">
        <is>
          <t>info-loan</t>
        </is>
      </c>
      <c r="X179" s="19" t="inlineStr">
        <is>
          <t>ECLIPSE_Account Dashboard_Loan_DDD_API_Design_v1_Workshop.xlsx</t>
        </is>
      </c>
      <c r="Y179" s="19" t="inlineStr">
        <is>
          <t>1.2.1 View All Trans</t>
        </is>
      </c>
      <c r="Z179" s="19" t="inlineStr">
        <is>
          <t>API_Specs_Index!A5:H5</t>
        </is>
      </c>
      <c r="AA179" s="22" t="inlineStr">
        <is>
          <t>API-028</t>
        </is>
      </c>
      <c r="AB179" s="19" t="inlineStr">
        <is>
          <t>Mapped to View all transaction history because the test case terms align with the 1.2.1 View All Trans journey in the applicable API specification.</t>
        </is>
      </c>
      <c r="AC179" s="19" t="inlineStr">
        <is>
          <t>High</t>
        </is>
      </c>
      <c r="AD179"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80" ht="409.6" customHeight="1" s="2">
      <c r="A180" s="12" t="inlineStr">
        <is>
          <t>TC-B1-0179</t>
        </is>
      </c>
      <c r="B180" s="13" t="inlineStr">
        <is>
          <t>TS-B1-151</t>
        </is>
      </c>
      <c r="C180" s="13" t="inlineStr">
        <is>
          <t>Acct Dashboard Non-Financing</t>
        </is>
      </c>
      <c r="D180" s="13" t="inlineStr">
        <is>
          <t>Dashboard — Deposits</t>
        </is>
      </c>
      <c r="E180" s="13" t="inlineStr">
        <is>
          <t>Validate ineligible or unavailable state for RDN Konvensional (securities nominee account)</t>
        </is>
      </c>
      <c r="F180" s="13" t="inlineStr">
        <is>
          <t>Negative</t>
        </is>
      </c>
      <c r="G180" s="13" t="inlineStr">
        <is>
          <t>High</t>
        </is>
      </c>
      <c r="H180" s="13" t="inlineStr">
        <is>
          <t>User or product does not meet one configured eligibility condition. Eligible baseline: L3 post-login; personal individual account holder</t>
        </is>
      </c>
      <c r="I180" s="13" t="inlineStr">
        <is>
          <t>Account / Card / Policy Type: Active RDNK; IDR; no primary, no joint-AND primary; linked to securities firm; Currency / FCY Criteria: IDR only</t>
        </is>
      </c>
      <c r="J180" s="13" t="inlineStr">
        <is>
          <t>1. Prepare an ineligible, unsupported, blocked, or unavailable test profile.
2. Navigate using: Account Dashboard Landing → Savings &amp; Current tab → RDN card.
3. Attempt to open RDN Konvensional (securities nominee account).</t>
        </is>
      </c>
      <c r="K180" s="13" t="inlineStr">
        <is>
          <t>Access is prevented or the feature is hidden/disabled. A clear message is shown and no unauthorised data or action is exposed.</t>
        </is>
      </c>
      <c r="L180" s="13" t="inlineStr">
        <is>
          <t>L3 direct access; no S2U for view; S2U for linked card / block actions per 1.2.1.x</t>
        </is>
      </c>
      <c r="M180" s="13" t="inlineStr">
        <is>
          <t>Account details displayed; transaction list displayed</t>
        </is>
      </c>
      <c r="N180" s="13" t="inlineStr">
        <is>
          <t>Acct Dashboard Non-Financing!C1:C45</t>
        </is>
      </c>
      <c r="O180" s="13" t="inlineStr">
        <is>
          <t>Not Run</t>
        </is>
      </c>
      <c r="P180" s="13" t="n"/>
      <c r="Q180" s="13" t="n"/>
      <c r="R180" s="14" t="n"/>
      <c r="S180" s="19" t="inlineStr">
        <is>
          <t>Loan API Design</t>
        </is>
      </c>
      <c r="T180" s="19" t="inlineStr">
        <is>
          <t>Loan transaction history</t>
        </is>
      </c>
      <c r="U180" s="19" t="inlineStr">
        <is>
          <t>GET</t>
        </is>
      </c>
      <c r="V180" s="19" t="inlineStr">
        <is>
          <t>/v1/external/accounts/account-type/{accountType}/account-id/{accountId}/transactions</t>
        </is>
      </c>
      <c r="W180" s="19" t="inlineStr">
        <is>
          <t>info-loan</t>
        </is>
      </c>
      <c r="X180" s="19" t="inlineStr">
        <is>
          <t>ECLIPSE_Account Dashboard_Loan_DDD_API_Design_v1_Workshop.xlsx</t>
        </is>
      </c>
      <c r="Y180" s="19" t="inlineStr">
        <is>
          <t>1.2 Personal Loan Acc
1.2.4 PL Shariah Acc
1.3 Auto Loan Acc
1.3.1 Auto Loan Shariah
1.4 Mortgage Loan Acc
1.4.1 Mortgage Loan Shariah</t>
        </is>
      </c>
      <c r="Z180" s="19" t="inlineStr">
        <is>
          <t>API_Specs_Index!A4:H4</t>
        </is>
      </c>
      <c r="AA180" s="22" t="inlineStr">
        <is>
          <t>API-027</t>
        </is>
      </c>
      <c r="AB180" s="19" t="inlineStr">
        <is>
          <t>Mapped to Loan transaction history because the test case terms align with the 1.2 Personal Loan Acc
1.2.4 PL Shariah Acc
1.3 Auto Loan Acc
1.3.1 Auto Loan Shariah
1.4 Mortgage Loan Acc
1.4.1 Mortgage Loan Shariah journey in the applicable API specification.</t>
        </is>
      </c>
      <c r="AC180" s="19" t="inlineStr">
        <is>
          <t>High</t>
        </is>
      </c>
      <c r="AD180" s="19" t="inlineStr">
        <is>
          <t>Pending ESB Spec</t>
        </is>
      </c>
    </row>
    <row r="181" ht="262.2" customHeight="1" s="2">
      <c r="A181" s="15" t="inlineStr">
        <is>
          <t>TC-B1-0180</t>
        </is>
      </c>
      <c r="B181" s="16" t="inlineStr">
        <is>
          <t>TS-B1-152</t>
        </is>
      </c>
      <c r="C181" s="16" t="inlineStr">
        <is>
          <t>Acct Dashboard Non-Financing</t>
        </is>
      </c>
      <c r="D181" s="16" t="inlineStr">
        <is>
          <t>Dashboard — Deposits</t>
        </is>
      </c>
      <c r="E181" s="16" t="inlineStr">
        <is>
          <t>Complete required authentication for RDN Konvensional (securities nominee account)</t>
        </is>
      </c>
      <c r="F181" s="16" t="inlineStr">
        <is>
          <t>Security</t>
        </is>
      </c>
      <c r="G181" s="16" t="inlineStr">
        <is>
          <t>High</t>
        </is>
      </c>
      <c r="H181" s="16" t="inlineStr">
        <is>
          <t>Eligible user; authentication method is active. Requirement: L3 direct access; no S2U for view; S2U for linked card / block actions per 1.2.1.x</t>
        </is>
      </c>
      <c r="I181" s="16" t="inlineStr">
        <is>
          <t>Account / Card / Policy Type: Active RDNK; IDR; no primary, no joint-AND primary; linked to securities firm; Currency / FCY Criteria: IDR only</t>
        </is>
      </c>
      <c r="J181" s="16" t="inlineStr">
        <is>
          <t>1. Start the protected action.
2. Complete the configured authentication with valid credentials.
3. Continue the journey.</t>
        </is>
      </c>
      <c r="K181" s="16" t="inlineStr">
        <is>
          <t>Authentication succeeds, the protected action continues once, and the user returns to the correct journey context.</t>
        </is>
      </c>
      <c r="L181" s="16" t="inlineStr">
        <is>
          <t>L3 direct access; no S2U for view; S2U for linked card / block actions per 1.2.1.x</t>
        </is>
      </c>
      <c r="M181" s="16" t="inlineStr">
        <is>
          <t>Account details displayed; transaction list displayed</t>
        </is>
      </c>
      <c r="N181" s="16" t="inlineStr">
        <is>
          <t>Acct Dashboard Non-Financing!C1:C45</t>
        </is>
      </c>
      <c r="O181" s="16" t="inlineStr">
        <is>
          <t>Not Run</t>
        </is>
      </c>
      <c r="P181" s="16" t="n"/>
      <c r="Q181" s="16" t="n"/>
      <c r="R181" s="17" t="n"/>
      <c r="S181" s="19" t="inlineStr">
        <is>
          <t>Loan API Design</t>
        </is>
      </c>
      <c r="T181" s="19" t="inlineStr">
        <is>
          <t>View all transaction history</t>
        </is>
      </c>
      <c r="U181" s="19" t="inlineStr">
        <is>
          <t>GET</t>
        </is>
      </c>
      <c r="V181" s="19" t="inlineStr">
        <is>
          <t>/v1/external/accounts/account-type/{accountType}/account-id/{accountId}/transactions?startDate={startDate}&amp;endDate={endDate}&amp;page={page}&amp;limit={limit}</t>
        </is>
      </c>
      <c r="W181" s="19" t="inlineStr">
        <is>
          <t>info-loan</t>
        </is>
      </c>
      <c r="X181" s="19" t="inlineStr">
        <is>
          <t>ECLIPSE_Account Dashboard_Loan_DDD_API_Design_v1_Workshop.xlsx</t>
        </is>
      </c>
      <c r="Y181" s="19" t="inlineStr">
        <is>
          <t>1.2.1 View All Trans</t>
        </is>
      </c>
      <c r="Z181" s="19" t="inlineStr">
        <is>
          <t>API_Specs_Index!A5:H5</t>
        </is>
      </c>
      <c r="AA181" s="22" t="inlineStr">
        <is>
          <t>API-028</t>
        </is>
      </c>
      <c r="AB181" s="19" t="inlineStr">
        <is>
          <t>Mapped to View all transaction history because the test case terms align with the 1.2.1 View All Trans journey in the applicable API specification.</t>
        </is>
      </c>
      <c r="AC181" s="19" t="inlineStr">
        <is>
          <t>High</t>
        </is>
      </c>
      <c r="AD181"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82" ht="303.6" customHeight="1" s="2">
      <c r="A182" s="12" t="inlineStr">
        <is>
          <t>TC-B1-0181</t>
        </is>
      </c>
      <c r="B182" s="13" t="inlineStr">
        <is>
          <t>TS-B1-152</t>
        </is>
      </c>
      <c r="C182" s="13" t="inlineStr">
        <is>
          <t>Acct Dashboard Non-Financing</t>
        </is>
      </c>
      <c r="D182" s="13" t="inlineStr">
        <is>
          <t>Dashboard — Deposits</t>
        </is>
      </c>
      <c r="E182" s="13" t="inlineStr">
        <is>
          <t>Reject invalid, cancelled, or expired authentication for RDN Konvensional (securities nominee account)</t>
        </is>
      </c>
      <c r="F182" s="13" t="inlineStr">
        <is>
          <t>Negative / Security</t>
        </is>
      </c>
      <c r="G182" s="13" t="inlineStr">
        <is>
          <t>High</t>
        </is>
      </c>
      <c r="H182" s="13" t="inlineStr">
        <is>
          <t>Eligible user; protected action requires authentication. Requirement: L3 direct access; no S2U for view; S2U for linked card / block actions per 1.2.1.x</t>
        </is>
      </c>
      <c r="I182" s="13" t="inlineStr">
        <is>
          <t>Account / Card / Policy Type: Active RDNK; IDR; no primary, no joint-AND primary; linked to securities firm; Currency / FCY Criteria: IDR only</t>
        </is>
      </c>
      <c r="J182" s="13" t="inlineStr">
        <is>
          <t>1. Start the protected action.
2. Enter invalid credentials, cancel, or allow the challenge to expire.
3. Observe the result.</t>
        </is>
      </c>
      <c r="K182" s="13" t="inlineStr">
        <is>
          <t>The action is not performed. The configured failure/lockout message is shown, sensitive data remains protected, and retry behavior follows the requirement.</t>
        </is>
      </c>
      <c r="L182" s="13" t="inlineStr">
        <is>
          <t>L3 direct access; no S2U for view; S2U for linked card / block actions per 1.2.1.x</t>
        </is>
      </c>
      <c r="M182" s="13" t="inlineStr">
        <is>
          <t>Account details displayed; transaction list displayed</t>
        </is>
      </c>
      <c r="N182" s="13" t="inlineStr">
        <is>
          <t>Acct Dashboard Non-Financing!C1:C45</t>
        </is>
      </c>
      <c r="O182" s="13" t="inlineStr">
        <is>
          <t>Not Run</t>
        </is>
      </c>
      <c r="P182" s="13" t="n"/>
      <c r="Q182" s="13" t="n"/>
      <c r="R182" s="14" t="n"/>
      <c r="S182" s="19" t="inlineStr">
        <is>
          <t>Loan API Design</t>
        </is>
      </c>
      <c r="T182" s="19" t="inlineStr">
        <is>
          <t>View all transaction history</t>
        </is>
      </c>
      <c r="U182" s="19" t="inlineStr">
        <is>
          <t>GET</t>
        </is>
      </c>
      <c r="V182" s="19" t="inlineStr">
        <is>
          <t>/v1/external/accounts/account-type/{accountType}/account-id/{accountId}/transactions?startDate={startDate}&amp;endDate={endDate}&amp;page={page}&amp;limit={limit}</t>
        </is>
      </c>
      <c r="W182" s="19" t="inlineStr">
        <is>
          <t>info-loan</t>
        </is>
      </c>
      <c r="X182" s="19" t="inlineStr">
        <is>
          <t>ECLIPSE_Account Dashboard_Loan_DDD_API_Design_v1_Workshop.xlsx</t>
        </is>
      </c>
      <c r="Y182" s="19" t="inlineStr">
        <is>
          <t>1.2.1 View All Trans</t>
        </is>
      </c>
      <c r="Z182" s="19" t="inlineStr">
        <is>
          <t>API_Specs_Index!A5:H5</t>
        </is>
      </c>
      <c r="AA182" s="22" t="inlineStr">
        <is>
          <t>API-028</t>
        </is>
      </c>
      <c r="AB182" s="19" t="inlineStr">
        <is>
          <t>Mapped to View all transaction history because the test case terms align with the 1.2.1 View All Trans journey in the applicable API specification.</t>
        </is>
      </c>
      <c r="AC182" s="19" t="inlineStr">
        <is>
          <t>High</t>
        </is>
      </c>
      <c r="AD182"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83" ht="409.6" customHeight="1" s="2">
      <c r="A183" s="15" t="inlineStr">
        <is>
          <t>TC-B1-0182</t>
        </is>
      </c>
      <c r="B183" s="16" t="inlineStr">
        <is>
          <t>TS-B1-153</t>
        </is>
      </c>
      <c r="C183" s="16" t="inlineStr">
        <is>
          <t>Acct Dashboard Non-Financing</t>
        </is>
      </c>
      <c r="D183" s="16" t="inlineStr">
        <is>
          <t>Dashboard — Deposits</t>
        </is>
      </c>
      <c r="E183" s="16" t="inlineStr">
        <is>
          <t>Validate Step 1 — 1.1 Account Dashboard Landing for RDN Konvensional (securities nominee account)</t>
        </is>
      </c>
      <c r="F183" s="16" t="inlineStr">
        <is>
          <t>UI / Functional</t>
        </is>
      </c>
      <c r="G183" s="16" t="inlineStr">
        <is>
          <t>Medium</t>
        </is>
      </c>
      <c r="H183" s="16" t="inlineStr">
        <is>
          <t>Eligible user and product are available. User has reached the preceding journey step.</t>
        </is>
      </c>
      <c r="I183" s="16" t="inlineStr">
        <is>
          <t>Account / Card / Policy Type: Active RDNK; IDR; no primary, no joint-AND primary; linked to securities firm; Currency / FCY Criteria: IDR only</t>
        </is>
      </c>
      <c r="J183" s="16" t="inlineStr">
        <is>
          <t>1. Open RDN Konvensional (securities nominee account).
2. Navigate to Step 1 — 1.1 Account Dashboard Landing.
3. Perform the action or trigger described by: Step 1.
4. Observe the page, validation, navigation, and resulting state.</t>
        </is>
      </c>
      <c r="K183" s="16" t="inlineStr">
        <is>
          <t>Step 1 — 1.1 Account Dashboard Landing behaves according to the mapped requirement (Step 1); data, controls, navigation, and status are accurate and consistent.</t>
        </is>
      </c>
      <c r="L183" s="16" t="inlineStr">
        <is>
          <t>L3 direct access; no S2U for view; S2U for linked card / block actions per 1.2.1.x</t>
        </is>
      </c>
      <c r="M183" s="16" t="inlineStr">
        <is>
          <t>Account details displayed; transaction list displayed</t>
        </is>
      </c>
      <c r="N183" s="16" t="inlineStr">
        <is>
          <t>Acct Dashboard Non-Financing!A10:C10</t>
        </is>
      </c>
      <c r="O183" s="16" t="inlineStr">
        <is>
          <t>Not Run</t>
        </is>
      </c>
      <c r="P183" s="16" t="n"/>
      <c r="Q183" s="16" t="n"/>
      <c r="R183" s="17" t="n"/>
      <c r="S183" s="19" t="inlineStr">
        <is>
          <t>Loan API Design</t>
        </is>
      </c>
      <c r="T183" s="19" t="inlineStr">
        <is>
          <t>View all transaction history</t>
        </is>
      </c>
      <c r="U183" s="19" t="inlineStr">
        <is>
          <t>GET</t>
        </is>
      </c>
      <c r="V183" s="19" t="inlineStr">
        <is>
          <t>/v1/external/accounts/account-type/{accountType}/account-id/{accountId}/transactions?startDate={startDate}&amp;endDate={endDate}&amp;page={page}&amp;limit={limit}</t>
        </is>
      </c>
      <c r="W183" s="19" t="inlineStr">
        <is>
          <t>info-loan</t>
        </is>
      </c>
      <c r="X183" s="19" t="inlineStr">
        <is>
          <t>ECLIPSE_Account Dashboard_Loan_DDD_API_Design_v1_Workshop.xlsx</t>
        </is>
      </c>
      <c r="Y183" s="19" t="inlineStr">
        <is>
          <t>1.2.1 View All Trans</t>
        </is>
      </c>
      <c r="Z183" s="19" t="inlineStr">
        <is>
          <t>API_Specs_Index!A5:H5</t>
        </is>
      </c>
      <c r="AA183" s="22" t="inlineStr">
        <is>
          <t>API-028</t>
        </is>
      </c>
      <c r="AB183" s="19" t="inlineStr">
        <is>
          <t>Mapped to View all transaction history because the test case terms align with the 1.2.1 View All Trans journey in the applicable API specification.</t>
        </is>
      </c>
      <c r="AC183" s="19" t="inlineStr">
        <is>
          <t>High</t>
        </is>
      </c>
      <c r="AD183"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84" ht="409.6" customHeight="1" s="2">
      <c r="A184" s="12" t="inlineStr">
        <is>
          <t>TC-B1-0183</t>
        </is>
      </c>
      <c r="B184" s="13" t="inlineStr">
        <is>
          <t>TS-B1-154</t>
        </is>
      </c>
      <c r="C184" s="13" t="inlineStr">
        <is>
          <t>Acct Dashboard Non-Financing</t>
        </is>
      </c>
      <c r="D184" s="13" t="inlineStr">
        <is>
          <t>Dashboard — Deposits</t>
        </is>
      </c>
      <c r="E184" s="13" t="inlineStr">
        <is>
          <t>Validate Step 2 — 1.2 Account Listing (Savings &amp; Current) for RDN Konvensional (securities nominee account)</t>
        </is>
      </c>
      <c r="F184" s="13" t="inlineStr">
        <is>
          <t>Functional</t>
        </is>
      </c>
      <c r="G184" s="13" t="inlineStr">
        <is>
          <t>Medium</t>
        </is>
      </c>
      <c r="H184" s="13" t="inlineStr">
        <is>
          <t>Eligible user and product are available. User has reached the preceding journey step.</t>
        </is>
      </c>
      <c r="I184" s="13" t="inlineStr">
        <is>
          <t>Account / Card / Policy Type: Active RDNK; IDR; no primary, no joint-AND primary; linked to securities firm; Currency / FCY Criteria: IDR only</t>
        </is>
      </c>
      <c r="J184" s="13" t="inlineStr">
        <is>
          <t>1. Open RDN Konvensional (securities nominee account).
2. Navigate to Step 2 — 1.2 Account Listing (Savings &amp; Current).
3. Perform the action or trigger described by: Step 2 — RDNK card visible in Savings &amp; Current listing.
4. Observe the page, validation, navigation, and resulting state.</t>
        </is>
      </c>
      <c r="K184" s="13" t="inlineStr">
        <is>
          <t>Step 2 — 1.2 Account Listing (Savings &amp; Current) behaves according to the mapped requirement (Step 2 — RDNK card visible in Savings &amp; Current listing); data, controls, navigation, and status are accurate and consistent.</t>
        </is>
      </c>
      <c r="L184" s="13" t="inlineStr">
        <is>
          <t>L3 direct access; no S2U for view; S2U for linked card / block actions per 1.2.1.x</t>
        </is>
      </c>
      <c r="M184" s="13" t="inlineStr">
        <is>
          <t>Account details displayed; transaction list displayed</t>
        </is>
      </c>
      <c r="N184" s="13" t="inlineStr">
        <is>
          <t>Acct Dashboard Non-Financing!A11:C11</t>
        </is>
      </c>
      <c r="O184" s="13" t="inlineStr">
        <is>
          <t>Not Run</t>
        </is>
      </c>
      <c r="P184" s="13" t="n"/>
      <c r="Q184" s="13" t="n"/>
      <c r="R184" s="14" t="n"/>
      <c r="S184" s="19" t="inlineStr">
        <is>
          <t>Loan API Design</t>
        </is>
      </c>
      <c r="T184" s="19" t="inlineStr">
        <is>
          <t>View all transaction history</t>
        </is>
      </c>
      <c r="U184" s="19" t="inlineStr">
        <is>
          <t>GET</t>
        </is>
      </c>
      <c r="V184" s="19" t="inlineStr">
        <is>
          <t>/v1/external/accounts/account-type/{accountType}/account-id/{accountId}/transactions?startDate={startDate}&amp;endDate={endDate}&amp;page={page}&amp;limit={limit}</t>
        </is>
      </c>
      <c r="W184" s="19" t="inlineStr">
        <is>
          <t>info-loan</t>
        </is>
      </c>
      <c r="X184" s="19" t="inlineStr">
        <is>
          <t>ECLIPSE_Account Dashboard_Loan_DDD_API_Design_v1_Workshop.xlsx</t>
        </is>
      </c>
      <c r="Y184" s="19" t="inlineStr">
        <is>
          <t>1.2.1 View All Trans</t>
        </is>
      </c>
      <c r="Z184" s="19" t="inlineStr">
        <is>
          <t>API_Specs_Index!A5:H5</t>
        </is>
      </c>
      <c r="AA184" s="22" t="inlineStr">
        <is>
          <t>API-028</t>
        </is>
      </c>
      <c r="AB184" s="19" t="inlineStr">
        <is>
          <t>Mapped to View all transaction history because the test case terms align with the 1.2.1 View All Trans journey in the applicable API specification.</t>
        </is>
      </c>
      <c r="AC184" s="19" t="inlineStr">
        <is>
          <t>High</t>
        </is>
      </c>
      <c r="AD184"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85" ht="409.6" customHeight="1" s="2">
      <c r="A185" s="15" t="inlineStr">
        <is>
          <t>TC-B1-0184</t>
        </is>
      </c>
      <c r="B185" s="16" t="inlineStr">
        <is>
          <t>TS-B1-155</t>
        </is>
      </c>
      <c r="C185" s="16" t="inlineStr">
        <is>
          <t>Acct Dashboard Non-Financing</t>
        </is>
      </c>
      <c r="D185" s="16" t="inlineStr">
        <is>
          <t>Dashboard — Deposits</t>
        </is>
      </c>
      <c r="E185" s="16" t="inlineStr">
        <is>
          <t>Validate Step 11 — 1.2.2 RDN Konvensional Account Details for RDN Konvensional (securities nominee account)</t>
        </is>
      </c>
      <c r="F185" s="16" t="inlineStr">
        <is>
          <t>Security</t>
        </is>
      </c>
      <c r="G185" s="16" t="inlineStr">
        <is>
          <t>High</t>
        </is>
      </c>
      <c r="H185" s="16" t="inlineStr">
        <is>
          <t>Eligible user and product are available. User has reached the preceding journey step.</t>
        </is>
      </c>
      <c r="I185" s="16" t="inlineStr">
        <is>
          <t>Account / Card / Policy Type: Active RDNK; IDR; no primary, no joint-AND primary; linked to securities firm; Currency / FCY Criteria: IDR only</t>
        </is>
      </c>
      <c r="J185" s="16" t="inlineStr">
        <is>
          <t>1. Open RDN Konvensional (securities nominee account).
2. Navigate to Step 11 — 1.2.2 RDN Konvensional Account Details.
3. Perform the action or trigger described by: Step 11 — Transactions / Summary / Manage tabs; Top Up Quick Action navigates to Local Transfer Own Account with RDN as destination; security company displayed; no primary label; no block account eligibility per product code exclusion.
4. Observe the page, validation, navigation, and resulting state.</t>
        </is>
      </c>
      <c r="K185" s="16" t="inlineStr">
        <is>
          <t>Step 11 — 1.2.2 RDN Konvensional Account Details behaves according to the mapped requirement (Step 11 — Transactions / Summary / Manage tabs; Top Up Quick Action navigates to Local Transfer Own Account with RDN as destination; security company displayed; no primary label; no block account eligibility per product code exclusion); data, controls, navigation, and status are accurate and consistent.</t>
        </is>
      </c>
      <c r="L185" s="16" t="inlineStr">
        <is>
          <t>L3 direct access; no S2U for view; S2U for linked card / block actions per 1.2.1.x</t>
        </is>
      </c>
      <c r="M185" s="16" t="inlineStr">
        <is>
          <t>Account details displayed; transaction list displayed</t>
        </is>
      </c>
      <c r="N185" s="16" t="inlineStr">
        <is>
          <t>Acct Dashboard Non-Financing!A20:C20</t>
        </is>
      </c>
      <c r="O185" s="16" t="inlineStr">
        <is>
          <t>Not Run</t>
        </is>
      </c>
      <c r="P185" s="16" t="n"/>
      <c r="Q185" s="16" t="n"/>
      <c r="R185" s="17" t="n"/>
      <c r="S185" s="19" t="inlineStr">
        <is>
          <t>Loan API Design</t>
        </is>
      </c>
      <c r="T185" s="19" t="inlineStr">
        <is>
          <t>View all transaction history</t>
        </is>
      </c>
      <c r="U185" s="19" t="inlineStr">
        <is>
          <t>GET</t>
        </is>
      </c>
      <c r="V185" s="19" t="inlineStr">
        <is>
          <t>/v1/external/accounts/account-type/{accountType}/account-id/{accountId}/transactions?startDate={startDate}&amp;endDate={endDate}&amp;page={page}&amp;limit={limit}</t>
        </is>
      </c>
      <c r="W185" s="19" t="inlineStr">
        <is>
          <t>info-loan</t>
        </is>
      </c>
      <c r="X185" s="19" t="inlineStr">
        <is>
          <t>ECLIPSE_Account Dashboard_Loan_DDD_API_Design_v1_Workshop.xlsx</t>
        </is>
      </c>
      <c r="Y185" s="19" t="inlineStr">
        <is>
          <t>1.2.1 View All Trans</t>
        </is>
      </c>
      <c r="Z185" s="19" t="inlineStr">
        <is>
          <t>API_Specs_Index!A5:H5</t>
        </is>
      </c>
      <c r="AA185" s="22" t="inlineStr">
        <is>
          <t>API-028</t>
        </is>
      </c>
      <c r="AB185" s="19" t="inlineStr">
        <is>
          <t>Mapped to View all transaction history because the test case terms align with the 1.2.1 View All Trans journey in the applicable API specification.</t>
        </is>
      </c>
      <c r="AC185" s="19" t="inlineStr">
        <is>
          <t>High</t>
        </is>
      </c>
      <c r="AD185"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86" ht="409.6" customHeight="1" s="2">
      <c r="A186" s="12" t="inlineStr">
        <is>
          <t>TC-B1-0185</t>
        </is>
      </c>
      <c r="B186" s="13" t="inlineStr">
        <is>
          <t>TS-B1-156</t>
        </is>
      </c>
      <c r="C186" s="13" t="inlineStr">
        <is>
          <t>Acct Dashboard Non-Financing</t>
        </is>
      </c>
      <c r="D186" s="13" t="inlineStr">
        <is>
          <t>Dashboard — Deposits</t>
        </is>
      </c>
      <c r="E186" s="13" t="inlineStr">
        <is>
          <t>Validate ViewAllTrans — Transaction History Display Rule for RDN Konvensional (securities nominee account)</t>
        </is>
      </c>
      <c r="F186" s="13" t="inlineStr">
        <is>
          <t>UI / Functional</t>
        </is>
      </c>
      <c r="G186" s="13" t="inlineStr">
        <is>
          <t>Medium</t>
        </is>
      </c>
      <c r="H186" s="13" t="inlineStr">
        <is>
          <t>Eligible user and product are available. User has reached the preceding journey step.</t>
        </is>
      </c>
      <c r="I186" s="13" t="inlineStr">
        <is>
          <t>Account / Card / Policy Type: Active RDNK; IDR; no primary, no joint-AND primary; linked to securities firm; Currency / FCY Criteria: IDR only</t>
        </is>
      </c>
      <c r="J186" s="13" t="inlineStr">
        <is>
          <t>1. Open RDN Konvensional (securities nominee account).
2. Navigate to ViewAllTrans — Transaction History Display Rule.
3. Perform the action or trigger described by: Transactions tab: latest 10; YTD + last 2 years; ViewAllTrans via sticky hyperlink.
4. Observe the page, validation, navigation, and resulting state.</t>
        </is>
      </c>
      <c r="K186" s="13" t="inlineStr">
        <is>
          <t>ViewAllTrans — Transaction History Display Rule behaves according to the mapped requirement (Transactions tab: latest 10; YTD + last 2 years; ViewAllTrans via sticky hyperlink); data, controls, navigation, and status are accurate and consistent.</t>
        </is>
      </c>
      <c r="L186" s="13" t="inlineStr">
        <is>
          <t>L3 direct access; no S2U for view; S2U for linked card / block actions per 1.2.1.x</t>
        </is>
      </c>
      <c r="M186" s="13" t="inlineStr">
        <is>
          <t>Account details displayed; transaction list displayed</t>
        </is>
      </c>
      <c r="N186" s="13" t="inlineStr">
        <is>
          <t>Acct Dashboard Non-Financing!A40:C40</t>
        </is>
      </c>
      <c r="O186" s="13" t="inlineStr">
        <is>
          <t>Not Run</t>
        </is>
      </c>
      <c r="P186" s="13" t="n"/>
      <c r="Q186" s="13" t="n"/>
      <c r="R186" s="14" t="n"/>
      <c r="S186" s="19" t="inlineStr">
        <is>
          <t>Loan API Design</t>
        </is>
      </c>
      <c r="T186" s="19" t="inlineStr">
        <is>
          <t>View all transaction history</t>
        </is>
      </c>
      <c r="U186" s="19" t="inlineStr">
        <is>
          <t>GET</t>
        </is>
      </c>
      <c r="V186" s="19" t="inlineStr">
        <is>
          <t>/v1/external/accounts/account-type/{accountType}/account-id/{accountId}/transactions?startDate={startDate}&amp;endDate={endDate}&amp;page={page}&amp;limit={limit}</t>
        </is>
      </c>
      <c r="W186" s="19" t="inlineStr">
        <is>
          <t>info-loan</t>
        </is>
      </c>
      <c r="X186" s="19" t="inlineStr">
        <is>
          <t>ECLIPSE_Account Dashboard_Loan_DDD_API_Design_v1_Workshop.xlsx</t>
        </is>
      </c>
      <c r="Y186" s="19" t="inlineStr">
        <is>
          <t>1.2.1 View All Trans</t>
        </is>
      </c>
      <c r="Z186" s="19" t="inlineStr">
        <is>
          <t>API_Specs_Index!A5:H5</t>
        </is>
      </c>
      <c r="AA186" s="22" t="inlineStr">
        <is>
          <t>API-028</t>
        </is>
      </c>
      <c r="AB186" s="19" t="inlineStr">
        <is>
          <t>Mapped to View all transaction history because the test case terms align with the 1.2.1 View All Trans journey in the applicable API specification.</t>
        </is>
      </c>
      <c r="AC186" s="19" t="inlineStr">
        <is>
          <t>High</t>
        </is>
      </c>
      <c r="AD186"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87" ht="409.6" customHeight="1" s="2">
      <c r="A187" s="15" t="inlineStr">
        <is>
          <t>TC-B1-0186</t>
        </is>
      </c>
      <c r="B187" s="16" t="inlineStr">
        <is>
          <t>TS-B1-157</t>
        </is>
      </c>
      <c r="C187" s="16" t="inlineStr">
        <is>
          <t>Acct Dashboard Non-Financing</t>
        </is>
      </c>
      <c r="D187" s="16" t="inlineStr">
        <is>
          <t>Dashboard — Deposits</t>
        </is>
      </c>
      <c r="E187" s="16" t="inlineStr">
        <is>
          <t>Validate Sorting / Display Order for RDN Konvensional (securities nominee account)</t>
        </is>
      </c>
      <c r="F187" s="16" t="inlineStr">
        <is>
          <t>UI / Functional</t>
        </is>
      </c>
      <c r="G187" s="16" t="inlineStr">
        <is>
          <t>Medium</t>
        </is>
      </c>
      <c r="H187" s="16" t="inlineStr">
        <is>
          <t>Eligible user and product are available. User has reached the preceding journey step.</t>
        </is>
      </c>
      <c r="I187" s="16" t="inlineStr">
        <is>
          <t>Account / Card / Policy Type: Active RDNK; IDR; no primary, no joint-AND primary; linked to securities firm; Currency / FCY Criteria: IDR only</t>
        </is>
      </c>
      <c r="J187" s="16" t="inlineStr">
        <is>
          <t>1. Open RDN Konvensional (securities nominee account).
2. Navigate to Sorting / Display Order.
3. Perform the action or trigger described by: Sorted within Savings &amp; Current by product name then account number.
4. Observe the page, validation, navigation, and resulting state.</t>
        </is>
      </c>
      <c r="K187" s="16" t="inlineStr">
        <is>
          <t>Sorting / Display Order behaves according to the mapped requirement (Sorted within Savings &amp; Current by product name then account number); data, controls, navigation, and status are accurate and consistent.</t>
        </is>
      </c>
      <c r="L187" s="16" t="inlineStr">
        <is>
          <t>L3 direct access; no S2U for view; S2U for linked card / block actions per 1.2.1.x</t>
        </is>
      </c>
      <c r="M187" s="16" t="inlineStr">
        <is>
          <t>Account details displayed; transaction list displayed</t>
        </is>
      </c>
      <c r="N187" s="16" t="inlineStr">
        <is>
          <t>Acct Dashboard Non-Financing!A41:C41</t>
        </is>
      </c>
      <c r="O187" s="16" t="inlineStr">
        <is>
          <t>Not Run</t>
        </is>
      </c>
      <c r="P187" s="16" t="n"/>
      <c r="Q187" s="16" t="n"/>
      <c r="R187" s="17" t="n"/>
      <c r="S187" s="19" t="inlineStr">
        <is>
          <t>Loan API Design</t>
        </is>
      </c>
      <c r="T187" s="19" t="inlineStr">
        <is>
          <t>View all transaction history</t>
        </is>
      </c>
      <c r="U187" s="19" t="inlineStr">
        <is>
          <t>GET</t>
        </is>
      </c>
      <c r="V187" s="19" t="inlineStr">
        <is>
          <t>/v1/external/accounts/account-type/{accountType}/account-id/{accountId}/transactions?startDate={startDate}&amp;endDate={endDate}&amp;page={page}&amp;limit={limit}</t>
        </is>
      </c>
      <c r="W187" s="19" t="inlineStr">
        <is>
          <t>info-loan</t>
        </is>
      </c>
      <c r="X187" s="19" t="inlineStr">
        <is>
          <t>ECLIPSE_Account Dashboard_Loan_DDD_API_Design_v1_Workshop.xlsx</t>
        </is>
      </c>
      <c r="Y187" s="19" t="inlineStr">
        <is>
          <t>1.2.1 View All Trans</t>
        </is>
      </c>
      <c r="Z187" s="19" t="inlineStr">
        <is>
          <t>API_Specs_Index!A5:H5</t>
        </is>
      </c>
      <c r="AA187" s="22" t="inlineStr">
        <is>
          <t>API-028</t>
        </is>
      </c>
      <c r="AB187" s="19" t="inlineStr">
        <is>
          <t>Mapped to View all transaction history because the test case terms align with the 1.2.1 View All Trans journey in the applicable API specification.</t>
        </is>
      </c>
      <c r="AC187" s="19" t="inlineStr">
        <is>
          <t>High</t>
        </is>
      </c>
      <c r="AD187"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88" ht="409.6" customHeight="1" s="2">
      <c r="A188" s="12" t="inlineStr">
        <is>
          <t>TC-B1-0187</t>
        </is>
      </c>
      <c r="B188" s="13" t="inlineStr">
        <is>
          <t>TS-B1-158</t>
        </is>
      </c>
      <c r="C188" s="13" t="inlineStr">
        <is>
          <t>Acct Dashboard Non-Financing</t>
        </is>
      </c>
      <c r="D188" s="13" t="inlineStr">
        <is>
          <t>Dashboard — Deposits</t>
        </is>
      </c>
      <c r="E188" s="13" t="inlineStr">
        <is>
          <t>Validate Joint-AND Account Restrictions for RDN Konvensional (securities nominee account)</t>
        </is>
      </c>
      <c r="F188" s="13" t="inlineStr">
        <is>
          <t>Functional</t>
        </is>
      </c>
      <c r="G188" s="13" t="inlineStr">
        <is>
          <t>Medium</t>
        </is>
      </c>
      <c r="H188" s="13" t="inlineStr">
        <is>
          <t>Eligible user and product are available. Trigger the stated condition: Not applicable (no joint-AND for RDNK)</t>
        </is>
      </c>
      <c r="I188" s="13" t="inlineStr">
        <is>
          <t>Account / Card / Policy Type: Active RDNK; IDR; no primary, no joint-AND primary; linked to securities firm; Currency / FCY Criteria: IDR only</t>
        </is>
      </c>
      <c r="J188" s="13" t="inlineStr">
        <is>
          <t>1. Open RDN Konvensional (securities nominee account).
2. Navigate to Joint-AND Account Restrictions.
3. Perform the action or trigger described by: Not applicable (no joint-AND for RDNK).
4. Observe the page, validation, navigation, and resulting state.</t>
        </is>
      </c>
      <c r="K188" s="13" t="inlineStr">
        <is>
          <t>Joint-AND Account Restrictions behaves according to the mapped requirement (Not applicable (no joint-AND for RDNK)); data, controls, navigation, and status are accurate and consistent.</t>
        </is>
      </c>
      <c r="L188" s="13" t="inlineStr">
        <is>
          <t>L3 direct access; no S2U for view; S2U for linked card / block actions per 1.2.1.x</t>
        </is>
      </c>
      <c r="M188" s="13" t="inlineStr">
        <is>
          <t>Account details displayed; transaction list displayed</t>
        </is>
      </c>
      <c r="N188" s="13" t="inlineStr">
        <is>
          <t>Acct Dashboard Non-Financing!A42:C42</t>
        </is>
      </c>
      <c r="O188" s="13" t="inlineStr">
        <is>
          <t>Not Run</t>
        </is>
      </c>
      <c r="P188" s="13" t="n"/>
      <c r="Q188" s="13" t="n"/>
      <c r="R188" s="14" t="inlineStr">
        <is>
          <t>Conditional coverage required.</t>
        </is>
      </c>
      <c r="S188" s="19" t="inlineStr">
        <is>
          <t>Loan API Design</t>
        </is>
      </c>
      <c r="T188" s="19" t="inlineStr">
        <is>
          <t>View all transaction history</t>
        </is>
      </c>
      <c r="U188" s="19" t="inlineStr">
        <is>
          <t>GET</t>
        </is>
      </c>
      <c r="V188" s="19" t="inlineStr">
        <is>
          <t>/v1/external/accounts/account-type/{accountType}/account-id/{accountId}/transactions?startDate={startDate}&amp;endDate={endDate}&amp;page={page}&amp;limit={limit}</t>
        </is>
      </c>
      <c r="W188" s="19" t="inlineStr">
        <is>
          <t>info-loan</t>
        </is>
      </c>
      <c r="X188" s="19" t="inlineStr">
        <is>
          <t>ECLIPSE_Account Dashboard_Loan_DDD_API_Design_v1_Workshop.xlsx</t>
        </is>
      </c>
      <c r="Y188" s="19" t="inlineStr">
        <is>
          <t>1.2.1 View All Trans</t>
        </is>
      </c>
      <c r="Z188" s="19" t="inlineStr">
        <is>
          <t>API_Specs_Index!A5:H5</t>
        </is>
      </c>
      <c r="AA188" s="22" t="inlineStr">
        <is>
          <t>API-028</t>
        </is>
      </c>
      <c r="AB188" s="19" t="inlineStr">
        <is>
          <t>Mapped to View all transaction history because the test case terms align with the 1.2.1 View All Trans journey in the applicable API specification.</t>
        </is>
      </c>
      <c r="AC188" s="19" t="inlineStr">
        <is>
          <t>High</t>
        </is>
      </c>
      <c r="AD188"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89" ht="409.6" customHeight="1" s="2">
      <c r="A189" s="15" t="inlineStr">
        <is>
          <t>TC-B1-0188</t>
        </is>
      </c>
      <c r="B189" s="16" t="inlineStr">
        <is>
          <t>TS-B1-159</t>
        </is>
      </c>
      <c r="C189" s="16" t="inlineStr">
        <is>
          <t>Acct Dashboard Non-Financing</t>
        </is>
      </c>
      <c r="D189" s="16" t="inlineStr">
        <is>
          <t>Dashboard — Deposits</t>
        </is>
      </c>
      <c r="E189" s="16" t="inlineStr">
        <is>
          <t>Validate Business Profile / IBO Disclaimer for RDN Konvensional (securities nominee account)</t>
        </is>
      </c>
      <c r="F189" s="16" t="inlineStr">
        <is>
          <t>Functional</t>
        </is>
      </c>
      <c r="G189" s="16" t="inlineStr">
        <is>
          <t>Medium</t>
        </is>
      </c>
      <c r="H189" s="16" t="inlineStr">
        <is>
          <t>Eligible user and product are available. Trigger the stated condition: Not applicable</t>
        </is>
      </c>
      <c r="I189" s="16" t="inlineStr">
        <is>
          <t>Account / Card / Policy Type: Active RDNK; IDR; no primary, no joint-AND primary; linked to securities firm; Currency / FCY Criteria: IDR only</t>
        </is>
      </c>
      <c r="J189" s="16" t="inlineStr">
        <is>
          <t>1. Open RDN Konvensional (securities nominee account).
2. Navigate to Business Profile / IBO Disclaimer.
3. Perform the action or trigger described by: Not applicable.
4. Observe the page, validation, navigation, and resulting state.</t>
        </is>
      </c>
      <c r="K189" s="16" t="inlineStr">
        <is>
          <t>Business Profile / IBO Disclaimer behaves according to the mapped requirement (Not applicable); data, controls, navigation, and status are accurate and consistent.</t>
        </is>
      </c>
      <c r="L189" s="16" t="inlineStr">
        <is>
          <t>L3 direct access; no S2U for view; S2U for linked card / block actions per 1.2.1.x</t>
        </is>
      </c>
      <c r="M189" s="16" t="inlineStr">
        <is>
          <t>Account details displayed; transaction list displayed</t>
        </is>
      </c>
      <c r="N189" s="16" t="inlineStr">
        <is>
          <t>Acct Dashboard Non-Financing!A43:C43</t>
        </is>
      </c>
      <c r="O189" s="16" t="inlineStr">
        <is>
          <t>Not Run</t>
        </is>
      </c>
      <c r="P189" s="16" t="n"/>
      <c r="Q189" s="16" t="n"/>
      <c r="R189" s="17" t="inlineStr">
        <is>
          <t>Conditional coverage required.</t>
        </is>
      </c>
      <c r="S189" s="19" t="inlineStr">
        <is>
          <t>Loan API Design</t>
        </is>
      </c>
      <c r="T189" s="19" t="inlineStr">
        <is>
          <t>View all transaction history</t>
        </is>
      </c>
      <c r="U189" s="19" t="inlineStr">
        <is>
          <t>GET</t>
        </is>
      </c>
      <c r="V189" s="19" t="inlineStr">
        <is>
          <t>/v1/external/accounts/account-type/{accountType}/account-id/{accountId}/transactions?startDate={startDate}&amp;endDate={endDate}&amp;page={page}&amp;limit={limit}</t>
        </is>
      </c>
      <c r="W189" s="19" t="inlineStr">
        <is>
          <t>info-loan</t>
        </is>
      </c>
      <c r="X189" s="19" t="inlineStr">
        <is>
          <t>ECLIPSE_Account Dashboard_Loan_DDD_API_Design_v1_Workshop.xlsx</t>
        </is>
      </c>
      <c r="Y189" s="19" t="inlineStr">
        <is>
          <t>1.2.1 View All Trans</t>
        </is>
      </c>
      <c r="Z189" s="19" t="inlineStr">
        <is>
          <t>API_Specs_Index!A5:H5</t>
        </is>
      </c>
      <c r="AA189" s="22" t="inlineStr">
        <is>
          <t>API-028</t>
        </is>
      </c>
      <c r="AB189" s="19" t="inlineStr">
        <is>
          <t>Mapped to View all transaction history because the test case terms align with the 1.2.1 View All Trans journey in the applicable API specification.</t>
        </is>
      </c>
      <c r="AC189" s="19" t="inlineStr">
        <is>
          <t>High</t>
        </is>
      </c>
      <c r="AD189"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90" ht="409.6" customHeight="1" s="2">
      <c r="A190" s="12" t="inlineStr">
        <is>
          <t>TC-B1-0189</t>
        </is>
      </c>
      <c r="B190" s="13" t="inlineStr">
        <is>
          <t>TS-B1-160</t>
        </is>
      </c>
      <c r="C190" s="13" t="inlineStr">
        <is>
          <t>Acct Dashboard Non-Financing</t>
        </is>
      </c>
      <c r="D190" s="13" t="inlineStr">
        <is>
          <t>Dashboard — Deposits</t>
        </is>
      </c>
      <c r="E190" s="13" t="inlineStr">
        <is>
          <t>Validate External FSD References for RDN Konvensional (securities nominee account)</t>
        </is>
      </c>
      <c r="F190" s="13" t="inlineStr">
        <is>
          <t>Functional</t>
        </is>
      </c>
      <c r="G190" s="13" t="inlineStr">
        <is>
          <t>High</t>
        </is>
      </c>
      <c r="H190" s="13" t="inlineStr">
        <is>
          <t>Eligible user and product are available. User has reached the preceding journey step.</t>
        </is>
      </c>
      <c r="I190" s="13" t="inlineStr">
        <is>
          <t>Account / Card / Policy Type: Active RDNK; IDR; no primary, no joint-AND primary; linked to securities firm; Currency / FCY Criteria: IDR only</t>
        </is>
      </c>
      <c r="J190" s="13" t="inlineStr">
        <is>
          <t>1. Open RDN Konvensional (securities nominee account).
2. Navigate to External FSD References.
3. Perform the action or trigger described by: Add/Edit Nickname: refer to AD Common FSD; Top Up navigates to Local Transfer FSD.
4. Observe the page, validation, navigation, and resulting state.</t>
        </is>
      </c>
      <c r="K190" s="13" t="inlineStr">
        <is>
          <t>External FSD References behaves according to the mapped requirement (Add/Edit Nickname: refer to AD Common FSD; Top Up navigates to Local Transfer FSD); data, controls, navigation, and status are accurate and consistent.</t>
        </is>
      </c>
      <c r="L190" s="13" t="inlineStr">
        <is>
          <t>L3 direct access; no S2U for view; S2U for linked card / block actions per 1.2.1.x</t>
        </is>
      </c>
      <c r="M190" s="13" t="inlineStr">
        <is>
          <t>Account details displayed; transaction list displayed</t>
        </is>
      </c>
      <c r="N190" s="13" t="inlineStr">
        <is>
          <t>Acct Dashboard Non-Financing!A45:C45</t>
        </is>
      </c>
      <c r="O190" s="13" t="inlineStr">
        <is>
          <t>Not Run</t>
        </is>
      </c>
      <c r="P190" s="13" t="n"/>
      <c r="Q190" s="13" t="n"/>
      <c r="R190" s="14" t="n"/>
      <c r="S190" s="19" t="inlineStr">
        <is>
          <t>Loan API Design</t>
        </is>
      </c>
      <c r="T190" s="19" t="inlineStr">
        <is>
          <t>View all transaction history</t>
        </is>
      </c>
      <c r="U190" s="19" t="inlineStr">
        <is>
          <t>GET</t>
        </is>
      </c>
      <c r="V190" s="19" t="inlineStr">
        <is>
          <t>/v1/external/accounts/account-type/{accountType}/account-id/{accountId}/transactions?startDate={startDate}&amp;endDate={endDate}&amp;page={page}&amp;limit={limit}</t>
        </is>
      </c>
      <c r="W190" s="19" t="inlineStr">
        <is>
          <t>info-loan</t>
        </is>
      </c>
      <c r="X190" s="19" t="inlineStr">
        <is>
          <t>ECLIPSE_Account Dashboard_Loan_DDD_API_Design_v1_Workshop.xlsx</t>
        </is>
      </c>
      <c r="Y190" s="19" t="inlineStr">
        <is>
          <t>1.2.1 View All Trans</t>
        </is>
      </c>
      <c r="Z190" s="19" t="inlineStr">
        <is>
          <t>API_Specs_Index!A5:H5</t>
        </is>
      </c>
      <c r="AA190" s="22" t="inlineStr">
        <is>
          <t>API-028</t>
        </is>
      </c>
      <c r="AB190" s="19" t="inlineStr">
        <is>
          <t>Mapped to View all transaction history because the test case terms align with the 1.2.1 View All Trans journey in the applicable API specification.</t>
        </is>
      </c>
      <c r="AC190" s="19" t="inlineStr">
        <is>
          <t>High</t>
        </is>
      </c>
      <c r="AD190"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91" ht="289.8" customHeight="1" s="2">
      <c r="A191" s="15" t="inlineStr">
        <is>
          <t>TC-B1-0190</t>
        </is>
      </c>
      <c r="B191" s="16" t="inlineStr">
        <is>
          <t>TS-B1-161</t>
        </is>
      </c>
      <c r="C191" s="16" t="inlineStr">
        <is>
          <t>Acct Dashboard Non-Financing</t>
        </is>
      </c>
      <c r="D191" s="16" t="inlineStr">
        <is>
          <t>Dashboard — Deposits</t>
        </is>
      </c>
      <c r="E191" s="16" t="inlineStr">
        <is>
          <t>Validate successful final state for RDN Konvensional (securities nominee account)</t>
        </is>
      </c>
      <c r="F191" s="16" t="inlineStr">
        <is>
          <t>Positive</t>
        </is>
      </c>
      <c r="G191" s="16" t="inlineStr">
        <is>
          <t>High</t>
        </is>
      </c>
      <c r="H191" s="16" t="inlineStr">
        <is>
          <t>All required inputs and services are valid. Expected statuses: Account details displayed; transaction list displayed</t>
        </is>
      </c>
      <c r="I191" s="16" t="inlineStr">
        <is>
          <t>Account / Card / Policy Type: Active RDNK; IDR; no primary, no joint-AND primary; linked to securities firm; Currency / FCY Criteria: IDR only</t>
        </is>
      </c>
      <c r="J191" s="16" t="inlineStr">
        <is>
          <t>1. Complete the end-to-end journey with valid data.
2. Submit/confirm the final action.
3. Verify result, receipt/notification where applicable, and persisted state.</t>
        </is>
      </c>
      <c r="K191" s="16" t="inlineStr">
        <is>
          <t>A valid success status from the requirement is shown. The transaction or change is applied once, persisted, and reflected on refresh.</t>
        </is>
      </c>
      <c r="L191" s="16" t="inlineStr">
        <is>
          <t>L3 direct access; no S2U for view; S2U for linked card / block actions per 1.2.1.x</t>
        </is>
      </c>
      <c r="M191" s="16" t="inlineStr">
        <is>
          <t>Account details displayed; transaction list displayed</t>
        </is>
      </c>
      <c r="N191" s="16" t="inlineStr">
        <is>
          <t>Acct Dashboard Non-Financing!C1:C45</t>
        </is>
      </c>
      <c r="O191" s="16" t="inlineStr">
        <is>
          <t>Not Run</t>
        </is>
      </c>
      <c r="P191" s="16" t="n"/>
      <c r="Q191" s="16" t="n"/>
      <c r="R191" s="17" t="n"/>
      <c r="S191" s="19" t="inlineStr">
        <is>
          <t>Loan API Design</t>
        </is>
      </c>
      <c r="T191" s="19" t="inlineStr">
        <is>
          <t>View all transaction history</t>
        </is>
      </c>
      <c r="U191" s="19" t="inlineStr">
        <is>
          <t>GET</t>
        </is>
      </c>
      <c r="V191" s="19" t="inlineStr">
        <is>
          <t>/v1/external/accounts/account-type/{accountType}/account-id/{accountId}/transactions?startDate={startDate}&amp;endDate={endDate}&amp;page={page}&amp;limit={limit}</t>
        </is>
      </c>
      <c r="W191" s="19" t="inlineStr">
        <is>
          <t>info-loan</t>
        </is>
      </c>
      <c r="X191" s="19" t="inlineStr">
        <is>
          <t>ECLIPSE_Account Dashboard_Loan_DDD_API_Design_v1_Workshop.xlsx</t>
        </is>
      </c>
      <c r="Y191" s="19" t="inlineStr">
        <is>
          <t>1.2.1 View All Trans</t>
        </is>
      </c>
      <c r="Z191" s="19" t="inlineStr">
        <is>
          <t>API_Specs_Index!A5:H5</t>
        </is>
      </c>
      <c r="AA191" s="22" t="inlineStr">
        <is>
          <t>API-028</t>
        </is>
      </c>
      <c r="AB191" s="19" t="inlineStr">
        <is>
          <t>Mapped to View all transaction history because the test case terms align with the 1.2.1 View All Trans journey in the applicable API specification.</t>
        </is>
      </c>
      <c r="AC191" s="19" t="inlineStr">
        <is>
          <t>High</t>
        </is>
      </c>
      <c r="AD191"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92" ht="345" customHeight="1" s="2">
      <c r="A192" s="12" t="inlineStr">
        <is>
          <t>TC-B1-0191</t>
        </is>
      </c>
      <c r="B192" s="13" t="inlineStr">
        <is>
          <t>TS-B1-161</t>
        </is>
      </c>
      <c r="C192" s="13" t="inlineStr">
        <is>
          <t>Acct Dashboard Non-Financing</t>
        </is>
      </c>
      <c r="D192" s="13" t="inlineStr">
        <is>
          <t>Dashboard — Deposits</t>
        </is>
      </c>
      <c r="E192" s="13" t="inlineStr">
        <is>
          <t>Validate service failure and retry for RDN Konvensional (securities nominee account)</t>
        </is>
      </c>
      <c r="F192" s="13" t="inlineStr">
        <is>
          <t>Negative</t>
        </is>
      </c>
      <c r="G192" s="13" t="inlineStr">
        <is>
          <t>High</t>
        </is>
      </c>
      <c r="H192" s="13" t="inlineStr">
        <is>
          <t>Journey is available; simulate a controlled downstream timeout or unsuccessful response. Expected statuses: Account details displayed; transaction list displayed</t>
        </is>
      </c>
      <c r="I192" s="13" t="inlineStr">
        <is>
          <t>Account / Card / Policy Type: Active RDNK; IDR; no primary, no joint-AND primary; linked to securities firm; Currency / FCY Criteria: IDR only</t>
        </is>
      </c>
      <c r="J192" s="13" t="inlineStr">
        <is>
          <t>1. Progress to the final action.
2. Trigger a timeout, unavailable service, or unsuccessful response.
3. Verify the error message and retry behavior.
4. Retry after service recovery.</t>
        </is>
      </c>
      <c r="K192" s="13" t="inlineStr">
        <is>
          <t>No duplicate action occurs. The configured unsuccessful/processing state is shown, retry is safe, and final status becomes consistent after recovery.</t>
        </is>
      </c>
      <c r="L192" s="13" t="inlineStr">
        <is>
          <t>L3 direct access; no S2U for view; S2U for linked card / block actions per 1.2.1.x</t>
        </is>
      </c>
      <c r="M192" s="13" t="inlineStr">
        <is>
          <t>Account details displayed; transaction list displayed</t>
        </is>
      </c>
      <c r="N192" s="13" t="inlineStr">
        <is>
          <t>Acct Dashboard Non-Financing!C1:C45</t>
        </is>
      </c>
      <c r="O192" s="13" t="inlineStr">
        <is>
          <t>Not Run</t>
        </is>
      </c>
      <c r="P192" s="13" t="n"/>
      <c r="Q192" s="13" t="n"/>
      <c r="R192" s="14" t="n"/>
      <c r="S192" s="19" t="inlineStr">
        <is>
          <t>Loan API Design</t>
        </is>
      </c>
      <c r="T192" s="19" t="inlineStr">
        <is>
          <t>View all transaction history</t>
        </is>
      </c>
      <c r="U192" s="19" t="inlineStr">
        <is>
          <t>GET</t>
        </is>
      </c>
      <c r="V192" s="19" t="inlineStr">
        <is>
          <t>/v1/external/accounts/account-type/{accountType}/account-id/{accountId}/transactions?startDate={startDate}&amp;endDate={endDate}&amp;page={page}&amp;limit={limit}</t>
        </is>
      </c>
      <c r="W192" s="19" t="inlineStr">
        <is>
          <t>info-loan</t>
        </is>
      </c>
      <c r="X192" s="19" t="inlineStr">
        <is>
          <t>ECLIPSE_Account Dashboard_Loan_DDD_API_Design_v1_Workshop.xlsx</t>
        </is>
      </c>
      <c r="Y192" s="19" t="inlineStr">
        <is>
          <t>1.2.1 View All Trans</t>
        </is>
      </c>
      <c r="Z192" s="19" t="inlineStr">
        <is>
          <t>API_Specs_Index!A5:H5</t>
        </is>
      </c>
      <c r="AA192" s="22" t="inlineStr">
        <is>
          <t>API-028</t>
        </is>
      </c>
      <c r="AB192" s="19" t="inlineStr">
        <is>
          <t>Mapped to View all transaction history because the test case terms align with the 1.2.1 View All Trans journey in the applicable API specification.</t>
        </is>
      </c>
      <c r="AC192" s="19" t="inlineStr">
        <is>
          <t>High</t>
        </is>
      </c>
      <c r="AD192"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93" ht="345" customHeight="1" s="2">
      <c r="A193" s="15" t="inlineStr">
        <is>
          <t>TC-B1-0192</t>
        </is>
      </c>
      <c r="B193" s="16" t="inlineStr">
        <is>
          <t>TS-B1-162</t>
        </is>
      </c>
      <c r="C193" s="16" t="inlineStr">
        <is>
          <t>Acct Dashboard Non-Financing</t>
        </is>
      </c>
      <c r="D193" s="16" t="inlineStr">
        <is>
          <t>Dashboard — Deposits</t>
        </is>
      </c>
      <c r="E193" s="16" t="inlineStr">
        <is>
          <t>Open UGoalSaver (term savings with scheduled debit) from valid entry point</t>
        </is>
      </c>
      <c r="F193" s="16" t="inlineStr">
        <is>
          <t>Positive</t>
        </is>
      </c>
      <c r="G193" s="16" t="inlineStr">
        <is>
          <t>Medium</t>
        </is>
      </c>
      <c r="H193" s="16" t="inlineStr">
        <is>
          <t>Eligible user: L3 post-login; individual account holder (no joint, no primary)</t>
        </is>
      </c>
      <c r="I193" s="16" t="inlineStr">
        <is>
          <t>Account / Card / Policy Type: Active UGoalSaver; conventional or shariah; with linked parent account; Currency / FCY Criteria: IDR only; Inferred — requires confirmation for FCY variant</t>
        </is>
      </c>
      <c r="J193" s="16" t="inlineStr">
        <is>
          <t>1. Sign in at the required access level.
2. Navigate using: Account Dashboard Landing → Savings &amp; Current tab → UGoalSaver card.
3. Select UGoalSaver (term savings with scheduled debit).</t>
        </is>
      </c>
      <c r="K193" s="16" t="inlineStr">
        <is>
          <t>The correct Dashboard — Deposits page opens and relevant product information is displayed without error.</t>
        </is>
      </c>
      <c r="L193" s="16" t="inlineStr">
        <is>
          <t>L3 direct access; no S2U for view</t>
        </is>
      </c>
      <c r="M193" s="16" t="inlineStr">
        <is>
          <t>Account details displayed; transaction list displayed</t>
        </is>
      </c>
      <c r="N193" s="16" t="inlineStr">
        <is>
          <t>Acct Dashboard Non-Financing!D1:D45</t>
        </is>
      </c>
      <c r="O193" s="16" t="inlineStr">
        <is>
          <t>Not Run</t>
        </is>
      </c>
      <c r="P193" s="16" t="n"/>
      <c r="Q193" s="16" t="n"/>
      <c r="R193" s="17" t="n"/>
      <c r="S193" s="19" t="inlineStr">
        <is>
          <t>Loan API Design</t>
        </is>
      </c>
      <c r="T193" s="19" t="inlineStr">
        <is>
          <t>View all transaction history</t>
        </is>
      </c>
      <c r="U193" s="19" t="inlineStr">
        <is>
          <t>GET</t>
        </is>
      </c>
      <c r="V193" s="19" t="inlineStr">
        <is>
          <t>/v1/external/accounts/account-type/{accountType}/account-id/{accountId}/transactions?startDate={startDate}&amp;endDate={endDate}&amp;page={page}&amp;limit={limit}</t>
        </is>
      </c>
      <c r="W193" s="19" t="inlineStr">
        <is>
          <t>info-loan</t>
        </is>
      </c>
      <c r="X193" s="19" t="inlineStr">
        <is>
          <t>ECLIPSE_Account Dashboard_Loan_DDD_API_Design_v1_Workshop.xlsx</t>
        </is>
      </c>
      <c r="Y193" s="19" t="inlineStr">
        <is>
          <t>1.2.1 View All Trans</t>
        </is>
      </c>
      <c r="Z193" s="19" t="inlineStr">
        <is>
          <t>API_Specs_Index!A5:H5</t>
        </is>
      </c>
      <c r="AA193" s="22" t="inlineStr">
        <is>
          <t>API-028</t>
        </is>
      </c>
      <c r="AB193" s="19" t="inlineStr">
        <is>
          <t>Mapped to View all transaction history because the test case terms align with the 1.2.1 View All Trans journey in the applicable API specification.</t>
        </is>
      </c>
      <c r="AC193" s="19" t="inlineStr">
        <is>
          <t>High</t>
        </is>
      </c>
      <c r="AD193"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94" ht="409.6" customHeight="1" s="2">
      <c r="A194" s="12" t="inlineStr">
        <is>
          <t>TC-B1-0193</t>
        </is>
      </c>
      <c r="B194" s="13" t="inlineStr">
        <is>
          <t>TS-B1-162</t>
        </is>
      </c>
      <c r="C194" s="13" t="inlineStr">
        <is>
          <t>Acct Dashboard Non-Financing</t>
        </is>
      </c>
      <c r="D194" s="13" t="inlineStr">
        <is>
          <t>Dashboard — Deposits</t>
        </is>
      </c>
      <c r="E194" s="13" t="inlineStr">
        <is>
          <t>Validate ineligible or unavailable state for UGoalSaver (term savings with scheduled debit)</t>
        </is>
      </c>
      <c r="F194" s="13" t="inlineStr">
        <is>
          <t>Negative</t>
        </is>
      </c>
      <c r="G194" s="13" t="inlineStr">
        <is>
          <t>High</t>
        </is>
      </c>
      <c r="H194" s="13" t="inlineStr">
        <is>
          <t>User or product does not meet one configured eligibility condition. Eligible baseline: L3 post-login; individual account holder (no joint, no primary)</t>
        </is>
      </c>
      <c r="I194" s="13" t="inlineStr">
        <is>
          <t>Account / Card / Policy Type: Active UGoalSaver; conventional or shariah; with linked parent account; Currency / FCY Criteria: IDR only; Inferred — requires confirmation for FCY variant</t>
        </is>
      </c>
      <c r="J194" s="13" t="inlineStr">
        <is>
          <t>1. Prepare an ineligible, unsupported, blocked, or unavailable test profile.
2. Navigate using: Account Dashboard Landing → Savings &amp; Current tab → UGoalSaver card.
3. Attempt to open UGoalSaver (term savings with scheduled debit).</t>
        </is>
      </c>
      <c r="K194" s="13" t="inlineStr">
        <is>
          <t>Access is prevented or the feature is hidden/disabled. A clear message is shown and no unauthorised data or action is exposed.</t>
        </is>
      </c>
      <c r="L194" s="13" t="inlineStr">
        <is>
          <t>L3 direct access; no S2U for view</t>
        </is>
      </c>
      <c r="M194" s="13" t="inlineStr">
        <is>
          <t>Account details displayed; transaction list displayed</t>
        </is>
      </c>
      <c r="N194" s="13" t="inlineStr">
        <is>
          <t>Acct Dashboard Non-Financing!D1:D45</t>
        </is>
      </c>
      <c r="O194" s="13" t="inlineStr">
        <is>
          <t>Not Run</t>
        </is>
      </c>
      <c r="P194" s="13" t="n"/>
      <c r="Q194" s="13" t="n"/>
      <c r="R194" s="14" t="n"/>
      <c r="S194" s="19" t="inlineStr">
        <is>
          <t>Loan API Design</t>
        </is>
      </c>
      <c r="T194" s="19" t="inlineStr">
        <is>
          <t>Loan transaction history</t>
        </is>
      </c>
      <c r="U194" s="19" t="inlineStr">
        <is>
          <t>GET</t>
        </is>
      </c>
      <c r="V194" s="19" t="inlineStr">
        <is>
          <t>/v1/external/accounts/account-type/{accountType}/account-id/{accountId}/transactions</t>
        </is>
      </c>
      <c r="W194" s="19" t="inlineStr">
        <is>
          <t>info-loan</t>
        </is>
      </c>
      <c r="X194" s="19" t="inlineStr">
        <is>
          <t>ECLIPSE_Account Dashboard_Loan_DDD_API_Design_v1_Workshop.xlsx</t>
        </is>
      </c>
      <c r="Y194" s="19" t="inlineStr">
        <is>
          <t>1.2 Personal Loan Acc
1.2.4 PL Shariah Acc
1.3 Auto Loan Acc
1.3.1 Auto Loan Shariah
1.4 Mortgage Loan Acc
1.4.1 Mortgage Loan Shariah</t>
        </is>
      </c>
      <c r="Z194" s="19" t="inlineStr">
        <is>
          <t>API_Specs_Index!A4:H4</t>
        </is>
      </c>
      <c r="AA194" s="22" t="inlineStr">
        <is>
          <t>API-027</t>
        </is>
      </c>
      <c r="AB194" s="19" t="inlineStr">
        <is>
          <t>Mapped to Loan transaction history because the test case terms align with the 1.2 Personal Loan Acc
1.2.4 PL Shariah Acc
1.3 Auto Loan Acc
1.3.1 Auto Loan Shariah
1.4 Mortgage Loan Acc
1.4.1 Mortgage Loan Shariah journey in the applicable API specification.</t>
        </is>
      </c>
      <c r="AC194" s="19" t="inlineStr">
        <is>
          <t>High</t>
        </is>
      </c>
      <c r="AD194" s="19" t="inlineStr">
        <is>
          <t>Pending ESB Spec</t>
        </is>
      </c>
    </row>
    <row r="195" ht="345" customHeight="1" s="2">
      <c r="A195" s="15" t="inlineStr">
        <is>
          <t>TC-B1-0194</t>
        </is>
      </c>
      <c r="B195" s="16" t="inlineStr">
        <is>
          <t>TS-B1-163</t>
        </is>
      </c>
      <c r="C195" s="16" t="inlineStr">
        <is>
          <t>Acct Dashboard Non-Financing</t>
        </is>
      </c>
      <c r="D195" s="16" t="inlineStr">
        <is>
          <t>Dashboard — Deposits</t>
        </is>
      </c>
      <c r="E195" s="16" t="inlineStr">
        <is>
          <t>Complete required authentication for UGoalSaver (term savings with scheduled debit)</t>
        </is>
      </c>
      <c r="F195" s="16" t="inlineStr">
        <is>
          <t>Security</t>
        </is>
      </c>
      <c r="G195" s="16" t="inlineStr">
        <is>
          <t>High</t>
        </is>
      </c>
      <c r="H195" s="16" t="inlineStr">
        <is>
          <t>Eligible user; authentication method is active. Requirement: L3 direct access; no S2U for view</t>
        </is>
      </c>
      <c r="I195" s="16" t="inlineStr">
        <is>
          <t>Account / Card / Policy Type: Active UGoalSaver; conventional or shariah; with linked parent account; Currency / FCY Criteria: IDR only; Inferred — requires confirmation for FCY variant</t>
        </is>
      </c>
      <c r="J195" s="16" t="inlineStr">
        <is>
          <t>1. Start the protected action.
2. Complete the configured authentication with valid credentials.
3. Continue the journey.</t>
        </is>
      </c>
      <c r="K195" s="16" t="inlineStr">
        <is>
          <t>Authentication succeeds, the protected action continues once, and the user returns to the correct journey context.</t>
        </is>
      </c>
      <c r="L195" s="16" t="inlineStr">
        <is>
          <t>L3 direct access; no S2U for view</t>
        </is>
      </c>
      <c r="M195" s="16" t="inlineStr">
        <is>
          <t>Account details displayed; transaction list displayed</t>
        </is>
      </c>
      <c r="N195" s="16" t="inlineStr">
        <is>
          <t>Acct Dashboard Non-Financing!D1:D45</t>
        </is>
      </c>
      <c r="O195" s="16" t="inlineStr">
        <is>
          <t>Not Run</t>
        </is>
      </c>
      <c r="P195" s="16" t="n"/>
      <c r="Q195" s="16" t="n"/>
      <c r="R195" s="17" t="n"/>
      <c r="S195" s="19" t="inlineStr">
        <is>
          <t>Loan API Design</t>
        </is>
      </c>
      <c r="T195" s="19" t="inlineStr">
        <is>
          <t>Loan transaction history</t>
        </is>
      </c>
      <c r="U195" s="19" t="inlineStr">
        <is>
          <t>GET</t>
        </is>
      </c>
      <c r="V195" s="19" t="inlineStr">
        <is>
          <t>/v1/external/accounts/account-type/{accountType}/account-id/{accountId}/transactions</t>
        </is>
      </c>
      <c r="W195" s="19" t="inlineStr">
        <is>
          <t>info-loan</t>
        </is>
      </c>
      <c r="X195" s="19" t="inlineStr">
        <is>
          <t>ECLIPSE_Account Dashboard_Loan_DDD_API_Design_v1_Workshop.xlsx</t>
        </is>
      </c>
      <c r="Y195" s="19" t="inlineStr">
        <is>
          <t>1.2 Personal Loan Acc
1.2.4 PL Shariah Acc
1.3 Auto Loan Acc
1.3.1 Auto Loan Shariah
1.4 Mortgage Loan Acc
1.4.1 Mortgage Loan Shariah</t>
        </is>
      </c>
      <c r="Z195" s="19" t="inlineStr">
        <is>
          <t>API_Specs_Index!A4:H4</t>
        </is>
      </c>
      <c r="AA195" s="22" t="inlineStr">
        <is>
          <t>API-027</t>
        </is>
      </c>
      <c r="AB195" s="19" t="inlineStr">
        <is>
          <t>Mapped to Loan transaction history because the test case terms align with the 1.2 Personal Loan Acc
1.2.4 PL Shariah Acc
1.3 Auto Loan Acc
1.3.1 Auto Loan Shariah
1.4 Mortgage Loan Acc
1.4.1 Mortgage Loan Shariah journey in the applicable API specification.</t>
        </is>
      </c>
      <c r="AC195" s="19" t="inlineStr">
        <is>
          <t>High</t>
        </is>
      </c>
      <c r="AD195" s="19" t="inlineStr">
        <is>
          <t>Pending ESB Spec</t>
        </is>
      </c>
    </row>
    <row r="196" ht="345" customHeight="1" s="2">
      <c r="A196" s="12" t="inlineStr">
        <is>
          <t>TC-B1-0195</t>
        </is>
      </c>
      <c r="B196" s="13" t="inlineStr">
        <is>
          <t>TS-B1-163</t>
        </is>
      </c>
      <c r="C196" s="13" t="inlineStr">
        <is>
          <t>Acct Dashboard Non-Financing</t>
        </is>
      </c>
      <c r="D196" s="13" t="inlineStr">
        <is>
          <t>Dashboard — Deposits</t>
        </is>
      </c>
      <c r="E196" s="13" t="inlineStr">
        <is>
          <t>Reject invalid, cancelled, or expired authentication for UGoalSaver (term savings with scheduled debit)</t>
        </is>
      </c>
      <c r="F196" s="13" t="inlineStr">
        <is>
          <t>Negative / Security</t>
        </is>
      </c>
      <c r="G196" s="13" t="inlineStr">
        <is>
          <t>High</t>
        </is>
      </c>
      <c r="H196" s="13" t="inlineStr">
        <is>
          <t>Eligible user; protected action requires authentication. Requirement: L3 direct access; no S2U for view</t>
        </is>
      </c>
      <c r="I196" s="13" t="inlineStr">
        <is>
          <t>Account / Card / Policy Type: Active UGoalSaver; conventional or shariah; with linked parent account; Currency / FCY Criteria: IDR only; Inferred — requires confirmation for FCY variant</t>
        </is>
      </c>
      <c r="J196" s="13" t="inlineStr">
        <is>
          <t>1. Start the protected action.
2. Enter invalid credentials, cancel, or allow the challenge to expire.
3. Observe the result.</t>
        </is>
      </c>
      <c r="K196" s="13" t="inlineStr">
        <is>
          <t>The action is not performed. The configured failure/lockout message is shown, sensitive data remains protected, and retry behavior follows the requirement.</t>
        </is>
      </c>
      <c r="L196" s="13" t="inlineStr">
        <is>
          <t>L3 direct access; no S2U for view</t>
        </is>
      </c>
      <c r="M196" s="13" t="inlineStr">
        <is>
          <t>Account details displayed; transaction list displayed</t>
        </is>
      </c>
      <c r="N196" s="13" t="inlineStr">
        <is>
          <t>Acct Dashboard Non-Financing!D1:D45</t>
        </is>
      </c>
      <c r="O196" s="13" t="inlineStr">
        <is>
          <t>Not Run</t>
        </is>
      </c>
      <c r="P196" s="13" t="n"/>
      <c r="Q196" s="13" t="n"/>
      <c r="R196" s="14" t="n"/>
      <c r="S196" s="19" t="inlineStr">
        <is>
          <t>Loan API Design</t>
        </is>
      </c>
      <c r="T196" s="19" t="inlineStr">
        <is>
          <t>Loan transaction history</t>
        </is>
      </c>
      <c r="U196" s="19" t="inlineStr">
        <is>
          <t>GET</t>
        </is>
      </c>
      <c r="V196" s="19" t="inlineStr">
        <is>
          <t>/v1/external/accounts/account-type/{accountType}/account-id/{accountId}/transactions</t>
        </is>
      </c>
      <c r="W196" s="19" t="inlineStr">
        <is>
          <t>info-loan</t>
        </is>
      </c>
      <c r="X196" s="19" t="inlineStr">
        <is>
          <t>ECLIPSE_Account Dashboard_Loan_DDD_API_Design_v1_Workshop.xlsx</t>
        </is>
      </c>
      <c r="Y196" s="19" t="inlineStr">
        <is>
          <t>1.2 Personal Loan Acc
1.2.4 PL Shariah Acc
1.3 Auto Loan Acc
1.3.1 Auto Loan Shariah
1.4 Mortgage Loan Acc
1.4.1 Mortgage Loan Shariah</t>
        </is>
      </c>
      <c r="Z196" s="19" t="inlineStr">
        <is>
          <t>API_Specs_Index!A4:H4</t>
        </is>
      </c>
      <c r="AA196" s="22" t="inlineStr">
        <is>
          <t>API-027</t>
        </is>
      </c>
      <c r="AB196" s="19" t="inlineStr">
        <is>
          <t>Mapped to Loan transaction history because the test case terms align with the 1.2 Personal Loan Acc
1.2.4 PL Shariah Acc
1.3 Auto Loan Acc
1.3.1 Auto Loan Shariah
1.4 Mortgage Loan Acc
1.4.1 Mortgage Loan Shariah journey in the applicable API specification.</t>
        </is>
      </c>
      <c r="AC196" s="19" t="inlineStr">
        <is>
          <t>High</t>
        </is>
      </c>
      <c r="AD196" s="19" t="inlineStr">
        <is>
          <t>Pending ESB Spec</t>
        </is>
      </c>
    </row>
    <row r="197" ht="409.6" customHeight="1" s="2">
      <c r="A197" s="15" t="inlineStr">
        <is>
          <t>TC-B1-0196</t>
        </is>
      </c>
      <c r="B197" s="16" t="inlineStr">
        <is>
          <t>TS-B1-164</t>
        </is>
      </c>
      <c r="C197" s="16" t="inlineStr">
        <is>
          <t>Acct Dashboard Non-Financing</t>
        </is>
      </c>
      <c r="D197" s="16" t="inlineStr">
        <is>
          <t>Dashboard — Deposits</t>
        </is>
      </c>
      <c r="E197" s="16" t="inlineStr">
        <is>
          <t>Validate Step 1 — 1.1 Account Dashboard Landing for UGoalSaver (term savings with scheduled debit)</t>
        </is>
      </c>
      <c r="F197" s="16" t="inlineStr">
        <is>
          <t>UI / Functional</t>
        </is>
      </c>
      <c r="G197" s="16" t="inlineStr">
        <is>
          <t>Medium</t>
        </is>
      </c>
      <c r="H197" s="16" t="inlineStr">
        <is>
          <t>Eligible user and product are available. User has reached the preceding journey step.</t>
        </is>
      </c>
      <c r="I197" s="16" t="inlineStr">
        <is>
          <t>Account / Card / Policy Type: Active UGoalSaver; conventional or shariah; with linked parent account; Currency / FCY Criteria: IDR only; Inferred — requires confirmation for FCY variant</t>
        </is>
      </c>
      <c r="J197" s="16" t="inlineStr">
        <is>
          <t>1. Open UGoalSaver (term savings with scheduled debit).
2. Navigate to Step 1 — 1.1 Account Dashboard Landing.
3. Perform the action or trigger described by: Step 1.
4. Observe the page, validation, navigation, and resulting state.</t>
        </is>
      </c>
      <c r="K197" s="16" t="inlineStr">
        <is>
          <t>Step 1 — 1.1 Account Dashboard Landing behaves according to the mapped requirement (Step 1); data, controls, navigation, and status are accurate and consistent.</t>
        </is>
      </c>
      <c r="L197" s="16" t="inlineStr">
        <is>
          <t>L3 direct access; no S2U for view</t>
        </is>
      </c>
      <c r="M197" s="16" t="inlineStr">
        <is>
          <t>Account details displayed; transaction list displayed</t>
        </is>
      </c>
      <c r="N197" s="16" t="inlineStr">
        <is>
          <t>Acct Dashboard Non-Financing!A10:D10</t>
        </is>
      </c>
      <c r="O197" s="16" t="inlineStr">
        <is>
          <t>Not Run</t>
        </is>
      </c>
      <c r="P197" s="16" t="n"/>
      <c r="Q197" s="16" t="n"/>
      <c r="R197" s="17" t="n"/>
      <c r="S197" s="19" t="inlineStr">
        <is>
          <t>Loan API Design</t>
        </is>
      </c>
      <c r="T197" s="19" t="inlineStr">
        <is>
          <t>View all transaction history</t>
        </is>
      </c>
      <c r="U197" s="19" t="inlineStr">
        <is>
          <t>GET</t>
        </is>
      </c>
      <c r="V197" s="19" t="inlineStr">
        <is>
          <t>/v1/external/accounts/account-type/{accountType}/account-id/{accountId}/transactions?startDate={startDate}&amp;endDate={endDate}&amp;page={page}&amp;limit={limit}</t>
        </is>
      </c>
      <c r="W197" s="19" t="inlineStr">
        <is>
          <t>info-loan</t>
        </is>
      </c>
      <c r="X197" s="19" t="inlineStr">
        <is>
          <t>ECLIPSE_Account Dashboard_Loan_DDD_API_Design_v1_Workshop.xlsx</t>
        </is>
      </c>
      <c r="Y197" s="19" t="inlineStr">
        <is>
          <t>1.2.1 View All Trans</t>
        </is>
      </c>
      <c r="Z197" s="19" t="inlineStr">
        <is>
          <t>API_Specs_Index!A5:H5</t>
        </is>
      </c>
      <c r="AA197" s="22" t="inlineStr">
        <is>
          <t>API-028</t>
        </is>
      </c>
      <c r="AB197" s="19" t="inlineStr">
        <is>
          <t>Mapped to View all transaction history because the test case terms align with the 1.2.1 View All Trans journey in the applicable API specification.</t>
        </is>
      </c>
      <c r="AC197" s="19" t="inlineStr">
        <is>
          <t>High</t>
        </is>
      </c>
      <c r="AD197"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98" ht="409.6" customHeight="1" s="2">
      <c r="A198" s="12" t="inlineStr">
        <is>
          <t>TC-B1-0197</t>
        </is>
      </c>
      <c r="B198" s="13" t="inlineStr">
        <is>
          <t>TS-B1-165</t>
        </is>
      </c>
      <c r="C198" s="13" t="inlineStr">
        <is>
          <t>Acct Dashboard Non-Financing</t>
        </is>
      </c>
      <c r="D198" s="13" t="inlineStr">
        <is>
          <t>Dashboard — Deposits</t>
        </is>
      </c>
      <c r="E198" s="13" t="inlineStr">
        <is>
          <t>Validate Step 2 — 1.2 Account Listing (Savings &amp; Current) for UGoalSaver (term savings with scheduled debit)</t>
        </is>
      </c>
      <c r="F198" s="13" t="inlineStr">
        <is>
          <t>Functional</t>
        </is>
      </c>
      <c r="G198" s="13" t="inlineStr">
        <is>
          <t>Medium</t>
        </is>
      </c>
      <c r="H198" s="13" t="inlineStr">
        <is>
          <t>Eligible user and product are available. User has reached the preceding journey step.</t>
        </is>
      </c>
      <c r="I198" s="13" t="inlineStr">
        <is>
          <t>Account / Card / Policy Type: Active UGoalSaver; conventional or shariah; with linked parent account; Currency / FCY Criteria: IDR only; Inferred — requires confirmation for FCY variant</t>
        </is>
      </c>
      <c r="J198" s="13" t="inlineStr">
        <is>
          <t>1. Open UGoalSaver (term savings with scheduled debit).
2. Navigate to Step 2 — 1.2 Account Listing (Savings &amp; Current).
3. Perform the action or trigger described by: Step 2 — UGoalSaver card visible in Savings &amp; Current listing.
4. Observe the page, validation, navigation, and resulting state.</t>
        </is>
      </c>
      <c r="K198" s="13" t="inlineStr">
        <is>
          <t>Step 2 — 1.2 Account Listing (Savings &amp; Current) behaves according to the mapped requirement (Step 2 — UGoalSaver card visible in Savings &amp; Current listing); data, controls, navigation, and status are accurate and consistent.</t>
        </is>
      </c>
      <c r="L198" s="13" t="inlineStr">
        <is>
          <t>L3 direct access; no S2U for view</t>
        </is>
      </c>
      <c r="M198" s="13" t="inlineStr">
        <is>
          <t>Account details displayed; transaction list displayed</t>
        </is>
      </c>
      <c r="N198" s="13" t="inlineStr">
        <is>
          <t>Acct Dashboard Non-Financing!A11:D11</t>
        </is>
      </c>
      <c r="O198" s="13" t="inlineStr">
        <is>
          <t>Not Run</t>
        </is>
      </c>
      <c r="P198" s="13" t="n"/>
      <c r="Q198" s="13" t="n"/>
      <c r="R198" s="14" t="n"/>
      <c r="S198" s="19" t="inlineStr">
        <is>
          <t>Loan API Design</t>
        </is>
      </c>
      <c r="T198" s="19" t="inlineStr">
        <is>
          <t>View all transaction history</t>
        </is>
      </c>
      <c r="U198" s="19" t="inlineStr">
        <is>
          <t>GET</t>
        </is>
      </c>
      <c r="V198" s="19" t="inlineStr">
        <is>
          <t>/v1/external/accounts/account-type/{accountType}/account-id/{accountId}/transactions?startDate={startDate}&amp;endDate={endDate}&amp;page={page}&amp;limit={limit}</t>
        </is>
      </c>
      <c r="W198" s="19" t="inlineStr">
        <is>
          <t>info-loan</t>
        </is>
      </c>
      <c r="X198" s="19" t="inlineStr">
        <is>
          <t>ECLIPSE_Account Dashboard_Loan_DDD_API_Design_v1_Workshop.xlsx</t>
        </is>
      </c>
      <c r="Y198" s="19" t="inlineStr">
        <is>
          <t>1.2.1 View All Trans</t>
        </is>
      </c>
      <c r="Z198" s="19" t="inlineStr">
        <is>
          <t>API_Specs_Index!A5:H5</t>
        </is>
      </c>
      <c r="AA198" s="22" t="inlineStr">
        <is>
          <t>API-028</t>
        </is>
      </c>
      <c r="AB198" s="19" t="inlineStr">
        <is>
          <t>Mapped to View all transaction history because the test case terms align with the 1.2.1 View All Trans journey in the applicable API specification.</t>
        </is>
      </c>
      <c r="AC198" s="19" t="inlineStr">
        <is>
          <t>High</t>
        </is>
      </c>
      <c r="AD198"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199" ht="409.6" customHeight="1" s="2">
      <c r="A199" s="15" t="inlineStr">
        <is>
          <t>TC-B1-0198</t>
        </is>
      </c>
      <c r="B199" s="16" t="inlineStr">
        <is>
          <t>TS-B1-166</t>
        </is>
      </c>
      <c r="C199" s="16" t="inlineStr">
        <is>
          <t>Acct Dashboard Non-Financing</t>
        </is>
      </c>
      <c r="D199" s="16" t="inlineStr">
        <is>
          <t>Dashboard — Deposits</t>
        </is>
      </c>
      <c r="E199" s="16" t="inlineStr">
        <is>
          <t>Validate Step 12 — 1.2.3 UGoalSaver Account Details for UGoalSaver (term savings with scheduled debit)</t>
        </is>
      </c>
      <c r="F199" s="16" t="inlineStr">
        <is>
          <t>UI / Functional</t>
        </is>
      </c>
      <c r="G199" s="16" t="inlineStr">
        <is>
          <t>Medium</t>
        </is>
      </c>
      <c r="H199" s="16" t="inlineStr">
        <is>
          <t>Eligible user and product are available. User has reached the preceding journey step.</t>
        </is>
      </c>
      <c r="I199" s="16" t="inlineStr">
        <is>
          <t>Account / Card / Policy Type: Active UGoalSaver; conventional or shariah; with linked parent account; Currency / FCY Criteria: IDR only; Inferred — requires confirmation for FCY variant</t>
        </is>
      </c>
      <c r="J199" s="16" t="inlineStr">
        <is>
          <t>1. Open UGoalSaver (term savings with scheduled debit).
2. Navigate to Step 12 — 1.2.3 UGoalSaver Account Details.
3. Perform the action or trigger described by: Step 12 — Transactions / Summary / Manage tabs; Summary: term details (tenure, maturity date), scheduled debits (initial deposit, monthly debit, next debit date), returns (interest/indicative rate, accrued interest/profit), linked parent account.
4. Observe the page, validation, navigation, and resulting state.</t>
        </is>
      </c>
      <c r="K199" s="16" t="inlineStr">
        <is>
          <t>Step 12 — 1.2.3 UGoalSaver Account Details behaves according to the mapped requirement (Step 12 — Transactions / Summary / Manage tabs; Summary: term details (tenure, maturity date), scheduled debits (initial deposit, monthly debit, next debit date), returns (interest/indicative rate, accrued interest/profit), linked parent account); data, controls, navigation, and status are accurate and consistent.</t>
        </is>
      </c>
      <c r="L199" s="16" t="inlineStr">
        <is>
          <t>L3 direct access; no S2U for view</t>
        </is>
      </c>
      <c r="M199" s="16" t="inlineStr">
        <is>
          <t>Account details displayed; transaction list displayed</t>
        </is>
      </c>
      <c r="N199" s="16" t="inlineStr">
        <is>
          <t>Acct Dashboard Non-Financing!A21:D21</t>
        </is>
      </c>
      <c r="O199" s="16" t="inlineStr">
        <is>
          <t>Not Run</t>
        </is>
      </c>
      <c r="P199" s="16" t="n"/>
      <c r="Q199" s="16" t="n"/>
      <c r="R199" s="17" t="n"/>
      <c r="S199" s="19" t="inlineStr">
        <is>
          <t>Loan API Design</t>
        </is>
      </c>
      <c r="T199" s="19" t="inlineStr">
        <is>
          <t>View all transaction history</t>
        </is>
      </c>
      <c r="U199" s="19" t="inlineStr">
        <is>
          <t>GET</t>
        </is>
      </c>
      <c r="V199" s="19" t="inlineStr">
        <is>
          <t>/v1/external/accounts/account-type/{accountType}/account-id/{accountId}/transactions?startDate={startDate}&amp;endDate={endDate}&amp;page={page}&amp;limit={limit}</t>
        </is>
      </c>
      <c r="W199" s="19" t="inlineStr">
        <is>
          <t>info-loan</t>
        </is>
      </c>
      <c r="X199" s="19" t="inlineStr">
        <is>
          <t>ECLIPSE_Account Dashboard_Loan_DDD_API_Design_v1_Workshop.xlsx</t>
        </is>
      </c>
      <c r="Y199" s="19" t="inlineStr">
        <is>
          <t>1.2.1 View All Trans</t>
        </is>
      </c>
      <c r="Z199" s="19" t="inlineStr">
        <is>
          <t>API_Specs_Index!A5:H5</t>
        </is>
      </c>
      <c r="AA199" s="22" t="inlineStr">
        <is>
          <t>API-028</t>
        </is>
      </c>
      <c r="AB199" s="19" t="inlineStr">
        <is>
          <t>Mapped to View all transaction history because the test case terms align with the 1.2.1 View All Trans journey in the applicable API specification.</t>
        </is>
      </c>
      <c r="AC199" s="19" t="inlineStr">
        <is>
          <t>High</t>
        </is>
      </c>
      <c r="AD199"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200" ht="409.6" customHeight="1" s="2">
      <c r="A200" s="12" t="inlineStr">
        <is>
          <t>TC-B1-0199</t>
        </is>
      </c>
      <c r="B200" s="13" t="inlineStr">
        <is>
          <t>TS-B1-167</t>
        </is>
      </c>
      <c r="C200" s="13" t="inlineStr">
        <is>
          <t>Acct Dashboard Non-Financing</t>
        </is>
      </c>
      <c r="D200" s="13" t="inlineStr">
        <is>
          <t>Dashboard — Deposits</t>
        </is>
      </c>
      <c r="E200" s="13" t="inlineStr">
        <is>
          <t>Validate ViewAllTrans — Transaction History Display Rule for UGoalSaver (term savings with scheduled debit)</t>
        </is>
      </c>
      <c r="F200" s="13" t="inlineStr">
        <is>
          <t>UI / Functional</t>
        </is>
      </c>
      <c r="G200" s="13" t="inlineStr">
        <is>
          <t>Medium</t>
        </is>
      </c>
      <c r="H200" s="13" t="inlineStr">
        <is>
          <t>Eligible user and product are available. User has reached the preceding journey step.</t>
        </is>
      </c>
      <c r="I200" s="13" t="inlineStr">
        <is>
          <t>Account / Card / Policy Type: Active UGoalSaver; conventional or shariah; with linked parent account; Currency / FCY Criteria: IDR only; Inferred — requires confirmation for FCY variant</t>
        </is>
      </c>
      <c r="J200" s="13" t="inlineStr">
        <is>
          <t>1. Open UGoalSaver (term savings with scheduled debit).
2. Navigate to ViewAllTrans — Transaction History Display Rule.
3. Perform the action or trigger described by: Transactions tab: latest 10; YTD + last 2 years; ViewAllTrans via sticky hyperlink.
4. Observe the page, validation, navigation, and resulting state.</t>
        </is>
      </c>
      <c r="K200" s="13" t="inlineStr">
        <is>
          <t>ViewAllTrans — Transaction History Display Rule behaves according to the mapped requirement (Transactions tab: latest 10; YTD + last 2 years; ViewAllTrans via sticky hyperlink); data, controls, navigation, and status are accurate and consistent.</t>
        </is>
      </c>
      <c r="L200" s="13" t="inlineStr">
        <is>
          <t>L3 direct access; no S2U for view</t>
        </is>
      </c>
      <c r="M200" s="13" t="inlineStr">
        <is>
          <t>Account details displayed; transaction list displayed</t>
        </is>
      </c>
      <c r="N200" s="13" t="inlineStr">
        <is>
          <t>Acct Dashboard Non-Financing!A40:D40</t>
        </is>
      </c>
      <c r="O200" s="13" t="inlineStr">
        <is>
          <t>Not Run</t>
        </is>
      </c>
      <c r="P200" s="13" t="n"/>
      <c r="Q200" s="13" t="n"/>
      <c r="R200" s="14" t="n"/>
      <c r="S200" s="19" t="inlineStr">
        <is>
          <t>Loan API Design</t>
        </is>
      </c>
      <c r="T200" s="19" t="inlineStr">
        <is>
          <t>View all transaction history</t>
        </is>
      </c>
      <c r="U200" s="19" t="inlineStr">
        <is>
          <t>GET</t>
        </is>
      </c>
      <c r="V200" s="19" t="inlineStr">
        <is>
          <t>/v1/external/accounts/account-type/{accountType}/account-id/{accountId}/transactions?startDate={startDate}&amp;endDate={endDate}&amp;page={page}&amp;limit={limit}</t>
        </is>
      </c>
      <c r="W200" s="19" t="inlineStr">
        <is>
          <t>info-loan</t>
        </is>
      </c>
      <c r="X200" s="19" t="inlineStr">
        <is>
          <t>ECLIPSE_Account Dashboard_Loan_DDD_API_Design_v1_Workshop.xlsx</t>
        </is>
      </c>
      <c r="Y200" s="19" t="inlineStr">
        <is>
          <t>1.2.1 View All Trans</t>
        </is>
      </c>
      <c r="Z200" s="19" t="inlineStr">
        <is>
          <t>API_Specs_Index!A5:H5</t>
        </is>
      </c>
      <c r="AA200" s="22" t="inlineStr">
        <is>
          <t>API-028</t>
        </is>
      </c>
      <c r="AB200" s="19" t="inlineStr">
        <is>
          <t>Mapped to View all transaction history because the test case terms align with the 1.2.1 View All Trans journey in the applicable API specification.</t>
        </is>
      </c>
      <c r="AC200" s="19" t="inlineStr">
        <is>
          <t>High</t>
        </is>
      </c>
      <c r="AD200"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201" ht="409.6" customHeight="1" s="2">
      <c r="A201" s="15" t="inlineStr">
        <is>
          <t>TC-B1-0200</t>
        </is>
      </c>
      <c r="B201" s="16" t="inlineStr">
        <is>
          <t>TS-B1-168</t>
        </is>
      </c>
      <c r="C201" s="16" t="inlineStr">
        <is>
          <t>Acct Dashboard Non-Financing</t>
        </is>
      </c>
      <c r="D201" s="16" t="inlineStr">
        <is>
          <t>Dashboard — Deposits</t>
        </is>
      </c>
      <c r="E201" s="16" t="inlineStr">
        <is>
          <t>Validate Sorting / Display Order for UGoalSaver (term savings with scheduled debit)</t>
        </is>
      </c>
      <c r="F201" s="16" t="inlineStr">
        <is>
          <t>UI / Functional</t>
        </is>
      </c>
      <c r="G201" s="16" t="inlineStr">
        <is>
          <t>Medium</t>
        </is>
      </c>
      <c r="H201" s="16" t="inlineStr">
        <is>
          <t>Eligible user and product are available. User has reached the preceding journey step.</t>
        </is>
      </c>
      <c r="I201" s="16" t="inlineStr">
        <is>
          <t>Account / Card / Policy Type: Active UGoalSaver; conventional or shariah; with linked parent account; Currency / FCY Criteria: IDR only; Inferred — requires confirmation for FCY variant</t>
        </is>
      </c>
      <c r="J201" s="16" t="inlineStr">
        <is>
          <t>1. Open UGoalSaver (term savings with scheduled debit).
2. Navigate to Sorting / Display Order.
3. Perform the action or trigger described by: Sorted within Savings &amp; Current by product name then account number.
4. Observe the page, validation, navigation, and resulting state.</t>
        </is>
      </c>
      <c r="K201" s="16" t="inlineStr">
        <is>
          <t>Sorting / Display Order behaves according to the mapped requirement (Sorted within Savings &amp; Current by product name then account number); data, controls, navigation, and status are accurate and consistent.</t>
        </is>
      </c>
      <c r="L201" s="16" t="inlineStr">
        <is>
          <t>L3 direct access; no S2U for view</t>
        </is>
      </c>
      <c r="M201" s="16" t="inlineStr">
        <is>
          <t>Account details displayed; transaction list displayed</t>
        </is>
      </c>
      <c r="N201" s="16" t="inlineStr">
        <is>
          <t>Acct Dashboard Non-Financing!A41:D41</t>
        </is>
      </c>
      <c r="O201" s="16" t="inlineStr">
        <is>
          <t>Not Run</t>
        </is>
      </c>
      <c r="P201" s="16" t="n"/>
      <c r="Q201" s="16" t="n"/>
      <c r="R201" s="17" t="n"/>
      <c r="S201" s="19" t="inlineStr">
        <is>
          <t>Loan API Design</t>
        </is>
      </c>
      <c r="T201" s="19" t="inlineStr">
        <is>
          <t>View all transaction history</t>
        </is>
      </c>
      <c r="U201" s="19" t="inlineStr">
        <is>
          <t>GET</t>
        </is>
      </c>
      <c r="V201" s="19" t="inlineStr">
        <is>
          <t>/v1/external/accounts/account-type/{accountType}/account-id/{accountId}/transactions?startDate={startDate}&amp;endDate={endDate}&amp;page={page}&amp;limit={limit}</t>
        </is>
      </c>
      <c r="W201" s="19" t="inlineStr">
        <is>
          <t>info-loan</t>
        </is>
      </c>
      <c r="X201" s="19" t="inlineStr">
        <is>
          <t>ECLIPSE_Account Dashboard_Loan_DDD_API_Design_v1_Workshop.xlsx</t>
        </is>
      </c>
      <c r="Y201" s="19" t="inlineStr">
        <is>
          <t>1.2.1 View All Trans</t>
        </is>
      </c>
      <c r="Z201" s="19" t="inlineStr">
        <is>
          <t>API_Specs_Index!A5:H5</t>
        </is>
      </c>
      <c r="AA201" s="22" t="inlineStr">
        <is>
          <t>API-028</t>
        </is>
      </c>
      <c r="AB201" s="19" t="inlineStr">
        <is>
          <t>Mapped to View all transaction history because the test case terms align with the 1.2.1 View All Trans journey in the applicable API specification.</t>
        </is>
      </c>
      <c r="AC201" s="19" t="inlineStr">
        <is>
          <t>High</t>
        </is>
      </c>
      <c r="AD201"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202" ht="409.6" customHeight="1" s="2">
      <c r="A202" s="12" t="inlineStr">
        <is>
          <t>TC-B1-0201</t>
        </is>
      </c>
      <c r="B202" s="13" t="inlineStr">
        <is>
          <t>TS-B1-169</t>
        </is>
      </c>
      <c r="C202" s="13" t="inlineStr">
        <is>
          <t>Acct Dashboard Non-Financing</t>
        </is>
      </c>
      <c r="D202" s="13" t="inlineStr">
        <is>
          <t>Dashboard — Deposits</t>
        </is>
      </c>
      <c r="E202" s="13" t="inlineStr">
        <is>
          <t>Validate Joint-AND Account Restrictions for UGoalSaver (term savings with scheduled debit)</t>
        </is>
      </c>
      <c r="F202" s="13" t="inlineStr">
        <is>
          <t>Functional</t>
        </is>
      </c>
      <c r="G202" s="13" t="inlineStr">
        <is>
          <t>Medium</t>
        </is>
      </c>
      <c r="H202" s="13" t="inlineStr">
        <is>
          <t>Eligible user and product are available. Trigger the stated condition: Not applicable (UGoalSaver cannot be joint)</t>
        </is>
      </c>
      <c r="I202" s="13" t="inlineStr">
        <is>
          <t>Account / Card / Policy Type: Active UGoalSaver; conventional or shariah; with linked parent account; Currency / FCY Criteria: IDR only; Inferred — requires confirmation for FCY variant</t>
        </is>
      </c>
      <c r="J202" s="13" t="inlineStr">
        <is>
          <t>1. Open UGoalSaver (term savings with scheduled debit).
2. Navigate to Joint-AND Account Restrictions.
3. Perform the action or trigger described by: Not applicable (UGoalSaver cannot be joint).
4. Observe the page, validation, navigation, and resulting state.</t>
        </is>
      </c>
      <c r="K202" s="13" t="inlineStr">
        <is>
          <t>Joint-AND Account Restrictions behaves according to the mapped requirement (Not applicable (UGoalSaver cannot be joint)); data, controls, navigation, and status are accurate and consistent.</t>
        </is>
      </c>
      <c r="L202" s="13" t="inlineStr">
        <is>
          <t>L3 direct access; no S2U for view</t>
        </is>
      </c>
      <c r="M202" s="13" t="inlineStr">
        <is>
          <t>Account details displayed; transaction list displayed</t>
        </is>
      </c>
      <c r="N202" s="13" t="inlineStr">
        <is>
          <t>Acct Dashboard Non-Financing!A42:D42</t>
        </is>
      </c>
      <c r="O202" s="13" t="inlineStr">
        <is>
          <t>Not Run</t>
        </is>
      </c>
      <c r="P202" s="13" t="n"/>
      <c r="Q202" s="13" t="n"/>
      <c r="R202" s="14" t="inlineStr">
        <is>
          <t>Conditional coverage required.</t>
        </is>
      </c>
      <c r="S202" s="19" t="inlineStr">
        <is>
          <t>Loan API Design</t>
        </is>
      </c>
      <c r="T202" s="19" t="inlineStr">
        <is>
          <t>View all transaction history</t>
        </is>
      </c>
      <c r="U202" s="19" t="inlineStr">
        <is>
          <t>GET</t>
        </is>
      </c>
      <c r="V202" s="19" t="inlineStr">
        <is>
          <t>/v1/external/accounts/account-type/{accountType}/account-id/{accountId}/transactions?startDate={startDate}&amp;endDate={endDate}&amp;page={page}&amp;limit={limit}</t>
        </is>
      </c>
      <c r="W202" s="19" t="inlineStr">
        <is>
          <t>info-loan</t>
        </is>
      </c>
      <c r="X202" s="19" t="inlineStr">
        <is>
          <t>ECLIPSE_Account Dashboard_Loan_DDD_API_Design_v1_Workshop.xlsx</t>
        </is>
      </c>
      <c r="Y202" s="19" t="inlineStr">
        <is>
          <t>1.2.1 View All Trans</t>
        </is>
      </c>
      <c r="Z202" s="19" t="inlineStr">
        <is>
          <t>API_Specs_Index!A5:H5</t>
        </is>
      </c>
      <c r="AA202" s="22" t="inlineStr">
        <is>
          <t>API-028</t>
        </is>
      </c>
      <c r="AB202" s="19" t="inlineStr">
        <is>
          <t>Mapped to View all transaction history because the test case terms align with the 1.2.1 View All Trans journey in the applicable API specification.</t>
        </is>
      </c>
      <c r="AC202" s="19" t="inlineStr">
        <is>
          <t>High</t>
        </is>
      </c>
      <c r="AD202"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203" ht="409.6" customHeight="1" s="2">
      <c r="A203" s="15" t="inlineStr">
        <is>
          <t>TC-B1-0202</t>
        </is>
      </c>
      <c r="B203" s="16" t="inlineStr">
        <is>
          <t>TS-B1-170</t>
        </is>
      </c>
      <c r="C203" s="16" t="inlineStr">
        <is>
          <t>Acct Dashboard Non-Financing</t>
        </is>
      </c>
      <c r="D203" s="16" t="inlineStr">
        <is>
          <t>Dashboard — Deposits</t>
        </is>
      </c>
      <c r="E203" s="16" t="inlineStr">
        <is>
          <t>Validate Business Profile / IBO Disclaimer for UGoalSaver (term savings with scheduled debit)</t>
        </is>
      </c>
      <c r="F203" s="16" t="inlineStr">
        <is>
          <t>Functional</t>
        </is>
      </c>
      <c r="G203" s="16" t="inlineStr">
        <is>
          <t>Medium</t>
        </is>
      </c>
      <c r="H203" s="16" t="inlineStr">
        <is>
          <t>Eligible user and product are available. Trigger the stated condition: Not applicable</t>
        </is>
      </c>
      <c r="I203" s="16" t="inlineStr">
        <is>
          <t>Account / Card / Policy Type: Active UGoalSaver; conventional or shariah; with linked parent account; Currency / FCY Criteria: IDR only; Inferred — requires confirmation for FCY variant</t>
        </is>
      </c>
      <c r="J203" s="16" t="inlineStr">
        <is>
          <t>1. Open UGoalSaver (term savings with scheduled debit).
2. Navigate to Business Profile / IBO Disclaimer.
3. Perform the action or trigger described by: Not applicable.
4. Observe the page, validation, navigation, and resulting state.</t>
        </is>
      </c>
      <c r="K203" s="16" t="inlineStr">
        <is>
          <t>Business Profile / IBO Disclaimer behaves according to the mapped requirement (Not applicable); data, controls, navigation, and status are accurate and consistent.</t>
        </is>
      </c>
      <c r="L203" s="16" t="inlineStr">
        <is>
          <t>L3 direct access; no S2U for view</t>
        </is>
      </c>
      <c r="M203" s="16" t="inlineStr">
        <is>
          <t>Account details displayed; transaction list displayed</t>
        </is>
      </c>
      <c r="N203" s="16" t="inlineStr">
        <is>
          <t>Acct Dashboard Non-Financing!A43:D43</t>
        </is>
      </c>
      <c r="O203" s="16" t="inlineStr">
        <is>
          <t>Not Run</t>
        </is>
      </c>
      <c r="P203" s="16" t="n"/>
      <c r="Q203" s="16" t="n"/>
      <c r="R203" s="17" t="inlineStr">
        <is>
          <t>Conditional coverage required.</t>
        </is>
      </c>
      <c r="S203" s="19" t="inlineStr">
        <is>
          <t>Loan API Design</t>
        </is>
      </c>
      <c r="T203" s="19" t="inlineStr">
        <is>
          <t>View all transaction history</t>
        </is>
      </c>
      <c r="U203" s="19" t="inlineStr">
        <is>
          <t>GET</t>
        </is>
      </c>
      <c r="V203" s="19" t="inlineStr">
        <is>
          <t>/v1/external/accounts/account-type/{accountType}/account-id/{accountId}/transactions?startDate={startDate}&amp;endDate={endDate}&amp;page={page}&amp;limit={limit}</t>
        </is>
      </c>
      <c r="W203" s="19" t="inlineStr">
        <is>
          <t>info-loan</t>
        </is>
      </c>
      <c r="X203" s="19" t="inlineStr">
        <is>
          <t>ECLIPSE_Account Dashboard_Loan_DDD_API_Design_v1_Workshop.xlsx</t>
        </is>
      </c>
      <c r="Y203" s="19" t="inlineStr">
        <is>
          <t>1.2.1 View All Trans</t>
        </is>
      </c>
      <c r="Z203" s="19" t="inlineStr">
        <is>
          <t>API_Specs_Index!A5:H5</t>
        </is>
      </c>
      <c r="AA203" s="22" t="inlineStr">
        <is>
          <t>API-028</t>
        </is>
      </c>
      <c r="AB203" s="19" t="inlineStr">
        <is>
          <t>Mapped to View all transaction history because the test case terms align with the 1.2.1 View All Trans journey in the applicable API specification.</t>
        </is>
      </c>
      <c r="AC203" s="19" t="inlineStr">
        <is>
          <t>High</t>
        </is>
      </c>
      <c r="AD203"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204" ht="409.6" customHeight="1" s="2">
      <c r="A204" s="12" t="inlineStr">
        <is>
          <t>TC-B1-0203</t>
        </is>
      </c>
      <c r="B204" s="13" t="inlineStr">
        <is>
          <t>TS-B1-171</t>
        </is>
      </c>
      <c r="C204" s="13" t="inlineStr">
        <is>
          <t>Acct Dashboard Non-Financing</t>
        </is>
      </c>
      <c r="D204" s="13" t="inlineStr">
        <is>
          <t>Dashboard — Deposits</t>
        </is>
      </c>
      <c r="E204" s="13" t="inlineStr">
        <is>
          <t>Validate External FSD References for UGoalSaver (term savings with scheduled debit)</t>
        </is>
      </c>
      <c r="F204" s="13" t="inlineStr">
        <is>
          <t>Functional</t>
        </is>
      </c>
      <c r="G204" s="13" t="inlineStr">
        <is>
          <t>Medium</t>
        </is>
      </c>
      <c r="H204" s="13" t="inlineStr">
        <is>
          <t>Eligible user and product are available. User has reached the preceding journey step.</t>
        </is>
      </c>
      <c r="I204" s="13" t="inlineStr">
        <is>
          <t>Account / Card / Policy Type: Active UGoalSaver; conventional or shariah; with linked parent account; Currency / FCY Criteria: IDR only; Inferred — requires confirmation for FCY variant</t>
        </is>
      </c>
      <c r="J204" s="13" t="inlineStr">
        <is>
          <t>1. Open UGoalSaver (term savings with scheduled debit).
2. Navigate to External FSD References.
3. Perform the action or trigger described by: Add/Edit Nickname: refer to AD Common FSD.
4. Observe the page, validation, navigation, and resulting state.</t>
        </is>
      </c>
      <c r="K204" s="13" t="inlineStr">
        <is>
          <t>External FSD References behaves according to the mapped requirement (Add/Edit Nickname: refer to AD Common FSD); data, controls, navigation, and status are accurate and consistent.</t>
        </is>
      </c>
      <c r="L204" s="13" t="inlineStr">
        <is>
          <t>L3 direct access; no S2U for view</t>
        </is>
      </c>
      <c r="M204" s="13" t="inlineStr">
        <is>
          <t>Account details displayed; transaction list displayed</t>
        </is>
      </c>
      <c r="N204" s="13" t="inlineStr">
        <is>
          <t>Acct Dashboard Non-Financing!A45:D45</t>
        </is>
      </c>
      <c r="O204" s="13" t="inlineStr">
        <is>
          <t>Not Run</t>
        </is>
      </c>
      <c r="P204" s="13" t="n"/>
      <c r="Q204" s="13" t="n"/>
      <c r="R204" s="14" t="n"/>
      <c r="S204" s="19" t="inlineStr">
        <is>
          <t>Loan API Design</t>
        </is>
      </c>
      <c r="T204" s="19" t="inlineStr">
        <is>
          <t>View all transaction history</t>
        </is>
      </c>
      <c r="U204" s="19" t="inlineStr">
        <is>
          <t>GET</t>
        </is>
      </c>
      <c r="V204" s="19" t="inlineStr">
        <is>
          <t>/v1/external/accounts/account-type/{accountType}/account-id/{accountId}/transactions?startDate={startDate}&amp;endDate={endDate}&amp;page={page}&amp;limit={limit}</t>
        </is>
      </c>
      <c r="W204" s="19" t="inlineStr">
        <is>
          <t>info-loan</t>
        </is>
      </c>
      <c r="X204" s="19" t="inlineStr">
        <is>
          <t>ECLIPSE_Account Dashboard_Loan_DDD_API_Design_v1_Workshop.xlsx</t>
        </is>
      </c>
      <c r="Y204" s="19" t="inlineStr">
        <is>
          <t>1.2.1 View All Trans</t>
        </is>
      </c>
      <c r="Z204" s="19" t="inlineStr">
        <is>
          <t>API_Specs_Index!A5:H5</t>
        </is>
      </c>
      <c r="AA204" s="22" t="inlineStr">
        <is>
          <t>API-028</t>
        </is>
      </c>
      <c r="AB204" s="19" t="inlineStr">
        <is>
          <t>Mapped to View all transaction history because the test case terms align with the 1.2.1 View All Trans journey in the applicable API specification.</t>
        </is>
      </c>
      <c r="AC204" s="19" t="inlineStr">
        <is>
          <t>High</t>
        </is>
      </c>
      <c r="AD204"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205" ht="345" customHeight="1" s="2">
      <c r="A205" s="15" t="inlineStr">
        <is>
          <t>TC-B1-0204</t>
        </is>
      </c>
      <c r="B205" s="16" t="inlineStr">
        <is>
          <t>TS-B1-172</t>
        </is>
      </c>
      <c r="C205" s="16" t="inlineStr">
        <is>
          <t>Acct Dashboard Non-Financing</t>
        </is>
      </c>
      <c r="D205" s="16" t="inlineStr">
        <is>
          <t>Dashboard — Deposits</t>
        </is>
      </c>
      <c r="E205" s="16" t="inlineStr">
        <is>
          <t>Validate successful final state for UGoalSaver (term savings with scheduled debit)</t>
        </is>
      </c>
      <c r="F205" s="16" t="inlineStr">
        <is>
          <t>Positive</t>
        </is>
      </c>
      <c r="G205" s="16" t="inlineStr">
        <is>
          <t>High</t>
        </is>
      </c>
      <c r="H205" s="16" t="inlineStr">
        <is>
          <t>All required inputs and services are valid. Expected statuses: Account details displayed; transaction list displayed</t>
        </is>
      </c>
      <c r="I205" s="16" t="inlineStr">
        <is>
          <t>Account / Card / Policy Type: Active UGoalSaver; conventional or shariah; with linked parent account; Currency / FCY Criteria: IDR only; Inferred — requires confirmation for FCY variant</t>
        </is>
      </c>
      <c r="J205" s="16" t="inlineStr">
        <is>
          <t>1. Complete the end-to-end journey with valid data.
2. Submit/confirm the final action.
3. Verify result, receipt/notification where applicable, and persisted state.</t>
        </is>
      </c>
      <c r="K205" s="16" t="inlineStr">
        <is>
          <t>A valid success status from the requirement is shown. The transaction or change is applied once, persisted, and reflected on refresh.</t>
        </is>
      </c>
      <c r="L205" s="16" t="inlineStr">
        <is>
          <t>L3 direct access; no S2U for view</t>
        </is>
      </c>
      <c r="M205" s="16" t="inlineStr">
        <is>
          <t>Account details displayed; transaction list displayed</t>
        </is>
      </c>
      <c r="N205" s="16" t="inlineStr">
        <is>
          <t>Acct Dashboard Non-Financing!D1:D45</t>
        </is>
      </c>
      <c r="O205" s="16" t="inlineStr">
        <is>
          <t>Not Run</t>
        </is>
      </c>
      <c r="P205" s="16" t="n"/>
      <c r="Q205" s="16" t="n"/>
      <c r="R205" s="17" t="n"/>
      <c r="S205" s="19" t="inlineStr">
        <is>
          <t>Loan API Design</t>
        </is>
      </c>
      <c r="T205" s="19" t="inlineStr">
        <is>
          <t>Loan transaction history</t>
        </is>
      </c>
      <c r="U205" s="19" t="inlineStr">
        <is>
          <t>GET</t>
        </is>
      </c>
      <c r="V205" s="19" t="inlineStr">
        <is>
          <t>/v1/external/accounts/account-type/{accountType}/account-id/{accountId}/transactions</t>
        </is>
      </c>
      <c r="W205" s="19" t="inlineStr">
        <is>
          <t>info-loan</t>
        </is>
      </c>
      <c r="X205" s="19" t="inlineStr">
        <is>
          <t>ECLIPSE_Account Dashboard_Loan_DDD_API_Design_v1_Workshop.xlsx</t>
        </is>
      </c>
      <c r="Y205" s="19" t="inlineStr">
        <is>
          <t>1.2 Personal Loan Acc
1.2.4 PL Shariah Acc
1.3 Auto Loan Acc
1.3.1 Auto Loan Shariah
1.4 Mortgage Loan Acc
1.4.1 Mortgage Loan Shariah</t>
        </is>
      </c>
      <c r="Z205" s="19" t="inlineStr">
        <is>
          <t>API_Specs_Index!A4:H4</t>
        </is>
      </c>
      <c r="AA205" s="22" t="inlineStr">
        <is>
          <t>API-027</t>
        </is>
      </c>
      <c r="AB205"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05" s="19" t="inlineStr">
        <is>
          <t>High</t>
        </is>
      </c>
      <c r="AD205" s="19" t="inlineStr">
        <is>
          <t>Pending ESB Spec</t>
        </is>
      </c>
    </row>
    <row r="206" ht="345" customHeight="1" s="2">
      <c r="A206" s="12" t="inlineStr">
        <is>
          <t>TC-B1-0205</t>
        </is>
      </c>
      <c r="B206" s="13" t="inlineStr">
        <is>
          <t>TS-B1-172</t>
        </is>
      </c>
      <c r="C206" s="13" t="inlineStr">
        <is>
          <t>Acct Dashboard Non-Financing</t>
        </is>
      </c>
      <c r="D206" s="13" t="inlineStr">
        <is>
          <t>Dashboard — Deposits</t>
        </is>
      </c>
      <c r="E206" s="13" t="inlineStr">
        <is>
          <t>Validate service failure and retry for UGoalSaver (term savings with scheduled debit)</t>
        </is>
      </c>
      <c r="F206" s="13" t="inlineStr">
        <is>
          <t>Negative</t>
        </is>
      </c>
      <c r="G206" s="13" t="inlineStr">
        <is>
          <t>High</t>
        </is>
      </c>
      <c r="H206" s="13" t="inlineStr">
        <is>
          <t>Journey is available; simulate a controlled downstream timeout or unsuccessful response. Expected statuses: Account details displayed; transaction list displayed</t>
        </is>
      </c>
      <c r="I206" s="13" t="inlineStr">
        <is>
          <t>Account / Card / Policy Type: Active UGoalSaver; conventional or shariah; with linked parent account; Currency / FCY Criteria: IDR only; Inferred — requires confirmation for FCY variant</t>
        </is>
      </c>
      <c r="J206" s="13" t="inlineStr">
        <is>
          <t>1. Progress to the final action.
2. Trigger a timeout, unavailable service, or unsuccessful response.
3. Verify the error message and retry behavior.
4. Retry after service recovery.</t>
        </is>
      </c>
      <c r="K206" s="13" t="inlineStr">
        <is>
          <t>No duplicate action occurs. The configured unsuccessful/processing state is shown, retry is safe, and final status becomes consistent after recovery.</t>
        </is>
      </c>
      <c r="L206" s="13" t="inlineStr">
        <is>
          <t>L3 direct access; no S2U for view</t>
        </is>
      </c>
      <c r="M206" s="13" t="inlineStr">
        <is>
          <t>Account details displayed; transaction list displayed</t>
        </is>
      </c>
      <c r="N206" s="13" t="inlineStr">
        <is>
          <t>Acct Dashboard Non-Financing!D1:D45</t>
        </is>
      </c>
      <c r="O206" s="13" t="inlineStr">
        <is>
          <t>Not Run</t>
        </is>
      </c>
      <c r="P206" s="13" t="n"/>
      <c r="Q206" s="13" t="n"/>
      <c r="R206" s="14" t="n"/>
      <c r="S206" s="19" t="inlineStr">
        <is>
          <t>Loan API Design</t>
        </is>
      </c>
      <c r="T206" s="19" t="inlineStr">
        <is>
          <t>Loan transaction history</t>
        </is>
      </c>
      <c r="U206" s="19" t="inlineStr">
        <is>
          <t>GET</t>
        </is>
      </c>
      <c r="V206" s="19" t="inlineStr">
        <is>
          <t>/v1/external/accounts/account-type/{accountType}/account-id/{accountId}/transactions</t>
        </is>
      </c>
      <c r="W206" s="19" t="inlineStr">
        <is>
          <t>info-loan</t>
        </is>
      </c>
      <c r="X206" s="19" t="inlineStr">
        <is>
          <t>ECLIPSE_Account Dashboard_Loan_DDD_API_Design_v1_Workshop.xlsx</t>
        </is>
      </c>
      <c r="Y206" s="19" t="inlineStr">
        <is>
          <t>1.2 Personal Loan Acc
1.2.4 PL Shariah Acc
1.3 Auto Loan Acc
1.3.1 Auto Loan Shariah
1.4 Mortgage Loan Acc
1.4.1 Mortgage Loan Shariah</t>
        </is>
      </c>
      <c r="Z206" s="19" t="inlineStr">
        <is>
          <t>API_Specs_Index!A4:H4</t>
        </is>
      </c>
      <c r="AA206" s="22" t="inlineStr">
        <is>
          <t>API-027</t>
        </is>
      </c>
      <c r="AB206"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06" s="19" t="inlineStr">
        <is>
          <t>High</t>
        </is>
      </c>
      <c r="AD206" s="19" t="inlineStr">
        <is>
          <t>Pending ESB Spec</t>
        </is>
      </c>
    </row>
    <row r="207" ht="400.2" customHeight="1" s="2">
      <c r="A207" s="15" t="inlineStr">
        <is>
          <t>TC-B1-0206</t>
        </is>
      </c>
      <c r="B207" s="16" t="inlineStr">
        <is>
          <t>TS-B1-173</t>
        </is>
      </c>
      <c r="C207" s="16" t="inlineStr">
        <is>
          <t>Acct Dashboard Non-Financing</t>
        </is>
      </c>
      <c r="D207" s="16" t="inlineStr">
        <is>
          <t>Dashboard — Deposits</t>
        </is>
      </c>
      <c r="E207" s="16" t="inlineStr">
        <is>
          <t>Open MyPlan Plus / MaybankGift (term savings with auto-debit and gift campaign) from valid entry point</t>
        </is>
      </c>
      <c r="F207" s="16" t="inlineStr">
        <is>
          <t>Positive</t>
        </is>
      </c>
      <c r="G207" s="16" t="inlineStr">
        <is>
          <t>Medium</t>
        </is>
      </c>
      <c r="H207" s="16" t="inlineStr">
        <is>
          <t>Eligible user: L3 post-login; individual account holder (no joint, no primary)</t>
        </is>
      </c>
      <c r="I207" s="16" t="inlineStr">
        <is>
          <t>Account / Card / Policy Type: Active MyPlan Plus with MaybankGift; conventional or shariah; with linked parent account; Currency / FCY Criteria: IDR; FCY conversion via ECLIPSE/NGBO if account currency is FCY</t>
        </is>
      </c>
      <c r="J207" s="16" t="inlineStr">
        <is>
          <t>1. Sign in at the required access level.
2. Navigate using: Account Dashboard Landing → Savings &amp; Current tab → MyPlan Plus card.
3. Select MyPlan Plus / MaybankGift (term savings with auto-debit and gift campaign).</t>
        </is>
      </c>
      <c r="K207" s="16" t="inlineStr">
        <is>
          <t>The correct Dashboard — Deposits page opens and relevant product information is displayed without error.</t>
        </is>
      </c>
      <c r="L207" s="16" t="inlineStr">
        <is>
          <t>L3 direct access; no S2U for view</t>
        </is>
      </c>
      <c r="M207" s="16" t="inlineStr">
        <is>
          <t>Account details displayed; transaction list displayed; Failed auto-debit count displayed</t>
        </is>
      </c>
      <c r="N207" s="16" t="inlineStr">
        <is>
          <t>Acct Dashboard Non-Financing!E1:E45</t>
        </is>
      </c>
      <c r="O207" s="16" t="inlineStr">
        <is>
          <t>Not Run</t>
        </is>
      </c>
      <c r="P207" s="16" t="n"/>
      <c r="Q207" s="16" t="n"/>
      <c r="R207" s="17" t="n"/>
      <c r="S207" s="19" t="inlineStr">
        <is>
          <t>Loan API Design</t>
        </is>
      </c>
      <c r="T207" s="19" t="inlineStr">
        <is>
          <t>Loan transaction history</t>
        </is>
      </c>
      <c r="U207" s="19" t="inlineStr">
        <is>
          <t>GET</t>
        </is>
      </c>
      <c r="V207" s="19" t="inlineStr">
        <is>
          <t>/v1/external/accounts/account-type/{accountType}/account-id/{accountId}/transactions</t>
        </is>
      </c>
      <c r="W207" s="19" t="inlineStr">
        <is>
          <t>info-loan</t>
        </is>
      </c>
      <c r="X207" s="19" t="inlineStr">
        <is>
          <t>ECLIPSE_Account Dashboard_Loan_DDD_API_Design_v1_Workshop.xlsx</t>
        </is>
      </c>
      <c r="Y207" s="19" t="inlineStr">
        <is>
          <t>1.2 Personal Loan Acc
1.2.4 PL Shariah Acc
1.3 Auto Loan Acc
1.3.1 Auto Loan Shariah
1.4 Mortgage Loan Acc
1.4.1 Mortgage Loan Shariah</t>
        </is>
      </c>
      <c r="Z207" s="19" t="inlineStr">
        <is>
          <t>API_Specs_Index!A4:H4</t>
        </is>
      </c>
      <c r="AA207" s="22" t="inlineStr">
        <is>
          <t>API-027</t>
        </is>
      </c>
      <c r="AB207"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07" s="19" t="inlineStr">
        <is>
          <t>High</t>
        </is>
      </c>
      <c r="AD207" s="19" t="inlineStr">
        <is>
          <t>Pending ESB Spec</t>
        </is>
      </c>
    </row>
    <row r="208" ht="409.6" customHeight="1" s="2">
      <c r="A208" s="12" t="inlineStr">
        <is>
          <t>TC-B1-0207</t>
        </is>
      </c>
      <c r="B208" s="13" t="inlineStr">
        <is>
          <t>TS-B1-173</t>
        </is>
      </c>
      <c r="C208" s="13" t="inlineStr">
        <is>
          <t>Acct Dashboard Non-Financing</t>
        </is>
      </c>
      <c r="D208" s="13" t="inlineStr">
        <is>
          <t>Dashboard — Deposits</t>
        </is>
      </c>
      <c r="E208" s="13" t="inlineStr">
        <is>
          <t>Validate ineligible or unavailable state for MyPlan Plus / MaybankGift (term savings with auto-debit and gift campaign)</t>
        </is>
      </c>
      <c r="F208" s="13" t="inlineStr">
        <is>
          <t>Negative</t>
        </is>
      </c>
      <c r="G208" s="13" t="inlineStr">
        <is>
          <t>High</t>
        </is>
      </c>
      <c r="H208" s="13" t="inlineStr">
        <is>
          <t>User or product does not meet one configured eligibility condition. Eligible baseline: L3 post-login; individual account holder (no joint, no primary)</t>
        </is>
      </c>
      <c r="I208" s="13" t="inlineStr">
        <is>
          <t>Account / Card / Policy Type: Active MyPlan Plus with MaybankGift; conventional or shariah; with linked parent account; Currency / FCY Criteria: IDR; FCY conversion via ECLIPSE/NGBO if account currency is FCY</t>
        </is>
      </c>
      <c r="J208" s="13" t="inlineStr">
        <is>
          <t>1. Prepare an ineligible, unsupported, blocked, or unavailable test profile.
2. Navigate using: Account Dashboard Landing → Savings &amp; Current tab → MyPlan Plus card.
3. Attempt to open MyPlan Plus / MaybankGift (term savings with auto-debit and gift campaign).</t>
        </is>
      </c>
      <c r="K208" s="13" t="inlineStr">
        <is>
          <t>Access is prevented or the feature is hidden/disabled. A clear message is shown and no unauthorised data or action is exposed.</t>
        </is>
      </c>
      <c r="L208" s="13" t="inlineStr">
        <is>
          <t>L3 direct access; no S2U for view</t>
        </is>
      </c>
      <c r="M208" s="13" t="inlineStr">
        <is>
          <t>Account details displayed; transaction list displayed; Failed auto-debit count displayed</t>
        </is>
      </c>
      <c r="N208" s="13" t="inlineStr">
        <is>
          <t>Acct Dashboard Non-Financing!E1:E45</t>
        </is>
      </c>
      <c r="O208" s="13" t="inlineStr">
        <is>
          <t>Not Run</t>
        </is>
      </c>
      <c r="P208" s="13" t="n"/>
      <c r="Q208" s="13" t="n"/>
      <c r="R208" s="14" t="n"/>
      <c r="S208" s="19" t="inlineStr">
        <is>
          <t>Loan API Design</t>
        </is>
      </c>
      <c r="T208" s="19" t="inlineStr">
        <is>
          <t>Loan transaction history</t>
        </is>
      </c>
      <c r="U208" s="19" t="inlineStr">
        <is>
          <t>GET</t>
        </is>
      </c>
      <c r="V208" s="19" t="inlineStr">
        <is>
          <t>/v1/external/accounts/account-type/{accountType}/account-id/{accountId}/transactions</t>
        </is>
      </c>
      <c r="W208" s="19" t="inlineStr">
        <is>
          <t>info-loan</t>
        </is>
      </c>
      <c r="X208" s="19" t="inlineStr">
        <is>
          <t>ECLIPSE_Account Dashboard_Loan_DDD_API_Design_v1_Workshop.xlsx</t>
        </is>
      </c>
      <c r="Y208" s="19" t="inlineStr">
        <is>
          <t>1.2 Personal Loan Acc
1.2.4 PL Shariah Acc
1.3 Auto Loan Acc
1.3.1 Auto Loan Shariah
1.4 Mortgage Loan Acc
1.4.1 Mortgage Loan Shariah</t>
        </is>
      </c>
      <c r="Z208" s="19" t="inlineStr">
        <is>
          <t>API_Specs_Index!A4:H4</t>
        </is>
      </c>
      <c r="AA208" s="22" t="inlineStr">
        <is>
          <t>API-027</t>
        </is>
      </c>
      <c r="AB208"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08" s="19" t="inlineStr">
        <is>
          <t>High</t>
        </is>
      </c>
      <c r="AD208" s="19" t="inlineStr">
        <is>
          <t>Pending ESB Spec</t>
        </is>
      </c>
    </row>
    <row r="209" ht="372.6" customHeight="1" s="2">
      <c r="A209" s="15" t="inlineStr">
        <is>
          <t>TC-B1-0208</t>
        </is>
      </c>
      <c r="B209" s="16" t="inlineStr">
        <is>
          <t>TS-B1-174</t>
        </is>
      </c>
      <c r="C209" s="16" t="inlineStr">
        <is>
          <t>Acct Dashboard Non-Financing</t>
        </is>
      </c>
      <c r="D209" s="16" t="inlineStr">
        <is>
          <t>Dashboard — Deposits</t>
        </is>
      </c>
      <c r="E209" s="16" t="inlineStr">
        <is>
          <t>Complete required authentication for MyPlan Plus / MaybankGift (term savings with auto-debit and gift campaign)</t>
        </is>
      </c>
      <c r="F209" s="16" t="inlineStr">
        <is>
          <t>Security</t>
        </is>
      </c>
      <c r="G209" s="16" t="inlineStr">
        <is>
          <t>High</t>
        </is>
      </c>
      <c r="H209" s="16" t="inlineStr">
        <is>
          <t>Eligible user; authentication method is active. Requirement: L3 direct access; no S2U for view</t>
        </is>
      </c>
      <c r="I209" s="16" t="inlineStr">
        <is>
          <t>Account / Card / Policy Type: Active MyPlan Plus with MaybankGift; conventional or shariah; with linked parent account; Currency / FCY Criteria: IDR; FCY conversion via ECLIPSE/NGBO if account currency is FCY</t>
        </is>
      </c>
      <c r="J209" s="16" t="inlineStr">
        <is>
          <t>1. Start the protected action.
2. Complete the configured authentication with valid credentials.
3. Continue the journey.</t>
        </is>
      </c>
      <c r="K209" s="16" t="inlineStr">
        <is>
          <t>Authentication succeeds, the protected action continues once, and the user returns to the correct journey context.</t>
        </is>
      </c>
      <c r="L209" s="16" t="inlineStr">
        <is>
          <t>L3 direct access; no S2U for view</t>
        </is>
      </c>
      <c r="M209" s="16" t="inlineStr">
        <is>
          <t>Account details displayed; transaction list displayed; Failed auto-debit count displayed</t>
        </is>
      </c>
      <c r="N209" s="16" t="inlineStr">
        <is>
          <t>Acct Dashboard Non-Financing!E1:E45</t>
        </is>
      </c>
      <c r="O209" s="16" t="inlineStr">
        <is>
          <t>Not Run</t>
        </is>
      </c>
      <c r="P209" s="16" t="n"/>
      <c r="Q209" s="16" t="n"/>
      <c r="R209" s="17" t="n"/>
      <c r="S209" s="19" t="inlineStr">
        <is>
          <t>Loan API Design</t>
        </is>
      </c>
      <c r="T209" s="19" t="inlineStr">
        <is>
          <t>Loan transaction history</t>
        </is>
      </c>
      <c r="U209" s="19" t="inlineStr">
        <is>
          <t>GET</t>
        </is>
      </c>
      <c r="V209" s="19" t="inlineStr">
        <is>
          <t>/v1/external/accounts/account-type/{accountType}/account-id/{accountId}/transactions</t>
        </is>
      </c>
      <c r="W209" s="19" t="inlineStr">
        <is>
          <t>info-loan</t>
        </is>
      </c>
      <c r="X209" s="19" t="inlineStr">
        <is>
          <t>ECLIPSE_Account Dashboard_Loan_DDD_API_Design_v1_Workshop.xlsx</t>
        </is>
      </c>
      <c r="Y209" s="19" t="inlineStr">
        <is>
          <t>1.2 Personal Loan Acc
1.2.4 PL Shariah Acc
1.3 Auto Loan Acc
1.3.1 Auto Loan Shariah
1.4 Mortgage Loan Acc
1.4.1 Mortgage Loan Shariah</t>
        </is>
      </c>
      <c r="Z209" s="19" t="inlineStr">
        <is>
          <t>API_Specs_Index!A4:H4</t>
        </is>
      </c>
      <c r="AA209" s="22" t="inlineStr">
        <is>
          <t>API-027</t>
        </is>
      </c>
      <c r="AB209"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09" s="19" t="inlineStr">
        <is>
          <t>High</t>
        </is>
      </c>
      <c r="AD209" s="19" t="inlineStr">
        <is>
          <t>Pending ESB Spec</t>
        </is>
      </c>
    </row>
    <row r="210" ht="372.6" customHeight="1" s="2">
      <c r="A210" s="12" t="inlineStr">
        <is>
          <t>TC-B1-0209</t>
        </is>
      </c>
      <c r="B210" s="13" t="inlineStr">
        <is>
          <t>TS-B1-174</t>
        </is>
      </c>
      <c r="C210" s="13" t="inlineStr">
        <is>
          <t>Acct Dashboard Non-Financing</t>
        </is>
      </c>
      <c r="D210" s="13" t="inlineStr">
        <is>
          <t>Dashboard — Deposits</t>
        </is>
      </c>
      <c r="E210" s="13" t="inlineStr">
        <is>
          <t>Reject invalid, cancelled, or expired authentication for MyPlan Plus / MaybankGift (term savings with auto-debit and gift campaign)</t>
        </is>
      </c>
      <c r="F210" s="13" t="inlineStr">
        <is>
          <t>Negative / Security</t>
        </is>
      </c>
      <c r="G210" s="13" t="inlineStr">
        <is>
          <t>High</t>
        </is>
      </c>
      <c r="H210" s="13" t="inlineStr">
        <is>
          <t>Eligible user; protected action requires authentication. Requirement: L3 direct access; no S2U for view</t>
        </is>
      </c>
      <c r="I210" s="13" t="inlineStr">
        <is>
          <t>Account / Card / Policy Type: Active MyPlan Plus with MaybankGift; conventional or shariah; with linked parent account; Currency / FCY Criteria: IDR; FCY conversion via ECLIPSE/NGBO if account currency is FCY</t>
        </is>
      </c>
      <c r="J210" s="13" t="inlineStr">
        <is>
          <t>1. Start the protected action.
2. Enter invalid credentials, cancel, or allow the challenge to expire.
3. Observe the result.</t>
        </is>
      </c>
      <c r="K210" s="13" t="inlineStr">
        <is>
          <t>The action is not performed. The configured failure/lockout message is shown, sensitive data remains protected, and retry behavior follows the requirement.</t>
        </is>
      </c>
      <c r="L210" s="13" t="inlineStr">
        <is>
          <t>L3 direct access; no S2U for view</t>
        </is>
      </c>
      <c r="M210" s="13" t="inlineStr">
        <is>
          <t>Account details displayed; transaction list displayed; Failed auto-debit count displayed</t>
        </is>
      </c>
      <c r="N210" s="13" t="inlineStr">
        <is>
          <t>Acct Dashboard Non-Financing!E1:E45</t>
        </is>
      </c>
      <c r="O210" s="13" t="inlineStr">
        <is>
          <t>Not Run</t>
        </is>
      </c>
      <c r="P210" s="13" t="n"/>
      <c r="Q210" s="13" t="n"/>
      <c r="R210" s="14" t="n"/>
      <c r="S210" s="19" t="inlineStr">
        <is>
          <t>Loan API Design</t>
        </is>
      </c>
      <c r="T210" s="19" t="inlineStr">
        <is>
          <t>Loan transaction history</t>
        </is>
      </c>
      <c r="U210" s="19" t="inlineStr">
        <is>
          <t>GET</t>
        </is>
      </c>
      <c r="V210" s="19" t="inlineStr">
        <is>
          <t>/v1/external/accounts/account-type/{accountType}/account-id/{accountId}/transactions</t>
        </is>
      </c>
      <c r="W210" s="19" t="inlineStr">
        <is>
          <t>info-loan</t>
        </is>
      </c>
      <c r="X210" s="19" t="inlineStr">
        <is>
          <t>ECLIPSE_Account Dashboard_Loan_DDD_API_Design_v1_Workshop.xlsx</t>
        </is>
      </c>
      <c r="Y210" s="19" t="inlineStr">
        <is>
          <t>1.2 Personal Loan Acc
1.2.4 PL Shariah Acc
1.3 Auto Loan Acc
1.3.1 Auto Loan Shariah
1.4 Mortgage Loan Acc
1.4.1 Mortgage Loan Shariah</t>
        </is>
      </c>
      <c r="Z210" s="19" t="inlineStr">
        <is>
          <t>API_Specs_Index!A4:H4</t>
        </is>
      </c>
      <c r="AA210" s="22" t="inlineStr">
        <is>
          <t>API-027</t>
        </is>
      </c>
      <c r="AB210"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10" s="19" t="inlineStr">
        <is>
          <t>High</t>
        </is>
      </c>
      <c r="AD210" s="19" t="inlineStr">
        <is>
          <t>Pending ESB Spec</t>
        </is>
      </c>
    </row>
    <row r="211" ht="409.6" customHeight="1" s="2">
      <c r="A211" s="15" t="inlineStr">
        <is>
          <t>TC-B1-0210</t>
        </is>
      </c>
      <c r="B211" s="16" t="inlineStr">
        <is>
          <t>TS-B1-175</t>
        </is>
      </c>
      <c r="C211" s="16" t="inlineStr">
        <is>
          <t>Acct Dashboard Non-Financing</t>
        </is>
      </c>
      <c r="D211" s="16" t="inlineStr">
        <is>
          <t>Dashboard — Deposits</t>
        </is>
      </c>
      <c r="E211" s="16" t="inlineStr">
        <is>
          <t>Validate Step 1 — 1.1 Account Dashboard Landing for MyPlan Plus / MaybankGift (term savings with auto-debit and gift campaign)</t>
        </is>
      </c>
      <c r="F211" s="16" t="inlineStr">
        <is>
          <t>UI / Functional</t>
        </is>
      </c>
      <c r="G211" s="16" t="inlineStr">
        <is>
          <t>Medium</t>
        </is>
      </c>
      <c r="H211" s="16" t="inlineStr">
        <is>
          <t>Eligible user and product are available. User has reached the preceding journey step.</t>
        </is>
      </c>
      <c r="I211" s="16" t="inlineStr">
        <is>
          <t>Account / Card / Policy Type: Active MyPlan Plus with MaybankGift; conventional or shariah; with linked parent account; Currency / FCY Criteria: IDR; FCY conversion via ECLIPSE/NGBO if account currency is FCY</t>
        </is>
      </c>
      <c r="J211" s="16" t="inlineStr">
        <is>
          <t>1. Open MyPlan Plus / MaybankGift (term savings with auto-debit and gift campaign).
2. Navigate to Step 1 — 1.1 Account Dashboard Landing.
3. Perform the action or trigger described by: Step 1.
4. Observe the page, validation, navigation, and resulting state.</t>
        </is>
      </c>
      <c r="K211" s="16" t="inlineStr">
        <is>
          <t>Step 1 — 1.1 Account Dashboard Landing behaves according to the mapped requirement (Step 1); data, controls, navigation, and status are accurate and consistent.</t>
        </is>
      </c>
      <c r="L211" s="16" t="inlineStr">
        <is>
          <t>L3 direct access; no S2U for view</t>
        </is>
      </c>
      <c r="M211" s="16" t="inlineStr">
        <is>
          <t>Account details displayed; transaction list displayed; Failed auto-debit count displayed</t>
        </is>
      </c>
      <c r="N211" s="16" t="inlineStr">
        <is>
          <t>Acct Dashboard Non-Financing!A10:E10</t>
        </is>
      </c>
      <c r="O211" s="16" t="inlineStr">
        <is>
          <t>Not Run</t>
        </is>
      </c>
      <c r="P211" s="16" t="n"/>
      <c r="Q211" s="16" t="n"/>
      <c r="R211" s="17" t="n"/>
      <c r="S211" s="19" t="inlineStr">
        <is>
          <t>Loan API Design</t>
        </is>
      </c>
      <c r="T211" s="19" t="inlineStr">
        <is>
          <t>Loan transaction history</t>
        </is>
      </c>
      <c r="U211" s="19" t="inlineStr">
        <is>
          <t>GET</t>
        </is>
      </c>
      <c r="V211" s="19" t="inlineStr">
        <is>
          <t>/v1/external/accounts/account-type/{accountType}/account-id/{accountId}/transactions</t>
        </is>
      </c>
      <c r="W211" s="19" t="inlineStr">
        <is>
          <t>info-loan</t>
        </is>
      </c>
      <c r="X211" s="19" t="inlineStr">
        <is>
          <t>ECLIPSE_Account Dashboard_Loan_DDD_API_Design_v1_Workshop.xlsx</t>
        </is>
      </c>
      <c r="Y211" s="19" t="inlineStr">
        <is>
          <t>1.2 Personal Loan Acc
1.2.4 PL Shariah Acc
1.3 Auto Loan Acc
1.3.1 Auto Loan Shariah
1.4 Mortgage Loan Acc
1.4.1 Mortgage Loan Shariah</t>
        </is>
      </c>
      <c r="Z211" s="19" t="inlineStr">
        <is>
          <t>API_Specs_Index!A4:H4</t>
        </is>
      </c>
      <c r="AA211" s="22" t="inlineStr">
        <is>
          <t>API-027</t>
        </is>
      </c>
      <c r="AB211"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11" s="19" t="inlineStr">
        <is>
          <t>High</t>
        </is>
      </c>
      <c r="AD211" s="19" t="inlineStr">
        <is>
          <t>Pending ESB Spec</t>
        </is>
      </c>
    </row>
    <row r="212" ht="409.6" customHeight="1" s="2">
      <c r="A212" s="12" t="inlineStr">
        <is>
          <t>TC-B1-0211</t>
        </is>
      </c>
      <c r="B212" s="13" t="inlineStr">
        <is>
          <t>TS-B1-176</t>
        </is>
      </c>
      <c r="C212" s="13" t="inlineStr">
        <is>
          <t>Acct Dashboard Non-Financing</t>
        </is>
      </c>
      <c r="D212" s="13" t="inlineStr">
        <is>
          <t>Dashboard — Deposits</t>
        </is>
      </c>
      <c r="E212" s="13" t="inlineStr">
        <is>
          <t>Validate Step 2 — 1.2 Account Listing (Savings &amp; Current) for MyPlan Plus / MaybankGift (term savings with auto-debit and gift campaign)</t>
        </is>
      </c>
      <c r="F212" s="13" t="inlineStr">
        <is>
          <t>Functional</t>
        </is>
      </c>
      <c r="G212" s="13" t="inlineStr">
        <is>
          <t>Medium</t>
        </is>
      </c>
      <c r="H212" s="13" t="inlineStr">
        <is>
          <t>Eligible user and product are available. User has reached the preceding journey step.</t>
        </is>
      </c>
      <c r="I212" s="13" t="inlineStr">
        <is>
          <t>Account / Card / Policy Type: Active MyPlan Plus with MaybankGift; conventional or shariah; with linked parent account; Currency / FCY Criteria: IDR; FCY conversion via ECLIPSE/NGBO if account currency is FCY</t>
        </is>
      </c>
      <c r="J212" s="13" t="inlineStr">
        <is>
          <t>1. Open MyPlan Plus / MaybankGift (term savings with auto-debit and gift campaign).
2. Navigate to Step 2 — 1.2 Account Listing (Savings &amp; Current).
3. Perform the action or trigger described by: Step 2 — MyPlan Plus card visible in Savings &amp; Current listing.
4. Observe the page, validation, navigation, and resulting state.</t>
        </is>
      </c>
      <c r="K212" s="13" t="inlineStr">
        <is>
          <t>Step 2 — 1.2 Account Listing (Savings &amp; Current) behaves according to the mapped requirement (Step 2 — MyPlan Plus card visible in Savings &amp; Current listing); data, controls, navigation, and status are accurate and consistent.</t>
        </is>
      </c>
      <c r="L212" s="13" t="inlineStr">
        <is>
          <t>L3 direct access; no S2U for view</t>
        </is>
      </c>
      <c r="M212" s="13" t="inlineStr">
        <is>
          <t>Account details displayed; transaction list displayed; Failed auto-debit count displayed</t>
        </is>
      </c>
      <c r="N212" s="13" t="inlineStr">
        <is>
          <t>Acct Dashboard Non-Financing!A11:E11</t>
        </is>
      </c>
      <c r="O212" s="13" t="inlineStr">
        <is>
          <t>Not Run</t>
        </is>
      </c>
      <c r="P212" s="13" t="n"/>
      <c r="Q212" s="13" t="n"/>
      <c r="R212" s="14" t="n"/>
      <c r="S212" s="19" t="inlineStr">
        <is>
          <t>Loan API Design</t>
        </is>
      </c>
      <c r="T212" s="19" t="inlineStr">
        <is>
          <t>Loan transaction history</t>
        </is>
      </c>
      <c r="U212" s="19" t="inlineStr">
        <is>
          <t>GET</t>
        </is>
      </c>
      <c r="V212" s="19" t="inlineStr">
        <is>
          <t>/v1/external/accounts/account-type/{accountType}/account-id/{accountId}/transactions</t>
        </is>
      </c>
      <c r="W212" s="19" t="inlineStr">
        <is>
          <t>info-loan</t>
        </is>
      </c>
      <c r="X212" s="19" t="inlineStr">
        <is>
          <t>ECLIPSE_Account Dashboard_Loan_DDD_API_Design_v1_Workshop.xlsx</t>
        </is>
      </c>
      <c r="Y212" s="19" t="inlineStr">
        <is>
          <t>1.2 Personal Loan Acc
1.2.4 PL Shariah Acc
1.3 Auto Loan Acc
1.3.1 Auto Loan Shariah
1.4 Mortgage Loan Acc
1.4.1 Mortgage Loan Shariah</t>
        </is>
      </c>
      <c r="Z212" s="19" t="inlineStr">
        <is>
          <t>API_Specs_Index!A4:H4</t>
        </is>
      </c>
      <c r="AA212" s="22" t="inlineStr">
        <is>
          <t>API-027</t>
        </is>
      </c>
      <c r="AB212"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12" s="19" t="inlineStr">
        <is>
          <t>High</t>
        </is>
      </c>
      <c r="AD212" s="19" t="inlineStr">
        <is>
          <t>Pending ESB Spec</t>
        </is>
      </c>
    </row>
    <row r="213" ht="409.6" customHeight="1" s="2">
      <c r="A213" s="15" t="inlineStr">
        <is>
          <t>TC-B1-0212</t>
        </is>
      </c>
      <c r="B213" s="16" t="inlineStr">
        <is>
          <t>TS-B1-177</t>
        </is>
      </c>
      <c r="C213" s="16" t="inlineStr">
        <is>
          <t>Acct Dashboard Non-Financing</t>
        </is>
      </c>
      <c r="D213" s="16" t="inlineStr">
        <is>
          <t>Dashboard — Deposits</t>
        </is>
      </c>
      <c r="E213" s="16" t="inlineStr">
        <is>
          <t>Validate Step 13 — 1.2.4 MyPlan Plus (MaybankGift) Account Details for MyPlan Plus / MaybankGift (term savings with auto-debit and gift campaign)</t>
        </is>
      </c>
      <c r="F213" s="16" t="inlineStr">
        <is>
          <t>Negative</t>
        </is>
      </c>
      <c r="G213" s="16" t="inlineStr">
        <is>
          <t>High</t>
        </is>
      </c>
      <c r="H213" s="16" t="inlineStr">
        <is>
          <t>Eligible user and product are available. User has reached the preceding journey step.</t>
        </is>
      </c>
      <c r="I213" s="16" t="inlineStr">
        <is>
          <t>Account / Card / Policy Type: Active MyPlan Plus with MaybankGift; conventional or shariah; with linked parent account; Currency / FCY Criteria: IDR; FCY conversion via ECLIPSE/NGBO if account currency is FCY</t>
        </is>
      </c>
      <c r="J213" s="16" t="inlineStr">
        <is>
          <t>1. Open MyPlan Plus / MaybankGift (term savings with auto-debit and gift campaign).
2. Navigate to Step 13 — 1.2.4 MyPlan Plus (MaybankGift) Account Details.
3. Perform the action or trigger described by: Step 13 — Transactions / Summary / Manage tabs; Summary: term details, scheduled debits, failed auto-debit attempts (tooltip drawer), returns, MaybankGift banner (in-app webview), penalty/cancellation charge, linked parent account; &gt;3 failed debits closes account — Needs PO/BA clarification (post sign-off item).
4. Observe the page, validation, navigation, and resulting state.</t>
        </is>
      </c>
      <c r="K213" s="16" t="inlineStr">
        <is>
          <t>Step 13 — 1.2.4 MyPlan Plus (MaybankGift) Account Details behaves according to the mapped requirement (Step 13 — Transactions / Summary / Manage tabs; Summary: term details, scheduled debits, failed auto-debit attempts (tooltip drawer), returns, MaybankGift banner (in-app webview), penalty/cancellation charge, linked parent account; &gt;3 failed debits closes account — Needs PO/BA clarification (post sign-off item)); data, controls, navigation, and status are accurate and consistent.</t>
        </is>
      </c>
      <c r="L213" s="16" t="inlineStr">
        <is>
          <t>L3 direct access; no S2U for view</t>
        </is>
      </c>
      <c r="M213" s="16" t="inlineStr">
        <is>
          <t>Account details displayed; transaction list displayed; Failed auto-debit count displayed</t>
        </is>
      </c>
      <c r="N213" s="16" t="inlineStr">
        <is>
          <t>Acct Dashboard Non-Financing!A22:E22</t>
        </is>
      </c>
      <c r="O213" s="16" t="inlineStr">
        <is>
          <t>Not Run</t>
        </is>
      </c>
      <c r="P213" s="16" t="n"/>
      <c r="Q213" s="16" t="n"/>
      <c r="R213" s="17" t="n"/>
      <c r="S213" s="19" t="inlineStr">
        <is>
          <t>Loan API Design</t>
        </is>
      </c>
      <c r="T213" s="19" t="inlineStr">
        <is>
          <t>Loan transaction history</t>
        </is>
      </c>
      <c r="U213" s="19" t="inlineStr">
        <is>
          <t>GET</t>
        </is>
      </c>
      <c r="V213" s="19" t="inlineStr">
        <is>
          <t>/v1/external/accounts/account-type/{accountType}/account-id/{accountId}/transactions</t>
        </is>
      </c>
      <c r="W213" s="19" t="inlineStr">
        <is>
          <t>info-loan</t>
        </is>
      </c>
      <c r="X213" s="19" t="inlineStr">
        <is>
          <t>ECLIPSE_Account Dashboard_Loan_DDD_API_Design_v1_Workshop.xlsx</t>
        </is>
      </c>
      <c r="Y213" s="19" t="inlineStr">
        <is>
          <t>1.2 Personal Loan Acc
1.2.4 PL Shariah Acc
1.3 Auto Loan Acc
1.3.1 Auto Loan Shariah
1.4 Mortgage Loan Acc
1.4.1 Mortgage Loan Shariah</t>
        </is>
      </c>
      <c r="Z213" s="19" t="inlineStr">
        <is>
          <t>API_Specs_Index!A4:H4</t>
        </is>
      </c>
      <c r="AA213" s="22" t="inlineStr">
        <is>
          <t>API-027</t>
        </is>
      </c>
      <c r="AB213"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13" s="19" t="inlineStr">
        <is>
          <t>High</t>
        </is>
      </c>
      <c r="AD213" s="19" t="inlineStr">
        <is>
          <t>Pending ESB Spec</t>
        </is>
      </c>
    </row>
    <row r="214" ht="409.6" customHeight="1" s="2">
      <c r="A214" s="12" t="inlineStr">
        <is>
          <t>TC-B1-0213</t>
        </is>
      </c>
      <c r="B214" s="13" t="inlineStr">
        <is>
          <t>TS-B1-178</t>
        </is>
      </c>
      <c r="C214" s="13" t="inlineStr">
        <is>
          <t>Acct Dashboard Non-Financing</t>
        </is>
      </c>
      <c r="D214" s="13" t="inlineStr">
        <is>
          <t>Dashboard — Deposits</t>
        </is>
      </c>
      <c r="E214" s="13" t="inlineStr">
        <is>
          <t>Validate ViewAllTrans — Transaction History Display Rule for MyPlan Plus / MaybankGift (term savings with auto-debit and gift campaign)</t>
        </is>
      </c>
      <c r="F214" s="13" t="inlineStr">
        <is>
          <t>UI / Functional</t>
        </is>
      </c>
      <c r="G214" s="13" t="inlineStr">
        <is>
          <t>Medium</t>
        </is>
      </c>
      <c r="H214" s="13" t="inlineStr">
        <is>
          <t>Eligible user and product are available. User has reached the preceding journey step.</t>
        </is>
      </c>
      <c r="I214" s="13" t="inlineStr">
        <is>
          <t>Account / Card / Policy Type: Active MyPlan Plus with MaybankGift; conventional or shariah; with linked parent account; Currency / FCY Criteria: IDR; FCY conversion via ECLIPSE/NGBO if account currency is FCY</t>
        </is>
      </c>
      <c r="J214" s="13" t="inlineStr">
        <is>
          <t>1. Open MyPlan Plus / MaybankGift (term savings with auto-debit and gift campaign).
2. Navigate to ViewAllTrans — Transaction History Display Rule.
3. Perform the action or trigger described by: Transactions tab: latest 10; YTD + last 2 years; ViewAllTrans via sticky hyperlink.
4. Observe the page, validation, navigation, and resulting state.</t>
        </is>
      </c>
      <c r="K214" s="13" t="inlineStr">
        <is>
          <t>ViewAllTrans — Transaction History Display Rule behaves according to the mapped requirement (Transactions tab: latest 10; YTD + last 2 years; ViewAllTrans via sticky hyperlink); data, controls, navigation, and status are accurate and consistent.</t>
        </is>
      </c>
      <c r="L214" s="13" t="inlineStr">
        <is>
          <t>L3 direct access; no S2U for view</t>
        </is>
      </c>
      <c r="M214" s="13" t="inlineStr">
        <is>
          <t>Account details displayed; transaction list displayed; Failed auto-debit count displayed</t>
        </is>
      </c>
      <c r="N214" s="13" t="inlineStr">
        <is>
          <t>Acct Dashboard Non-Financing!A40:E40</t>
        </is>
      </c>
      <c r="O214" s="13" t="inlineStr">
        <is>
          <t>Not Run</t>
        </is>
      </c>
      <c r="P214" s="13" t="n"/>
      <c r="Q214" s="13" t="n"/>
      <c r="R214" s="14" t="n"/>
      <c r="S214" s="19" t="inlineStr">
        <is>
          <t>Loan API Design</t>
        </is>
      </c>
      <c r="T214" s="19" t="inlineStr">
        <is>
          <t>Loan transaction history</t>
        </is>
      </c>
      <c r="U214" s="19" t="inlineStr">
        <is>
          <t>GET</t>
        </is>
      </c>
      <c r="V214" s="19" t="inlineStr">
        <is>
          <t>/v1/external/accounts/account-type/{accountType}/account-id/{accountId}/transactions</t>
        </is>
      </c>
      <c r="W214" s="19" t="inlineStr">
        <is>
          <t>info-loan</t>
        </is>
      </c>
      <c r="X214" s="19" t="inlineStr">
        <is>
          <t>ECLIPSE_Account Dashboard_Loan_DDD_API_Design_v1_Workshop.xlsx</t>
        </is>
      </c>
      <c r="Y214" s="19" t="inlineStr">
        <is>
          <t>1.2 Personal Loan Acc
1.2.4 PL Shariah Acc
1.3 Auto Loan Acc
1.3.1 Auto Loan Shariah
1.4 Mortgage Loan Acc
1.4.1 Mortgage Loan Shariah</t>
        </is>
      </c>
      <c r="Z214" s="19" t="inlineStr">
        <is>
          <t>API_Specs_Index!A4:H4</t>
        </is>
      </c>
      <c r="AA214" s="22" t="inlineStr">
        <is>
          <t>API-027</t>
        </is>
      </c>
      <c r="AB214"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14" s="19" t="inlineStr">
        <is>
          <t>High</t>
        </is>
      </c>
      <c r="AD214" s="19" t="inlineStr">
        <is>
          <t>Pending ESB Spec</t>
        </is>
      </c>
    </row>
    <row r="215" ht="409.6" customHeight="1" s="2">
      <c r="A215" s="15" t="inlineStr">
        <is>
          <t>TC-B1-0214</t>
        </is>
      </c>
      <c r="B215" s="16" t="inlineStr">
        <is>
          <t>TS-B1-179</t>
        </is>
      </c>
      <c r="C215" s="16" t="inlineStr">
        <is>
          <t>Acct Dashboard Non-Financing</t>
        </is>
      </c>
      <c r="D215" s="16" t="inlineStr">
        <is>
          <t>Dashboard — Deposits</t>
        </is>
      </c>
      <c r="E215" s="16" t="inlineStr">
        <is>
          <t>Validate Sorting / Display Order for MyPlan Plus / MaybankGift (term savings with auto-debit and gift campaign)</t>
        </is>
      </c>
      <c r="F215" s="16" t="inlineStr">
        <is>
          <t>UI / Functional</t>
        </is>
      </c>
      <c r="G215" s="16" t="inlineStr">
        <is>
          <t>Medium</t>
        </is>
      </c>
      <c r="H215" s="16" t="inlineStr">
        <is>
          <t>Eligible user and product are available. User has reached the preceding journey step.</t>
        </is>
      </c>
      <c r="I215" s="16" t="inlineStr">
        <is>
          <t>Account / Card / Policy Type: Active MyPlan Plus with MaybankGift; conventional or shariah; with linked parent account; Currency / FCY Criteria: IDR; FCY conversion via ECLIPSE/NGBO if account currency is FCY</t>
        </is>
      </c>
      <c r="J215" s="16" t="inlineStr">
        <is>
          <t>1. Open MyPlan Plus / MaybankGift (term savings with auto-debit and gift campaign).
2. Navigate to Sorting / Display Order.
3. Perform the action or trigger described by: Sorted within Savings &amp; Current by product name then account number.
4. Observe the page, validation, navigation, and resulting state.</t>
        </is>
      </c>
      <c r="K215" s="16" t="inlineStr">
        <is>
          <t>Sorting / Display Order behaves according to the mapped requirement (Sorted within Savings &amp; Current by product name then account number); data, controls, navigation, and status are accurate and consistent.</t>
        </is>
      </c>
      <c r="L215" s="16" t="inlineStr">
        <is>
          <t>L3 direct access; no S2U for view</t>
        </is>
      </c>
      <c r="M215" s="16" t="inlineStr">
        <is>
          <t>Account details displayed; transaction list displayed; Failed auto-debit count displayed</t>
        </is>
      </c>
      <c r="N215" s="16" t="inlineStr">
        <is>
          <t>Acct Dashboard Non-Financing!A41:E41</t>
        </is>
      </c>
      <c r="O215" s="16" t="inlineStr">
        <is>
          <t>Not Run</t>
        </is>
      </c>
      <c r="P215" s="16" t="n"/>
      <c r="Q215" s="16" t="n"/>
      <c r="R215" s="17" t="n"/>
      <c r="S215" s="19" t="inlineStr">
        <is>
          <t>Loan API Design</t>
        </is>
      </c>
      <c r="T215" s="19" t="inlineStr">
        <is>
          <t>Loan transaction history</t>
        </is>
      </c>
      <c r="U215" s="19" t="inlineStr">
        <is>
          <t>GET</t>
        </is>
      </c>
      <c r="V215" s="19" t="inlineStr">
        <is>
          <t>/v1/external/accounts/account-type/{accountType}/account-id/{accountId}/transactions</t>
        </is>
      </c>
      <c r="W215" s="19" t="inlineStr">
        <is>
          <t>info-loan</t>
        </is>
      </c>
      <c r="X215" s="19" t="inlineStr">
        <is>
          <t>ECLIPSE_Account Dashboard_Loan_DDD_API_Design_v1_Workshop.xlsx</t>
        </is>
      </c>
      <c r="Y215" s="19" t="inlineStr">
        <is>
          <t>1.2 Personal Loan Acc
1.2.4 PL Shariah Acc
1.3 Auto Loan Acc
1.3.1 Auto Loan Shariah
1.4 Mortgage Loan Acc
1.4.1 Mortgage Loan Shariah</t>
        </is>
      </c>
      <c r="Z215" s="19" t="inlineStr">
        <is>
          <t>API_Specs_Index!A4:H4</t>
        </is>
      </c>
      <c r="AA215" s="22" t="inlineStr">
        <is>
          <t>API-027</t>
        </is>
      </c>
      <c r="AB215"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15" s="19" t="inlineStr">
        <is>
          <t>High</t>
        </is>
      </c>
      <c r="AD215" s="19" t="inlineStr">
        <is>
          <t>Pending ESB Spec</t>
        </is>
      </c>
    </row>
    <row r="216" ht="409.6" customHeight="1" s="2">
      <c r="A216" s="12" t="inlineStr">
        <is>
          <t>TC-B1-0215</t>
        </is>
      </c>
      <c r="B216" s="13" t="inlineStr">
        <is>
          <t>TS-B1-180</t>
        </is>
      </c>
      <c r="C216" s="13" t="inlineStr">
        <is>
          <t>Acct Dashboard Non-Financing</t>
        </is>
      </c>
      <c r="D216" s="13" t="inlineStr">
        <is>
          <t>Dashboard — Deposits</t>
        </is>
      </c>
      <c r="E216" s="13" t="inlineStr">
        <is>
          <t>Validate Joint-AND Account Restrictions for MyPlan Plus / MaybankGift (term savings with auto-debit and gift campaign)</t>
        </is>
      </c>
      <c r="F216" s="13" t="inlineStr">
        <is>
          <t>Functional</t>
        </is>
      </c>
      <c r="G216" s="13" t="inlineStr">
        <is>
          <t>Medium</t>
        </is>
      </c>
      <c r="H216" s="13" t="inlineStr">
        <is>
          <t>Eligible user and product are available. Trigger the stated condition: Not applicable (MyPlan Plus cannot be joint)</t>
        </is>
      </c>
      <c r="I216" s="13" t="inlineStr">
        <is>
          <t>Account / Card / Policy Type: Active MyPlan Plus with MaybankGift; conventional or shariah; with linked parent account; Currency / FCY Criteria: IDR; FCY conversion via ECLIPSE/NGBO if account currency is FCY</t>
        </is>
      </c>
      <c r="J216" s="13" t="inlineStr">
        <is>
          <t>1. Open MyPlan Plus / MaybankGift (term savings with auto-debit and gift campaign).
2. Navigate to Joint-AND Account Restrictions.
3. Perform the action or trigger described by: Not applicable (MyPlan Plus cannot be joint).
4. Observe the page, validation, navigation, and resulting state.</t>
        </is>
      </c>
      <c r="K216" s="13" t="inlineStr">
        <is>
          <t>Joint-AND Account Restrictions behaves according to the mapped requirement (Not applicable (MyPlan Plus cannot be joint)); data, controls, navigation, and status are accurate and consistent.</t>
        </is>
      </c>
      <c r="L216" s="13" t="inlineStr">
        <is>
          <t>L3 direct access; no S2U for view</t>
        </is>
      </c>
      <c r="M216" s="13" t="inlineStr">
        <is>
          <t>Account details displayed; transaction list displayed; Failed auto-debit count displayed</t>
        </is>
      </c>
      <c r="N216" s="13" t="inlineStr">
        <is>
          <t>Acct Dashboard Non-Financing!A42:E42</t>
        </is>
      </c>
      <c r="O216" s="13" t="inlineStr">
        <is>
          <t>Not Run</t>
        </is>
      </c>
      <c r="P216" s="13" t="n"/>
      <c r="Q216" s="13" t="n"/>
      <c r="R216" s="14" t="inlineStr">
        <is>
          <t>Conditional coverage required.</t>
        </is>
      </c>
      <c r="S216" s="19" t="inlineStr">
        <is>
          <t>Loan API Design</t>
        </is>
      </c>
      <c r="T216" s="19" t="inlineStr">
        <is>
          <t>Loan transaction history</t>
        </is>
      </c>
      <c r="U216" s="19" t="inlineStr">
        <is>
          <t>GET</t>
        </is>
      </c>
      <c r="V216" s="19" t="inlineStr">
        <is>
          <t>/v1/external/accounts/account-type/{accountType}/account-id/{accountId}/transactions</t>
        </is>
      </c>
      <c r="W216" s="19" t="inlineStr">
        <is>
          <t>info-loan</t>
        </is>
      </c>
      <c r="X216" s="19" t="inlineStr">
        <is>
          <t>ECLIPSE_Account Dashboard_Loan_DDD_API_Design_v1_Workshop.xlsx</t>
        </is>
      </c>
      <c r="Y216" s="19" t="inlineStr">
        <is>
          <t>1.2 Personal Loan Acc
1.2.4 PL Shariah Acc
1.3 Auto Loan Acc
1.3.1 Auto Loan Shariah
1.4 Mortgage Loan Acc
1.4.1 Mortgage Loan Shariah</t>
        </is>
      </c>
      <c r="Z216" s="19" t="inlineStr">
        <is>
          <t>API_Specs_Index!A4:H4</t>
        </is>
      </c>
      <c r="AA216" s="22" t="inlineStr">
        <is>
          <t>API-027</t>
        </is>
      </c>
      <c r="AB216"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16" s="19" t="inlineStr">
        <is>
          <t>High</t>
        </is>
      </c>
      <c r="AD216" s="19" t="inlineStr">
        <is>
          <t>Pending ESB Spec</t>
        </is>
      </c>
    </row>
    <row r="217" ht="409.6" customHeight="1" s="2">
      <c r="A217" s="15" t="inlineStr">
        <is>
          <t>TC-B1-0216</t>
        </is>
      </c>
      <c r="B217" s="16" t="inlineStr">
        <is>
          <t>TS-B1-181</t>
        </is>
      </c>
      <c r="C217" s="16" t="inlineStr">
        <is>
          <t>Acct Dashboard Non-Financing</t>
        </is>
      </c>
      <c r="D217" s="16" t="inlineStr">
        <is>
          <t>Dashboard — Deposits</t>
        </is>
      </c>
      <c r="E217" s="16" t="inlineStr">
        <is>
          <t>Validate Business Profile / IBO Disclaimer for MyPlan Plus / MaybankGift (term savings with auto-debit and gift campaign)</t>
        </is>
      </c>
      <c r="F217" s="16" t="inlineStr">
        <is>
          <t>Functional</t>
        </is>
      </c>
      <c r="G217" s="16" t="inlineStr">
        <is>
          <t>Medium</t>
        </is>
      </c>
      <c r="H217" s="16" t="inlineStr">
        <is>
          <t>Eligible user and product are available. Trigger the stated condition: Not applicable</t>
        </is>
      </c>
      <c r="I217" s="16" t="inlineStr">
        <is>
          <t>Account / Card / Policy Type: Active MyPlan Plus with MaybankGift; conventional or shariah; with linked parent account; Currency / FCY Criteria: IDR; FCY conversion via ECLIPSE/NGBO if account currency is FCY</t>
        </is>
      </c>
      <c r="J217" s="16" t="inlineStr">
        <is>
          <t>1. Open MyPlan Plus / MaybankGift (term savings with auto-debit and gift campaign).
2. Navigate to Business Profile / IBO Disclaimer.
3. Perform the action or trigger described by: Not applicable.
4. Observe the page, validation, navigation, and resulting state.</t>
        </is>
      </c>
      <c r="K217" s="16" t="inlineStr">
        <is>
          <t>Business Profile / IBO Disclaimer behaves according to the mapped requirement (Not applicable); data, controls, navigation, and status are accurate and consistent.</t>
        </is>
      </c>
      <c r="L217" s="16" t="inlineStr">
        <is>
          <t>L3 direct access; no S2U for view</t>
        </is>
      </c>
      <c r="M217" s="16" t="inlineStr">
        <is>
          <t>Account details displayed; transaction list displayed; Failed auto-debit count displayed</t>
        </is>
      </c>
      <c r="N217" s="16" t="inlineStr">
        <is>
          <t>Acct Dashboard Non-Financing!A43:E43</t>
        </is>
      </c>
      <c r="O217" s="16" t="inlineStr">
        <is>
          <t>Not Run</t>
        </is>
      </c>
      <c r="P217" s="16" t="n"/>
      <c r="Q217" s="16" t="n"/>
      <c r="R217" s="17" t="inlineStr">
        <is>
          <t>Conditional coverage required.</t>
        </is>
      </c>
      <c r="S217" s="19" t="inlineStr">
        <is>
          <t>Loan API Design</t>
        </is>
      </c>
      <c r="T217" s="19" t="inlineStr">
        <is>
          <t>Loan transaction history</t>
        </is>
      </c>
      <c r="U217" s="19" t="inlineStr">
        <is>
          <t>GET</t>
        </is>
      </c>
      <c r="V217" s="19" t="inlineStr">
        <is>
          <t>/v1/external/accounts/account-type/{accountType}/account-id/{accountId}/transactions</t>
        </is>
      </c>
      <c r="W217" s="19" t="inlineStr">
        <is>
          <t>info-loan</t>
        </is>
      </c>
      <c r="X217" s="19" t="inlineStr">
        <is>
          <t>ECLIPSE_Account Dashboard_Loan_DDD_API_Design_v1_Workshop.xlsx</t>
        </is>
      </c>
      <c r="Y217" s="19" t="inlineStr">
        <is>
          <t>1.2 Personal Loan Acc
1.2.4 PL Shariah Acc
1.3 Auto Loan Acc
1.3.1 Auto Loan Shariah
1.4 Mortgage Loan Acc
1.4.1 Mortgage Loan Shariah</t>
        </is>
      </c>
      <c r="Z217" s="19" t="inlineStr">
        <is>
          <t>API_Specs_Index!A4:H4</t>
        </is>
      </c>
      <c r="AA217" s="22" t="inlineStr">
        <is>
          <t>API-027</t>
        </is>
      </c>
      <c r="AB217"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17" s="19" t="inlineStr">
        <is>
          <t>High</t>
        </is>
      </c>
      <c r="AD217" s="19" t="inlineStr">
        <is>
          <t>Pending ESB Spec</t>
        </is>
      </c>
    </row>
    <row r="218" ht="409.6" customHeight="1" s="2">
      <c r="A218" s="12" t="inlineStr">
        <is>
          <t>TC-B1-0217</t>
        </is>
      </c>
      <c r="B218" s="13" t="inlineStr">
        <is>
          <t>TS-B1-182</t>
        </is>
      </c>
      <c r="C218" s="13" t="inlineStr">
        <is>
          <t>Acct Dashboard Non-Financing</t>
        </is>
      </c>
      <c r="D218" s="13" t="inlineStr">
        <is>
          <t>Dashboard — Deposits</t>
        </is>
      </c>
      <c r="E218" s="13" t="inlineStr">
        <is>
          <t>Validate External FSD References for MyPlan Plus / MaybankGift (term savings with auto-debit and gift campaign)</t>
        </is>
      </c>
      <c r="F218" s="13" t="inlineStr">
        <is>
          <t>Functional</t>
        </is>
      </c>
      <c r="G218" s="13" t="inlineStr">
        <is>
          <t>Medium</t>
        </is>
      </c>
      <c r="H218" s="13" t="inlineStr">
        <is>
          <t>Eligible user and product are available. User has reached the preceding journey step.</t>
        </is>
      </c>
      <c r="I218" s="13" t="inlineStr">
        <is>
          <t>Account / Card / Policy Type: Active MyPlan Plus with MaybankGift; conventional or shariah; with linked parent account; Currency / FCY Criteria: IDR; FCY conversion via ECLIPSE/NGBO if account currency is FCY</t>
        </is>
      </c>
      <c r="J218" s="13" t="inlineStr">
        <is>
          <t>1. Open MyPlan Plus / MaybankGift (term savings with auto-debit and gift campaign).
2. Navigate to External FSD References.
3. Perform the action or trigger described by: Add/Edit Nickname: refer to AD Common FSD.
4. Observe the page, validation, navigation, and resulting state.</t>
        </is>
      </c>
      <c r="K218" s="13" t="inlineStr">
        <is>
          <t>External FSD References behaves according to the mapped requirement (Add/Edit Nickname: refer to AD Common FSD); data, controls, navigation, and status are accurate and consistent.</t>
        </is>
      </c>
      <c r="L218" s="13" t="inlineStr">
        <is>
          <t>L3 direct access; no S2U for view</t>
        </is>
      </c>
      <c r="M218" s="13" t="inlineStr">
        <is>
          <t>Account details displayed; transaction list displayed; Failed auto-debit count displayed</t>
        </is>
      </c>
      <c r="N218" s="13" t="inlineStr">
        <is>
          <t>Acct Dashboard Non-Financing!A45:E45</t>
        </is>
      </c>
      <c r="O218" s="13" t="inlineStr">
        <is>
          <t>Not Run</t>
        </is>
      </c>
      <c r="P218" s="13" t="n"/>
      <c r="Q218" s="13" t="n"/>
      <c r="R218" s="14" t="n"/>
      <c r="S218" s="19" t="inlineStr">
        <is>
          <t>Loan API Design</t>
        </is>
      </c>
      <c r="T218" s="19" t="inlineStr">
        <is>
          <t>Loan transaction history</t>
        </is>
      </c>
      <c r="U218" s="19" t="inlineStr">
        <is>
          <t>GET</t>
        </is>
      </c>
      <c r="V218" s="19" t="inlineStr">
        <is>
          <t>/v1/external/accounts/account-type/{accountType}/account-id/{accountId}/transactions</t>
        </is>
      </c>
      <c r="W218" s="19" t="inlineStr">
        <is>
          <t>info-loan</t>
        </is>
      </c>
      <c r="X218" s="19" t="inlineStr">
        <is>
          <t>ECLIPSE_Account Dashboard_Loan_DDD_API_Design_v1_Workshop.xlsx</t>
        </is>
      </c>
      <c r="Y218" s="19" t="inlineStr">
        <is>
          <t>1.2 Personal Loan Acc
1.2.4 PL Shariah Acc
1.3 Auto Loan Acc
1.3.1 Auto Loan Shariah
1.4 Mortgage Loan Acc
1.4.1 Mortgage Loan Shariah</t>
        </is>
      </c>
      <c r="Z218" s="19" t="inlineStr">
        <is>
          <t>API_Specs_Index!A4:H4</t>
        </is>
      </c>
      <c r="AA218" s="22" t="inlineStr">
        <is>
          <t>API-027</t>
        </is>
      </c>
      <c r="AB218"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18" s="19" t="inlineStr">
        <is>
          <t>High</t>
        </is>
      </c>
      <c r="AD218" s="19" t="inlineStr">
        <is>
          <t>Pending ESB Spec</t>
        </is>
      </c>
    </row>
    <row r="219" ht="372.6" customHeight="1" s="2">
      <c r="A219" s="15" t="inlineStr">
        <is>
          <t>TC-B1-0218</t>
        </is>
      </c>
      <c r="B219" s="16" t="inlineStr">
        <is>
          <t>TS-B1-183</t>
        </is>
      </c>
      <c r="C219" s="16" t="inlineStr">
        <is>
          <t>Acct Dashboard Non-Financing</t>
        </is>
      </c>
      <c r="D219" s="16" t="inlineStr">
        <is>
          <t>Dashboard — Deposits</t>
        </is>
      </c>
      <c r="E219" s="16" t="inlineStr">
        <is>
          <t>Validate successful final state for MyPlan Plus / MaybankGift (term savings with auto-debit and gift campaign)</t>
        </is>
      </c>
      <c r="F219" s="16" t="inlineStr">
        <is>
          <t>Positive</t>
        </is>
      </c>
      <c r="G219" s="16" t="inlineStr">
        <is>
          <t>High</t>
        </is>
      </c>
      <c r="H219" s="16" t="inlineStr">
        <is>
          <t>All required inputs and services are valid. Expected statuses: Account details displayed; transaction list displayed; Failed auto-debit count displayed</t>
        </is>
      </c>
      <c r="I219" s="16" t="inlineStr">
        <is>
          <t>Account / Card / Policy Type: Active MyPlan Plus with MaybankGift; conventional or shariah; with linked parent account; Currency / FCY Criteria: IDR; FCY conversion via ECLIPSE/NGBO if account currency is FCY</t>
        </is>
      </c>
      <c r="J219" s="16" t="inlineStr">
        <is>
          <t>1. Complete the end-to-end journey with valid data.
2. Submit/confirm the final action.
3. Verify result, receipt/notification where applicable, and persisted state.</t>
        </is>
      </c>
      <c r="K219" s="16" t="inlineStr">
        <is>
          <t>A valid success status from the requirement is shown. The transaction or change is applied once, persisted, and reflected on refresh.</t>
        </is>
      </c>
      <c r="L219" s="16" t="inlineStr">
        <is>
          <t>L3 direct access; no S2U for view</t>
        </is>
      </c>
      <c r="M219" s="16" t="inlineStr">
        <is>
          <t>Account details displayed; transaction list displayed; Failed auto-debit count displayed</t>
        </is>
      </c>
      <c r="N219" s="16" t="inlineStr">
        <is>
          <t>Acct Dashboard Non-Financing!E1:E45</t>
        </is>
      </c>
      <c r="O219" s="16" t="inlineStr">
        <is>
          <t>Not Run</t>
        </is>
      </c>
      <c r="P219" s="16" t="n"/>
      <c r="Q219" s="16" t="n"/>
      <c r="R219" s="17" t="n"/>
      <c r="S219" s="19" t="inlineStr">
        <is>
          <t>Loan API Design</t>
        </is>
      </c>
      <c r="T219" s="19" t="inlineStr">
        <is>
          <t>Loan transaction history</t>
        </is>
      </c>
      <c r="U219" s="19" t="inlineStr">
        <is>
          <t>GET</t>
        </is>
      </c>
      <c r="V219" s="19" t="inlineStr">
        <is>
          <t>/v1/external/accounts/account-type/{accountType}/account-id/{accountId}/transactions</t>
        </is>
      </c>
      <c r="W219" s="19" t="inlineStr">
        <is>
          <t>info-loan</t>
        </is>
      </c>
      <c r="X219" s="19" t="inlineStr">
        <is>
          <t>ECLIPSE_Account Dashboard_Loan_DDD_API_Design_v1_Workshop.xlsx</t>
        </is>
      </c>
      <c r="Y219" s="19" t="inlineStr">
        <is>
          <t>1.2 Personal Loan Acc
1.2.4 PL Shariah Acc
1.3 Auto Loan Acc
1.3.1 Auto Loan Shariah
1.4 Mortgage Loan Acc
1.4.1 Mortgage Loan Shariah</t>
        </is>
      </c>
      <c r="Z219" s="19" t="inlineStr">
        <is>
          <t>API_Specs_Index!A4:H4</t>
        </is>
      </c>
      <c r="AA219" s="22" t="inlineStr">
        <is>
          <t>API-027</t>
        </is>
      </c>
      <c r="AB219"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19" s="19" t="inlineStr">
        <is>
          <t>High</t>
        </is>
      </c>
      <c r="AD219" s="19" t="inlineStr">
        <is>
          <t>Pending ESB Spec</t>
        </is>
      </c>
    </row>
    <row r="220" ht="400.2" customHeight="1" s="2">
      <c r="A220" s="12" t="inlineStr">
        <is>
          <t>TC-B1-0219</t>
        </is>
      </c>
      <c r="B220" s="13" t="inlineStr">
        <is>
          <t>TS-B1-183</t>
        </is>
      </c>
      <c r="C220" s="13" t="inlineStr">
        <is>
          <t>Acct Dashboard Non-Financing</t>
        </is>
      </c>
      <c r="D220" s="13" t="inlineStr">
        <is>
          <t>Dashboard — Deposits</t>
        </is>
      </c>
      <c r="E220" s="13" t="inlineStr">
        <is>
          <t>Validate service failure and retry for MyPlan Plus / MaybankGift (term savings with auto-debit and gift campaign)</t>
        </is>
      </c>
      <c r="F220" s="13" t="inlineStr">
        <is>
          <t>Negative</t>
        </is>
      </c>
      <c r="G220" s="13" t="inlineStr">
        <is>
          <t>High</t>
        </is>
      </c>
      <c r="H220" s="13" t="inlineStr">
        <is>
          <t>Journey is available; simulate a controlled downstream timeout or unsuccessful response. Expected statuses: Account details displayed; transaction list displayed; Failed auto-debit count displayed</t>
        </is>
      </c>
      <c r="I220" s="13" t="inlineStr">
        <is>
          <t>Account / Card / Policy Type: Active MyPlan Plus with MaybankGift; conventional or shariah; with linked parent account; Currency / FCY Criteria: IDR; FCY conversion via ECLIPSE/NGBO if account currency is FCY</t>
        </is>
      </c>
      <c r="J220" s="13" t="inlineStr">
        <is>
          <t>1. Progress to the final action.
2. Trigger a timeout, unavailable service, or unsuccessful response.
3. Verify the error message and retry behavior.
4. Retry after service recovery.</t>
        </is>
      </c>
      <c r="K220" s="13" t="inlineStr">
        <is>
          <t>No duplicate action occurs. The configured unsuccessful/processing state is shown, retry is safe, and final status becomes consistent after recovery.</t>
        </is>
      </c>
      <c r="L220" s="13" t="inlineStr">
        <is>
          <t>L3 direct access; no S2U for view</t>
        </is>
      </c>
      <c r="M220" s="13" t="inlineStr">
        <is>
          <t>Account details displayed; transaction list displayed; Failed auto-debit count displayed</t>
        </is>
      </c>
      <c r="N220" s="13" t="inlineStr">
        <is>
          <t>Acct Dashboard Non-Financing!E1:E45</t>
        </is>
      </c>
      <c r="O220" s="13" t="inlineStr">
        <is>
          <t>Not Run</t>
        </is>
      </c>
      <c r="P220" s="13" t="n"/>
      <c r="Q220" s="13" t="n"/>
      <c r="R220" s="14" t="n"/>
      <c r="S220" s="19" t="inlineStr">
        <is>
          <t>Loan API Design</t>
        </is>
      </c>
      <c r="T220" s="19" t="inlineStr">
        <is>
          <t>Loan transaction history</t>
        </is>
      </c>
      <c r="U220" s="19" t="inlineStr">
        <is>
          <t>GET</t>
        </is>
      </c>
      <c r="V220" s="19" t="inlineStr">
        <is>
          <t>/v1/external/accounts/account-type/{accountType}/account-id/{accountId}/transactions</t>
        </is>
      </c>
      <c r="W220" s="19" t="inlineStr">
        <is>
          <t>info-loan</t>
        </is>
      </c>
      <c r="X220" s="19" t="inlineStr">
        <is>
          <t>ECLIPSE_Account Dashboard_Loan_DDD_API_Design_v1_Workshop.xlsx</t>
        </is>
      </c>
      <c r="Y220" s="19" t="inlineStr">
        <is>
          <t>1.2 Personal Loan Acc
1.2.4 PL Shariah Acc
1.3 Auto Loan Acc
1.3.1 Auto Loan Shariah
1.4 Mortgage Loan Acc
1.4.1 Mortgage Loan Shariah</t>
        </is>
      </c>
      <c r="Z220" s="19" t="inlineStr">
        <is>
          <t>API_Specs_Index!A4:H4</t>
        </is>
      </c>
      <c r="AA220" s="22" t="inlineStr">
        <is>
          <t>API-027</t>
        </is>
      </c>
      <c r="AB220"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20" s="19" t="inlineStr">
        <is>
          <t>High</t>
        </is>
      </c>
      <c r="AD220" s="19" t="inlineStr">
        <is>
          <t>Pending ESB Spec</t>
        </is>
      </c>
    </row>
    <row r="221" ht="372.6" customHeight="1" s="2">
      <c r="A221" s="15" t="inlineStr">
        <is>
          <t>TC-B1-0220</t>
        </is>
      </c>
      <c r="B221" s="16" t="inlineStr">
        <is>
          <t>TS-B1-184</t>
        </is>
      </c>
      <c r="C221" s="16" t="inlineStr">
        <is>
          <t>Acct Dashboard Non-Financing</t>
        </is>
      </c>
      <c r="D221" s="16" t="inlineStr">
        <is>
          <t>Dashboard — Deposits</t>
        </is>
      </c>
      <c r="E221" s="16" t="inlineStr">
        <is>
          <t>Open MyPlan Term Savings (term savings with auto-debit) from valid entry point</t>
        </is>
      </c>
      <c r="F221" s="16" t="inlineStr">
        <is>
          <t>Positive</t>
        </is>
      </c>
      <c r="G221" s="16" t="inlineStr">
        <is>
          <t>Medium</t>
        </is>
      </c>
      <c r="H221" s="16" t="inlineStr">
        <is>
          <t>Eligible user: L3 post-login; individual account holder (no joint, no primary)</t>
        </is>
      </c>
      <c r="I221" s="16" t="inlineStr">
        <is>
          <t>Account / Card / Policy Type: Active MyPlan Term Savings; conventional or shariah; with linked parent account; Currency / FCY Criteria: IDR; penalty/cancellation charges in IDR</t>
        </is>
      </c>
      <c r="J221" s="16" t="inlineStr">
        <is>
          <t>1. Sign in at the required access level.
2. Navigate using: Account Dashboard Landing → Savings &amp; Current tab → MyPlan Term Savings card.
3. Select MyPlan Term Savings (term savings with auto-debit).</t>
        </is>
      </c>
      <c r="K221" s="16" t="inlineStr">
        <is>
          <t>The correct Dashboard — Deposits page opens and relevant product information is displayed without error.</t>
        </is>
      </c>
      <c r="L221" s="16" t="inlineStr">
        <is>
          <t>L3 direct access; no S2U for view</t>
        </is>
      </c>
      <c r="M221" s="16" t="inlineStr">
        <is>
          <t>Account details displayed; transaction list displayed; Failed auto-debit count displayed</t>
        </is>
      </c>
      <c r="N221" s="16" t="inlineStr">
        <is>
          <t>Acct Dashboard Non-Financing!F1:F45</t>
        </is>
      </c>
      <c r="O221" s="16" t="inlineStr">
        <is>
          <t>Not Run</t>
        </is>
      </c>
      <c r="P221" s="16" t="n"/>
      <c r="Q221" s="16" t="n"/>
      <c r="R221" s="17" t="n"/>
      <c r="S221" s="19" t="inlineStr">
        <is>
          <t>Loan API Design</t>
        </is>
      </c>
      <c r="T221" s="19" t="inlineStr">
        <is>
          <t>Loan transaction history</t>
        </is>
      </c>
      <c r="U221" s="19" t="inlineStr">
        <is>
          <t>GET</t>
        </is>
      </c>
      <c r="V221" s="19" t="inlineStr">
        <is>
          <t>/v1/external/accounts/account-type/{accountType}/account-id/{accountId}/transactions</t>
        </is>
      </c>
      <c r="W221" s="19" t="inlineStr">
        <is>
          <t>info-loan</t>
        </is>
      </c>
      <c r="X221" s="19" t="inlineStr">
        <is>
          <t>ECLIPSE_Account Dashboard_Loan_DDD_API_Design_v1_Workshop.xlsx</t>
        </is>
      </c>
      <c r="Y221" s="19" t="inlineStr">
        <is>
          <t>1.2 Personal Loan Acc
1.2.4 PL Shariah Acc
1.3 Auto Loan Acc
1.3.1 Auto Loan Shariah
1.4 Mortgage Loan Acc
1.4.1 Mortgage Loan Shariah</t>
        </is>
      </c>
      <c r="Z221" s="19" t="inlineStr">
        <is>
          <t>API_Specs_Index!A4:H4</t>
        </is>
      </c>
      <c r="AA221" s="22" t="inlineStr">
        <is>
          <t>API-027</t>
        </is>
      </c>
      <c r="AB221"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21" s="19" t="inlineStr">
        <is>
          <t>High</t>
        </is>
      </c>
      <c r="AD221" s="19" t="inlineStr">
        <is>
          <t>Pending ESB Spec</t>
        </is>
      </c>
    </row>
    <row r="222" ht="409.6" customHeight="1" s="2">
      <c r="A222" s="12" t="inlineStr">
        <is>
          <t>TC-B1-0221</t>
        </is>
      </c>
      <c r="B222" s="13" t="inlineStr">
        <is>
          <t>TS-B1-184</t>
        </is>
      </c>
      <c r="C222" s="13" t="inlineStr">
        <is>
          <t>Acct Dashboard Non-Financing</t>
        </is>
      </c>
      <c r="D222" s="13" t="inlineStr">
        <is>
          <t>Dashboard — Deposits</t>
        </is>
      </c>
      <c r="E222" s="13" t="inlineStr">
        <is>
          <t>Validate ineligible or unavailable state for MyPlan Term Savings (term savings with auto-debit)</t>
        </is>
      </c>
      <c r="F222" s="13" t="inlineStr">
        <is>
          <t>Negative</t>
        </is>
      </c>
      <c r="G222" s="13" t="inlineStr">
        <is>
          <t>High</t>
        </is>
      </c>
      <c r="H222" s="13" t="inlineStr">
        <is>
          <t>User or product does not meet one configured eligibility condition. Eligible baseline: L3 post-login; individual account holder (no joint, no primary)</t>
        </is>
      </c>
      <c r="I222" s="13" t="inlineStr">
        <is>
          <t>Account / Card / Policy Type: Active MyPlan Term Savings; conventional or shariah; with linked parent account; Currency / FCY Criteria: IDR; penalty/cancellation charges in IDR</t>
        </is>
      </c>
      <c r="J222" s="13" t="inlineStr">
        <is>
          <t>1. Prepare an ineligible, unsupported, blocked, or unavailable test profile.
2. Navigate using: Account Dashboard Landing → Savings &amp; Current tab → MyPlan Term Savings card.
3. Attempt to open MyPlan Term Savings (term savings with auto-debit).</t>
        </is>
      </c>
      <c r="K222" s="13" t="inlineStr">
        <is>
          <t>Access is prevented or the feature is hidden/disabled. A clear message is shown and no unauthorised data or action is exposed.</t>
        </is>
      </c>
      <c r="L222" s="13" t="inlineStr">
        <is>
          <t>L3 direct access; no S2U for view</t>
        </is>
      </c>
      <c r="M222" s="13" t="inlineStr">
        <is>
          <t>Account details displayed; transaction list displayed; Failed auto-debit count displayed</t>
        </is>
      </c>
      <c r="N222" s="13" t="inlineStr">
        <is>
          <t>Acct Dashboard Non-Financing!F1:F45</t>
        </is>
      </c>
      <c r="O222" s="13" t="inlineStr">
        <is>
          <t>Not Run</t>
        </is>
      </c>
      <c r="P222" s="13" t="n"/>
      <c r="Q222" s="13" t="n"/>
      <c r="R222" s="14" t="n"/>
      <c r="S222" s="19" t="inlineStr">
        <is>
          <t>Loan API Design</t>
        </is>
      </c>
      <c r="T222" s="19" t="inlineStr">
        <is>
          <t>Loan transaction history</t>
        </is>
      </c>
      <c r="U222" s="19" t="inlineStr">
        <is>
          <t>GET</t>
        </is>
      </c>
      <c r="V222" s="19" t="inlineStr">
        <is>
          <t>/v1/external/accounts/account-type/{accountType}/account-id/{accountId}/transactions</t>
        </is>
      </c>
      <c r="W222" s="19" t="inlineStr">
        <is>
          <t>info-loan</t>
        </is>
      </c>
      <c r="X222" s="19" t="inlineStr">
        <is>
          <t>ECLIPSE_Account Dashboard_Loan_DDD_API_Design_v1_Workshop.xlsx</t>
        </is>
      </c>
      <c r="Y222" s="19" t="inlineStr">
        <is>
          <t>1.2 Personal Loan Acc
1.2.4 PL Shariah Acc
1.3 Auto Loan Acc
1.3.1 Auto Loan Shariah
1.4 Mortgage Loan Acc
1.4.1 Mortgage Loan Shariah</t>
        </is>
      </c>
      <c r="Z222" s="19" t="inlineStr">
        <is>
          <t>API_Specs_Index!A4:H4</t>
        </is>
      </c>
      <c r="AA222" s="22" t="inlineStr">
        <is>
          <t>API-027</t>
        </is>
      </c>
      <c r="AB222"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22" s="19" t="inlineStr">
        <is>
          <t>High</t>
        </is>
      </c>
      <c r="AD222" s="19" t="inlineStr">
        <is>
          <t>Pending ESB Spec</t>
        </is>
      </c>
    </row>
    <row r="223" ht="317.4" customHeight="1" s="2">
      <c r="A223" s="15" t="inlineStr">
        <is>
          <t>TC-B1-0222</t>
        </is>
      </c>
      <c r="B223" s="16" t="inlineStr">
        <is>
          <t>TS-B1-185</t>
        </is>
      </c>
      <c r="C223" s="16" t="inlineStr">
        <is>
          <t>Acct Dashboard Non-Financing</t>
        </is>
      </c>
      <c r="D223" s="16" t="inlineStr">
        <is>
          <t>Dashboard — Deposits</t>
        </is>
      </c>
      <c r="E223" s="16" t="inlineStr">
        <is>
          <t>Complete required authentication for MyPlan Term Savings (term savings with auto-debit)</t>
        </is>
      </c>
      <c r="F223" s="16" t="inlineStr">
        <is>
          <t>Security</t>
        </is>
      </c>
      <c r="G223" s="16" t="inlineStr">
        <is>
          <t>High</t>
        </is>
      </c>
      <c r="H223" s="16" t="inlineStr">
        <is>
          <t>Eligible user; authentication method is active. Requirement: L3 direct access; no S2U for view</t>
        </is>
      </c>
      <c r="I223" s="16" t="inlineStr">
        <is>
          <t>Account / Card / Policy Type: Active MyPlan Term Savings; conventional or shariah; with linked parent account; Currency / FCY Criteria: IDR; penalty/cancellation charges in IDR</t>
        </is>
      </c>
      <c r="J223" s="16" t="inlineStr">
        <is>
          <t>1. Start the protected action.
2. Complete the configured authentication with valid credentials.
3. Continue the journey.</t>
        </is>
      </c>
      <c r="K223" s="16" t="inlineStr">
        <is>
          <t>Authentication succeeds, the protected action continues once, and the user returns to the correct journey context.</t>
        </is>
      </c>
      <c r="L223" s="16" t="inlineStr">
        <is>
          <t>L3 direct access; no S2U for view</t>
        </is>
      </c>
      <c r="M223" s="16" t="inlineStr">
        <is>
          <t>Account details displayed; transaction list displayed; Failed auto-debit count displayed</t>
        </is>
      </c>
      <c r="N223" s="16" t="inlineStr">
        <is>
          <t>Acct Dashboard Non-Financing!F1:F45</t>
        </is>
      </c>
      <c r="O223" s="16" t="inlineStr">
        <is>
          <t>Not Run</t>
        </is>
      </c>
      <c r="P223" s="16" t="n"/>
      <c r="Q223" s="16" t="n"/>
      <c r="R223" s="17" t="n"/>
      <c r="S223" s="19" t="inlineStr">
        <is>
          <t>Loan API Design</t>
        </is>
      </c>
      <c r="T223" s="19" t="inlineStr">
        <is>
          <t>Loan transaction history</t>
        </is>
      </c>
      <c r="U223" s="19" t="inlineStr">
        <is>
          <t>GET</t>
        </is>
      </c>
      <c r="V223" s="19" t="inlineStr">
        <is>
          <t>/v1/external/accounts/account-type/{accountType}/account-id/{accountId}/transactions</t>
        </is>
      </c>
      <c r="W223" s="19" t="inlineStr">
        <is>
          <t>info-loan</t>
        </is>
      </c>
      <c r="X223" s="19" t="inlineStr">
        <is>
          <t>ECLIPSE_Account Dashboard_Loan_DDD_API_Design_v1_Workshop.xlsx</t>
        </is>
      </c>
      <c r="Y223" s="19" t="inlineStr">
        <is>
          <t>1.2 Personal Loan Acc
1.2.4 PL Shariah Acc
1.3 Auto Loan Acc
1.3.1 Auto Loan Shariah
1.4 Mortgage Loan Acc
1.4.1 Mortgage Loan Shariah</t>
        </is>
      </c>
      <c r="Z223" s="19" t="inlineStr">
        <is>
          <t>API_Specs_Index!A4:H4</t>
        </is>
      </c>
      <c r="AA223" s="22" t="inlineStr">
        <is>
          <t>API-027</t>
        </is>
      </c>
      <c r="AB223"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23" s="19" t="inlineStr">
        <is>
          <t>High</t>
        </is>
      </c>
      <c r="AD223" s="19" t="inlineStr">
        <is>
          <t>Pending ESB Spec</t>
        </is>
      </c>
    </row>
    <row r="224" ht="317.4" customHeight="1" s="2">
      <c r="A224" s="12" t="inlineStr">
        <is>
          <t>TC-B1-0223</t>
        </is>
      </c>
      <c r="B224" s="13" t="inlineStr">
        <is>
          <t>TS-B1-185</t>
        </is>
      </c>
      <c r="C224" s="13" t="inlineStr">
        <is>
          <t>Acct Dashboard Non-Financing</t>
        </is>
      </c>
      <c r="D224" s="13" t="inlineStr">
        <is>
          <t>Dashboard — Deposits</t>
        </is>
      </c>
      <c r="E224" s="13" t="inlineStr">
        <is>
          <t>Reject invalid, cancelled, or expired authentication for MyPlan Term Savings (term savings with auto-debit)</t>
        </is>
      </c>
      <c r="F224" s="13" t="inlineStr">
        <is>
          <t>Negative / Security</t>
        </is>
      </c>
      <c r="G224" s="13" t="inlineStr">
        <is>
          <t>High</t>
        </is>
      </c>
      <c r="H224" s="13" t="inlineStr">
        <is>
          <t>Eligible user; protected action requires authentication. Requirement: L3 direct access; no S2U for view</t>
        </is>
      </c>
      <c r="I224" s="13" t="inlineStr">
        <is>
          <t>Account / Card / Policy Type: Active MyPlan Term Savings; conventional or shariah; with linked parent account; Currency / FCY Criteria: IDR; penalty/cancellation charges in IDR</t>
        </is>
      </c>
      <c r="J224" s="13" t="inlineStr">
        <is>
          <t>1. Start the protected action.
2. Enter invalid credentials, cancel, or allow the challenge to expire.
3. Observe the result.</t>
        </is>
      </c>
      <c r="K224" s="13" t="inlineStr">
        <is>
          <t>The action is not performed. The configured failure/lockout message is shown, sensitive data remains protected, and retry behavior follows the requirement.</t>
        </is>
      </c>
      <c r="L224" s="13" t="inlineStr">
        <is>
          <t>L3 direct access; no S2U for view</t>
        </is>
      </c>
      <c r="M224" s="13" t="inlineStr">
        <is>
          <t>Account details displayed; transaction list displayed; Failed auto-debit count displayed</t>
        </is>
      </c>
      <c r="N224" s="13" t="inlineStr">
        <is>
          <t>Acct Dashboard Non-Financing!F1:F45</t>
        </is>
      </c>
      <c r="O224" s="13" t="inlineStr">
        <is>
          <t>Not Run</t>
        </is>
      </c>
      <c r="P224" s="13" t="n"/>
      <c r="Q224" s="13" t="n"/>
      <c r="R224" s="14" t="n"/>
      <c r="S224" s="19" t="inlineStr">
        <is>
          <t>Loan API Design</t>
        </is>
      </c>
      <c r="T224" s="19" t="inlineStr">
        <is>
          <t>Loan transaction history</t>
        </is>
      </c>
      <c r="U224" s="19" t="inlineStr">
        <is>
          <t>GET</t>
        </is>
      </c>
      <c r="V224" s="19" t="inlineStr">
        <is>
          <t>/v1/external/accounts/account-type/{accountType}/account-id/{accountId}/transactions</t>
        </is>
      </c>
      <c r="W224" s="19" t="inlineStr">
        <is>
          <t>info-loan</t>
        </is>
      </c>
      <c r="X224" s="19" t="inlineStr">
        <is>
          <t>ECLIPSE_Account Dashboard_Loan_DDD_API_Design_v1_Workshop.xlsx</t>
        </is>
      </c>
      <c r="Y224" s="19" t="inlineStr">
        <is>
          <t>1.2 Personal Loan Acc
1.2.4 PL Shariah Acc
1.3 Auto Loan Acc
1.3.1 Auto Loan Shariah
1.4 Mortgage Loan Acc
1.4.1 Mortgage Loan Shariah</t>
        </is>
      </c>
      <c r="Z224" s="19" t="inlineStr">
        <is>
          <t>API_Specs_Index!A4:H4</t>
        </is>
      </c>
      <c r="AA224" s="22" t="inlineStr">
        <is>
          <t>API-027</t>
        </is>
      </c>
      <c r="AB224"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24" s="19" t="inlineStr">
        <is>
          <t>High</t>
        </is>
      </c>
      <c r="AD224" s="19" t="inlineStr">
        <is>
          <t>Pending ESB Spec</t>
        </is>
      </c>
    </row>
    <row r="225" ht="409.6" customHeight="1" s="2">
      <c r="A225" s="15" t="inlineStr">
        <is>
          <t>TC-B1-0224</t>
        </is>
      </c>
      <c r="B225" s="16" t="inlineStr">
        <is>
          <t>TS-B1-186</t>
        </is>
      </c>
      <c r="C225" s="16" t="inlineStr">
        <is>
          <t>Acct Dashboard Non-Financing</t>
        </is>
      </c>
      <c r="D225" s="16" t="inlineStr">
        <is>
          <t>Dashboard — Deposits</t>
        </is>
      </c>
      <c r="E225" s="16" t="inlineStr">
        <is>
          <t>Validate Step 1 — 1.1 Account Dashboard Landing for MyPlan Term Savings (term savings with auto-debit)</t>
        </is>
      </c>
      <c r="F225" s="16" t="inlineStr">
        <is>
          <t>UI / Functional</t>
        </is>
      </c>
      <c r="G225" s="16" t="inlineStr">
        <is>
          <t>Medium</t>
        </is>
      </c>
      <c r="H225" s="16" t="inlineStr">
        <is>
          <t>Eligible user and product are available. User has reached the preceding journey step.</t>
        </is>
      </c>
      <c r="I225" s="16" t="inlineStr">
        <is>
          <t>Account / Card / Policy Type: Active MyPlan Term Savings; conventional or shariah; with linked parent account; Currency / FCY Criteria: IDR; penalty/cancellation charges in IDR</t>
        </is>
      </c>
      <c r="J225" s="16" t="inlineStr">
        <is>
          <t>1. Open MyPlan Term Savings (term savings with auto-debit).
2. Navigate to Step 1 — 1.1 Account Dashboard Landing.
3. Perform the action or trigger described by: Step 1.
4. Observe the page, validation, navigation, and resulting state.</t>
        </is>
      </c>
      <c r="K225" s="16" t="inlineStr">
        <is>
          <t>Step 1 — 1.1 Account Dashboard Landing behaves according to the mapped requirement (Step 1); data, controls, navigation, and status are accurate and consistent.</t>
        </is>
      </c>
      <c r="L225" s="16" t="inlineStr">
        <is>
          <t>L3 direct access; no S2U for view</t>
        </is>
      </c>
      <c r="M225" s="16" t="inlineStr">
        <is>
          <t>Account details displayed; transaction list displayed; Failed auto-debit count displayed</t>
        </is>
      </c>
      <c r="N225" s="16" t="inlineStr">
        <is>
          <t>Acct Dashboard Non-Financing!A10:F10</t>
        </is>
      </c>
      <c r="O225" s="16" t="inlineStr">
        <is>
          <t>Not Run</t>
        </is>
      </c>
      <c r="P225" s="16" t="n"/>
      <c r="Q225" s="16" t="n"/>
      <c r="R225" s="17" t="n"/>
      <c r="S225" s="19" t="inlineStr">
        <is>
          <t>Loan API Design</t>
        </is>
      </c>
      <c r="T225" s="19" t="inlineStr">
        <is>
          <t>Loan transaction history</t>
        </is>
      </c>
      <c r="U225" s="19" t="inlineStr">
        <is>
          <t>GET</t>
        </is>
      </c>
      <c r="V225" s="19" t="inlineStr">
        <is>
          <t>/v1/external/accounts/account-type/{accountType}/account-id/{accountId}/transactions</t>
        </is>
      </c>
      <c r="W225" s="19" t="inlineStr">
        <is>
          <t>info-loan</t>
        </is>
      </c>
      <c r="X225" s="19" t="inlineStr">
        <is>
          <t>ECLIPSE_Account Dashboard_Loan_DDD_API_Design_v1_Workshop.xlsx</t>
        </is>
      </c>
      <c r="Y225" s="19" t="inlineStr">
        <is>
          <t>1.2 Personal Loan Acc
1.2.4 PL Shariah Acc
1.3 Auto Loan Acc
1.3.1 Auto Loan Shariah
1.4 Mortgage Loan Acc
1.4.1 Mortgage Loan Shariah</t>
        </is>
      </c>
      <c r="Z225" s="19" t="inlineStr">
        <is>
          <t>API_Specs_Index!A4:H4</t>
        </is>
      </c>
      <c r="AA225" s="22" t="inlineStr">
        <is>
          <t>API-027</t>
        </is>
      </c>
      <c r="AB225"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25" s="19" t="inlineStr">
        <is>
          <t>High</t>
        </is>
      </c>
      <c r="AD225" s="19" t="inlineStr">
        <is>
          <t>Pending ESB Spec</t>
        </is>
      </c>
    </row>
    <row r="226" ht="409.6" customHeight="1" s="2">
      <c r="A226" s="12" t="inlineStr">
        <is>
          <t>TC-B1-0225</t>
        </is>
      </c>
      <c r="B226" s="13" t="inlineStr">
        <is>
          <t>TS-B1-187</t>
        </is>
      </c>
      <c r="C226" s="13" t="inlineStr">
        <is>
          <t>Acct Dashboard Non-Financing</t>
        </is>
      </c>
      <c r="D226" s="13" t="inlineStr">
        <is>
          <t>Dashboard — Deposits</t>
        </is>
      </c>
      <c r="E226" s="13" t="inlineStr">
        <is>
          <t>Validate Step 2 — 1.2 Account Listing (Savings &amp; Current) for MyPlan Term Savings (term savings with auto-debit)</t>
        </is>
      </c>
      <c r="F226" s="13" t="inlineStr">
        <is>
          <t>Functional</t>
        </is>
      </c>
      <c r="G226" s="13" t="inlineStr">
        <is>
          <t>Medium</t>
        </is>
      </c>
      <c r="H226" s="13" t="inlineStr">
        <is>
          <t>Eligible user and product are available. User has reached the preceding journey step.</t>
        </is>
      </c>
      <c r="I226" s="13" t="inlineStr">
        <is>
          <t>Account / Card / Policy Type: Active MyPlan Term Savings; conventional or shariah; with linked parent account; Currency / FCY Criteria: IDR; penalty/cancellation charges in IDR</t>
        </is>
      </c>
      <c r="J226" s="13" t="inlineStr">
        <is>
          <t>1. Open MyPlan Term Savings (term savings with auto-debit).
2. Navigate to Step 2 — 1.2 Account Listing (Savings &amp; Current).
3. Perform the action or trigger described by: Step 2 — MyPlan Term Savings card visible in Savings &amp; Current listing.
4. Observe the page, validation, navigation, and resulting state.</t>
        </is>
      </c>
      <c r="K226" s="13" t="inlineStr">
        <is>
          <t>Step 2 — 1.2 Account Listing (Savings &amp; Current) behaves according to the mapped requirement (Step 2 — MyPlan Term Savings card visible in Savings &amp; Current listing); data, controls, navigation, and status are accurate and consistent.</t>
        </is>
      </c>
      <c r="L226" s="13" t="inlineStr">
        <is>
          <t>L3 direct access; no S2U for view</t>
        </is>
      </c>
      <c r="M226" s="13" t="inlineStr">
        <is>
          <t>Account details displayed; transaction list displayed; Failed auto-debit count displayed</t>
        </is>
      </c>
      <c r="N226" s="13" t="inlineStr">
        <is>
          <t>Acct Dashboard Non-Financing!A11:F11</t>
        </is>
      </c>
      <c r="O226" s="13" t="inlineStr">
        <is>
          <t>Not Run</t>
        </is>
      </c>
      <c r="P226" s="13" t="n"/>
      <c r="Q226" s="13" t="n"/>
      <c r="R226" s="14" t="n"/>
      <c r="S226" s="19" t="inlineStr">
        <is>
          <t>Loan API Design</t>
        </is>
      </c>
      <c r="T226" s="19" t="inlineStr">
        <is>
          <t>Loan transaction history</t>
        </is>
      </c>
      <c r="U226" s="19" t="inlineStr">
        <is>
          <t>GET</t>
        </is>
      </c>
      <c r="V226" s="19" t="inlineStr">
        <is>
          <t>/v1/external/accounts/account-type/{accountType}/account-id/{accountId}/transactions</t>
        </is>
      </c>
      <c r="W226" s="19" t="inlineStr">
        <is>
          <t>info-loan</t>
        </is>
      </c>
      <c r="X226" s="19" t="inlineStr">
        <is>
          <t>ECLIPSE_Account Dashboard_Loan_DDD_API_Design_v1_Workshop.xlsx</t>
        </is>
      </c>
      <c r="Y226" s="19" t="inlineStr">
        <is>
          <t>1.2 Personal Loan Acc
1.2.4 PL Shariah Acc
1.3 Auto Loan Acc
1.3.1 Auto Loan Shariah
1.4 Mortgage Loan Acc
1.4.1 Mortgage Loan Shariah</t>
        </is>
      </c>
      <c r="Z226" s="19" t="inlineStr">
        <is>
          <t>API_Specs_Index!A4:H4</t>
        </is>
      </c>
      <c r="AA226" s="22" t="inlineStr">
        <is>
          <t>API-027</t>
        </is>
      </c>
      <c r="AB226"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26" s="19" t="inlineStr">
        <is>
          <t>High</t>
        </is>
      </c>
      <c r="AD226" s="19" t="inlineStr">
        <is>
          <t>Pending ESB Spec</t>
        </is>
      </c>
    </row>
    <row r="227" ht="409.6" customHeight="1" s="2">
      <c r="A227" s="15" t="inlineStr">
        <is>
          <t>TC-B1-0226</t>
        </is>
      </c>
      <c r="B227" s="16" t="inlineStr">
        <is>
          <t>TS-B1-188</t>
        </is>
      </c>
      <c r="C227" s="16" t="inlineStr">
        <is>
          <t>Acct Dashboard Non-Financing</t>
        </is>
      </c>
      <c r="D227" s="16" t="inlineStr">
        <is>
          <t>Dashboard — Deposits</t>
        </is>
      </c>
      <c r="E227" s="16" t="inlineStr">
        <is>
          <t>Validate Step 5 — 1.2.1.2 ViewAllTrans for MyPlan Term Savings (term savings with auto-debit)</t>
        </is>
      </c>
      <c r="F227" s="16" t="inlineStr">
        <is>
          <t>Functional</t>
        </is>
      </c>
      <c r="G227" s="16" t="inlineStr">
        <is>
          <t>Medium</t>
        </is>
      </c>
      <c r="H227" s="16" t="inlineStr">
        <is>
          <t>Eligible user and product are available. User has reached the preceding journey step.</t>
        </is>
      </c>
      <c r="I227" s="16" t="inlineStr">
        <is>
          <t>Account / Card / Policy Type: Active MyPlan Term Savings; conventional or shariah; with linked parent account; Currency / FCY Criteria: IDR; penalty/cancellation charges in IDR</t>
        </is>
      </c>
      <c r="J227" s="16" t="inlineStr">
        <is>
          <t>1. Open MyPlan Term Savings (term savings with auto-debit).
2. Navigate to Step 5 — 1.2.1.2 ViewAllTrans.
3. Perform the action or trigger described by: Step 5.
4. Observe the page, validation, navigation, and resulting state.</t>
        </is>
      </c>
      <c r="K227" s="16" t="inlineStr">
        <is>
          <t>Step 5 — 1.2.1.2 ViewAllTrans behaves according to the mapped requirement (Step 5); data, controls, navigation, and status are accurate and consistent.</t>
        </is>
      </c>
      <c r="L227" s="16" t="inlineStr">
        <is>
          <t>L3 direct access; no S2U for view</t>
        </is>
      </c>
      <c r="M227" s="16" t="inlineStr">
        <is>
          <t>Account details displayed; transaction list displayed; Failed auto-debit count displayed</t>
        </is>
      </c>
      <c r="N227" s="16" t="inlineStr">
        <is>
          <t>Acct Dashboard Non-Financing!A14:F14</t>
        </is>
      </c>
      <c r="O227" s="16" t="inlineStr">
        <is>
          <t>Not Run</t>
        </is>
      </c>
      <c r="P227" s="16" t="n"/>
      <c r="Q227" s="16" t="n"/>
      <c r="R227" s="17" t="n"/>
      <c r="S227" s="19" t="inlineStr">
        <is>
          <t>Loan API Design</t>
        </is>
      </c>
      <c r="T227" s="19" t="inlineStr">
        <is>
          <t>Loan transaction history</t>
        </is>
      </c>
      <c r="U227" s="19" t="inlineStr">
        <is>
          <t>GET</t>
        </is>
      </c>
      <c r="V227" s="19" t="inlineStr">
        <is>
          <t>/v1/external/accounts/account-type/{accountType}/account-id/{accountId}/transactions</t>
        </is>
      </c>
      <c r="W227" s="19" t="inlineStr">
        <is>
          <t>info-loan</t>
        </is>
      </c>
      <c r="X227" s="19" t="inlineStr">
        <is>
          <t>ECLIPSE_Account Dashboard_Loan_DDD_API_Design_v1_Workshop.xlsx</t>
        </is>
      </c>
      <c r="Y227" s="19" t="inlineStr">
        <is>
          <t>1.2 Personal Loan Acc
1.2.4 PL Shariah Acc
1.3 Auto Loan Acc
1.3.1 Auto Loan Shariah
1.4 Mortgage Loan Acc
1.4.1 Mortgage Loan Shariah</t>
        </is>
      </c>
      <c r="Z227" s="19" t="inlineStr">
        <is>
          <t>API_Specs_Index!A4:H4</t>
        </is>
      </c>
      <c r="AA227" s="22" t="inlineStr">
        <is>
          <t>API-027</t>
        </is>
      </c>
      <c r="AB227"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27" s="19" t="inlineStr">
        <is>
          <t>High</t>
        </is>
      </c>
      <c r="AD227" s="19" t="inlineStr">
        <is>
          <t>Pending ESB Spec</t>
        </is>
      </c>
    </row>
    <row r="228" ht="409.6" customHeight="1" s="2">
      <c r="A228" s="12" t="inlineStr">
        <is>
          <t>TC-B1-0227</t>
        </is>
      </c>
      <c r="B228" s="13" t="inlineStr">
        <is>
          <t>TS-B1-189</t>
        </is>
      </c>
      <c r="C228" s="13" t="inlineStr">
        <is>
          <t>Acct Dashboard Non-Financing</t>
        </is>
      </c>
      <c r="D228" s="13" t="inlineStr">
        <is>
          <t>Dashboard — Deposits</t>
        </is>
      </c>
      <c r="E228" s="13" t="inlineStr">
        <is>
          <t>Validate Step 14 — 1.2.5 MyPlan Term Savings Account Details for MyPlan Term Savings (term savings with auto-debit)</t>
        </is>
      </c>
      <c r="F228" s="13" t="inlineStr">
        <is>
          <t>Negative</t>
        </is>
      </c>
      <c r="G228" s="13" t="inlineStr">
        <is>
          <t>High</t>
        </is>
      </c>
      <c r="H228" s="13" t="inlineStr">
        <is>
          <t>Eligible user and product are available. User has reached the preceding journey step.</t>
        </is>
      </c>
      <c r="I228" s="13" t="inlineStr">
        <is>
          <t>Account / Card / Policy Type: Active MyPlan Term Savings; conventional or shariah; with linked parent account; Currency / FCY Criteria: IDR; penalty/cancellation charges in IDR</t>
        </is>
      </c>
      <c r="J228" s="13" t="inlineStr">
        <is>
          <t>1. Open MyPlan Term Savings (term savings with auto-debit).
2. Navigate to Step 14 — 1.2.5 MyPlan Term Savings Account Details.
3. Perform the action or trigger described by: Step 14 — Transactions / Summary / Manage tabs; Summary: term details, scheduled debits, failed auto-debit attempts (tooltip drawer), returns, penalty/cancellation charge, linked parent account; &gt;3 failed debits closes account — Needs PO/BA clarification (post sign-off item).
4. Observe the page, validation, navigation, and resulting state.</t>
        </is>
      </c>
      <c r="K228" s="13" t="inlineStr">
        <is>
          <t>Step 14 — 1.2.5 MyPlan Term Savings Account Details behaves according to the mapped requirement (Step 14 — Transactions / Summary / Manage tabs; Summary: term details, scheduled debits, failed auto-debit attempts (tooltip drawer), returns, penalty/cancellation charge, linked parent account; &gt;3 failed debits closes account — Needs PO/BA clarification (post sign-off item)); data, controls, navigation, and status are accurate and consistent.</t>
        </is>
      </c>
      <c r="L228" s="13" t="inlineStr">
        <is>
          <t>L3 direct access; no S2U for view</t>
        </is>
      </c>
      <c r="M228" s="13" t="inlineStr">
        <is>
          <t>Account details displayed; transaction list displayed; Failed auto-debit count displayed</t>
        </is>
      </c>
      <c r="N228" s="13" t="inlineStr">
        <is>
          <t>Acct Dashboard Non-Financing!A23:F23</t>
        </is>
      </c>
      <c r="O228" s="13" t="inlineStr">
        <is>
          <t>Not Run</t>
        </is>
      </c>
      <c r="P228" s="13" t="n"/>
      <c r="Q228" s="13" t="n"/>
      <c r="R228" s="14" t="n"/>
      <c r="S228" s="19" t="inlineStr">
        <is>
          <t>Loan API Design</t>
        </is>
      </c>
      <c r="T228" s="19" t="inlineStr">
        <is>
          <t>Loan transaction history</t>
        </is>
      </c>
      <c r="U228" s="19" t="inlineStr">
        <is>
          <t>GET</t>
        </is>
      </c>
      <c r="V228" s="19" t="inlineStr">
        <is>
          <t>/v1/external/accounts/account-type/{accountType}/account-id/{accountId}/transactions</t>
        </is>
      </c>
      <c r="W228" s="19" t="inlineStr">
        <is>
          <t>info-loan</t>
        </is>
      </c>
      <c r="X228" s="19" t="inlineStr">
        <is>
          <t>ECLIPSE_Account Dashboard_Loan_DDD_API_Design_v1_Workshop.xlsx</t>
        </is>
      </c>
      <c r="Y228" s="19" t="inlineStr">
        <is>
          <t>1.2 Personal Loan Acc
1.2.4 PL Shariah Acc
1.3 Auto Loan Acc
1.3.1 Auto Loan Shariah
1.4 Mortgage Loan Acc
1.4.1 Mortgage Loan Shariah</t>
        </is>
      </c>
      <c r="Z228" s="19" t="inlineStr">
        <is>
          <t>API_Specs_Index!A4:H4</t>
        </is>
      </c>
      <c r="AA228" s="22" t="inlineStr">
        <is>
          <t>API-027</t>
        </is>
      </c>
      <c r="AB228"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28" s="19" t="inlineStr">
        <is>
          <t>High</t>
        </is>
      </c>
      <c r="AD228" s="19" t="inlineStr">
        <is>
          <t>Pending ESB Spec</t>
        </is>
      </c>
    </row>
    <row r="229" ht="409.6" customHeight="1" s="2">
      <c r="A229" s="15" t="inlineStr">
        <is>
          <t>TC-B1-0228</t>
        </is>
      </c>
      <c r="B229" s="16" t="inlineStr">
        <is>
          <t>TS-B1-190</t>
        </is>
      </c>
      <c r="C229" s="16" t="inlineStr">
        <is>
          <t>Acct Dashboard Non-Financing</t>
        </is>
      </c>
      <c r="D229" s="16" t="inlineStr">
        <is>
          <t>Dashboard — Deposits</t>
        </is>
      </c>
      <c r="E229" s="16" t="inlineStr">
        <is>
          <t>Validate ViewAllTrans — Transaction History Display Rule for MyPlan Term Savings (term savings with auto-debit)</t>
        </is>
      </c>
      <c r="F229" s="16" t="inlineStr">
        <is>
          <t>UI / Functional</t>
        </is>
      </c>
      <c r="G229" s="16" t="inlineStr">
        <is>
          <t>Medium</t>
        </is>
      </c>
      <c r="H229" s="16" t="inlineStr">
        <is>
          <t>Eligible user and product are available. User has reached the preceding journey step.</t>
        </is>
      </c>
      <c r="I229" s="16" t="inlineStr">
        <is>
          <t>Account / Card / Policy Type: Active MyPlan Term Savings; conventional or shariah; with linked parent account; Currency / FCY Criteria: IDR; penalty/cancellation charges in IDR</t>
        </is>
      </c>
      <c r="J229" s="16" t="inlineStr">
        <is>
          <t>1. Open MyPlan Term Savings (term savings with auto-debit).
2. Navigate to ViewAllTrans — Transaction History Display Rule.
3. Perform the action or trigger described by: Transactions tab: latest 10; YTD + last 2 years; ViewAllTrans via sticky hyperlink.
4. Observe the page, validation, navigation, and resulting state.</t>
        </is>
      </c>
      <c r="K229" s="16" t="inlineStr">
        <is>
          <t>ViewAllTrans — Transaction History Display Rule behaves according to the mapped requirement (Transactions tab: latest 10; YTD + last 2 years; ViewAllTrans via sticky hyperlink); data, controls, navigation, and status are accurate and consistent.</t>
        </is>
      </c>
      <c r="L229" s="16" t="inlineStr">
        <is>
          <t>L3 direct access; no S2U for view</t>
        </is>
      </c>
      <c r="M229" s="16" t="inlineStr">
        <is>
          <t>Account details displayed; transaction list displayed; Failed auto-debit count displayed</t>
        </is>
      </c>
      <c r="N229" s="16" t="inlineStr">
        <is>
          <t>Acct Dashboard Non-Financing!A40:F40</t>
        </is>
      </c>
      <c r="O229" s="16" t="inlineStr">
        <is>
          <t>Not Run</t>
        </is>
      </c>
      <c r="P229" s="16" t="n"/>
      <c r="Q229" s="16" t="n"/>
      <c r="R229" s="17" t="n"/>
      <c r="S229" s="19" t="inlineStr">
        <is>
          <t>Loan API Design</t>
        </is>
      </c>
      <c r="T229" s="19" t="inlineStr">
        <is>
          <t>Loan transaction history</t>
        </is>
      </c>
      <c r="U229" s="19" t="inlineStr">
        <is>
          <t>GET</t>
        </is>
      </c>
      <c r="V229" s="19" t="inlineStr">
        <is>
          <t>/v1/external/accounts/account-type/{accountType}/account-id/{accountId}/transactions</t>
        </is>
      </c>
      <c r="W229" s="19" t="inlineStr">
        <is>
          <t>info-loan</t>
        </is>
      </c>
      <c r="X229" s="19" t="inlineStr">
        <is>
          <t>ECLIPSE_Account Dashboard_Loan_DDD_API_Design_v1_Workshop.xlsx</t>
        </is>
      </c>
      <c r="Y229" s="19" t="inlineStr">
        <is>
          <t>1.2 Personal Loan Acc
1.2.4 PL Shariah Acc
1.3 Auto Loan Acc
1.3.1 Auto Loan Shariah
1.4 Mortgage Loan Acc
1.4.1 Mortgage Loan Shariah</t>
        </is>
      </c>
      <c r="Z229" s="19" t="inlineStr">
        <is>
          <t>API_Specs_Index!A4:H4</t>
        </is>
      </c>
      <c r="AA229" s="22" t="inlineStr">
        <is>
          <t>API-027</t>
        </is>
      </c>
      <c r="AB229"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29" s="19" t="inlineStr">
        <is>
          <t>High</t>
        </is>
      </c>
      <c r="AD229" s="19" t="inlineStr">
        <is>
          <t>Pending ESB Spec</t>
        </is>
      </c>
    </row>
    <row r="230" ht="409.6" customHeight="1" s="2">
      <c r="A230" s="12" t="inlineStr">
        <is>
          <t>TC-B1-0229</t>
        </is>
      </c>
      <c r="B230" s="13" t="inlineStr">
        <is>
          <t>TS-B1-191</t>
        </is>
      </c>
      <c r="C230" s="13" t="inlineStr">
        <is>
          <t>Acct Dashboard Non-Financing</t>
        </is>
      </c>
      <c r="D230" s="13" t="inlineStr">
        <is>
          <t>Dashboard — Deposits</t>
        </is>
      </c>
      <c r="E230" s="13" t="inlineStr">
        <is>
          <t>Validate Sorting / Display Order for MyPlan Term Savings (term savings with auto-debit)</t>
        </is>
      </c>
      <c r="F230" s="13" t="inlineStr">
        <is>
          <t>UI / Functional</t>
        </is>
      </c>
      <c r="G230" s="13" t="inlineStr">
        <is>
          <t>Medium</t>
        </is>
      </c>
      <c r="H230" s="13" t="inlineStr">
        <is>
          <t>Eligible user and product are available. User has reached the preceding journey step.</t>
        </is>
      </c>
      <c r="I230" s="13" t="inlineStr">
        <is>
          <t>Account / Card / Policy Type: Active MyPlan Term Savings; conventional or shariah; with linked parent account; Currency / FCY Criteria: IDR; penalty/cancellation charges in IDR</t>
        </is>
      </c>
      <c r="J230" s="13" t="inlineStr">
        <is>
          <t>1. Open MyPlan Term Savings (term savings with auto-debit).
2. Navigate to Sorting / Display Order.
3. Perform the action or trigger described by: Sorted within Savings &amp; Current by product name then account number.
4. Observe the page, validation, navigation, and resulting state.</t>
        </is>
      </c>
      <c r="K230" s="13" t="inlineStr">
        <is>
          <t>Sorting / Display Order behaves according to the mapped requirement (Sorted within Savings &amp; Current by product name then account number); data, controls, navigation, and status are accurate and consistent.</t>
        </is>
      </c>
      <c r="L230" s="13" t="inlineStr">
        <is>
          <t>L3 direct access; no S2U for view</t>
        </is>
      </c>
      <c r="M230" s="13" t="inlineStr">
        <is>
          <t>Account details displayed; transaction list displayed; Failed auto-debit count displayed</t>
        </is>
      </c>
      <c r="N230" s="13" t="inlineStr">
        <is>
          <t>Acct Dashboard Non-Financing!A41:F41</t>
        </is>
      </c>
      <c r="O230" s="13" t="inlineStr">
        <is>
          <t>Not Run</t>
        </is>
      </c>
      <c r="P230" s="13" t="n"/>
      <c r="Q230" s="13" t="n"/>
      <c r="R230" s="14" t="n"/>
      <c r="S230" s="19" t="inlineStr">
        <is>
          <t>Loan API Design</t>
        </is>
      </c>
      <c r="T230" s="19" t="inlineStr">
        <is>
          <t>Loan transaction history</t>
        </is>
      </c>
      <c r="U230" s="19" t="inlineStr">
        <is>
          <t>GET</t>
        </is>
      </c>
      <c r="V230" s="19" t="inlineStr">
        <is>
          <t>/v1/external/accounts/account-type/{accountType}/account-id/{accountId}/transactions</t>
        </is>
      </c>
      <c r="W230" s="19" t="inlineStr">
        <is>
          <t>info-loan</t>
        </is>
      </c>
      <c r="X230" s="19" t="inlineStr">
        <is>
          <t>ECLIPSE_Account Dashboard_Loan_DDD_API_Design_v1_Workshop.xlsx</t>
        </is>
      </c>
      <c r="Y230" s="19" t="inlineStr">
        <is>
          <t>1.2 Personal Loan Acc
1.2.4 PL Shariah Acc
1.3 Auto Loan Acc
1.3.1 Auto Loan Shariah
1.4 Mortgage Loan Acc
1.4.1 Mortgage Loan Shariah</t>
        </is>
      </c>
      <c r="Z230" s="19" t="inlineStr">
        <is>
          <t>API_Specs_Index!A4:H4</t>
        </is>
      </c>
      <c r="AA230" s="22" t="inlineStr">
        <is>
          <t>API-027</t>
        </is>
      </c>
      <c r="AB230"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30" s="19" t="inlineStr">
        <is>
          <t>High</t>
        </is>
      </c>
      <c r="AD230" s="19" t="inlineStr">
        <is>
          <t>Pending ESB Spec</t>
        </is>
      </c>
    </row>
    <row r="231" ht="409.6" customHeight="1" s="2">
      <c r="A231" s="15" t="inlineStr">
        <is>
          <t>TC-B1-0230</t>
        </is>
      </c>
      <c r="B231" s="16" t="inlineStr">
        <is>
          <t>TS-B1-192</t>
        </is>
      </c>
      <c r="C231" s="16" t="inlineStr">
        <is>
          <t>Acct Dashboard Non-Financing</t>
        </is>
      </c>
      <c r="D231" s="16" t="inlineStr">
        <is>
          <t>Dashboard — Deposits</t>
        </is>
      </c>
      <c r="E231" s="16" t="inlineStr">
        <is>
          <t>Validate Joint-AND Account Restrictions for MyPlan Term Savings (term savings with auto-debit)</t>
        </is>
      </c>
      <c r="F231" s="16" t="inlineStr">
        <is>
          <t>Functional</t>
        </is>
      </c>
      <c r="G231" s="16" t="inlineStr">
        <is>
          <t>Medium</t>
        </is>
      </c>
      <c r="H231" s="16" t="inlineStr">
        <is>
          <t>Eligible user and product are available. Trigger the stated condition: Not applicable (MyPlan Term Savings cannot be joint)</t>
        </is>
      </c>
      <c r="I231" s="16" t="inlineStr">
        <is>
          <t>Account / Card / Policy Type: Active MyPlan Term Savings; conventional or shariah; with linked parent account; Currency / FCY Criteria: IDR; penalty/cancellation charges in IDR</t>
        </is>
      </c>
      <c r="J231" s="16" t="inlineStr">
        <is>
          <t>1. Open MyPlan Term Savings (term savings with auto-debit).
2. Navigate to Joint-AND Account Restrictions.
3. Perform the action or trigger described by: Not applicable (MyPlan Term Savings cannot be joint).
4. Observe the page, validation, navigation, and resulting state.</t>
        </is>
      </c>
      <c r="K231" s="16" t="inlineStr">
        <is>
          <t>Joint-AND Account Restrictions behaves according to the mapped requirement (Not applicable (MyPlan Term Savings cannot be joint)); data, controls, navigation, and status are accurate and consistent.</t>
        </is>
      </c>
      <c r="L231" s="16" t="inlineStr">
        <is>
          <t>L3 direct access; no S2U for view</t>
        </is>
      </c>
      <c r="M231" s="16" t="inlineStr">
        <is>
          <t>Account details displayed; transaction list displayed; Failed auto-debit count displayed</t>
        </is>
      </c>
      <c r="N231" s="16" t="inlineStr">
        <is>
          <t>Acct Dashboard Non-Financing!A42:F42</t>
        </is>
      </c>
      <c r="O231" s="16" t="inlineStr">
        <is>
          <t>Not Run</t>
        </is>
      </c>
      <c r="P231" s="16" t="n"/>
      <c r="Q231" s="16" t="n"/>
      <c r="R231" s="17" t="inlineStr">
        <is>
          <t>Conditional coverage required.</t>
        </is>
      </c>
      <c r="S231" s="19" t="inlineStr">
        <is>
          <t>Loan API Design</t>
        </is>
      </c>
      <c r="T231" s="19" t="inlineStr">
        <is>
          <t>Loan transaction history</t>
        </is>
      </c>
      <c r="U231" s="19" t="inlineStr">
        <is>
          <t>GET</t>
        </is>
      </c>
      <c r="V231" s="19" t="inlineStr">
        <is>
          <t>/v1/external/accounts/account-type/{accountType}/account-id/{accountId}/transactions</t>
        </is>
      </c>
      <c r="W231" s="19" t="inlineStr">
        <is>
          <t>info-loan</t>
        </is>
      </c>
      <c r="X231" s="19" t="inlineStr">
        <is>
          <t>ECLIPSE_Account Dashboard_Loan_DDD_API_Design_v1_Workshop.xlsx</t>
        </is>
      </c>
      <c r="Y231" s="19" t="inlineStr">
        <is>
          <t>1.2 Personal Loan Acc
1.2.4 PL Shariah Acc
1.3 Auto Loan Acc
1.3.1 Auto Loan Shariah
1.4 Mortgage Loan Acc
1.4.1 Mortgage Loan Shariah</t>
        </is>
      </c>
      <c r="Z231" s="19" t="inlineStr">
        <is>
          <t>API_Specs_Index!A4:H4</t>
        </is>
      </c>
      <c r="AA231" s="22" t="inlineStr">
        <is>
          <t>API-027</t>
        </is>
      </c>
      <c r="AB231"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31" s="19" t="inlineStr">
        <is>
          <t>High</t>
        </is>
      </c>
      <c r="AD231" s="19" t="inlineStr">
        <is>
          <t>Pending ESB Spec</t>
        </is>
      </c>
    </row>
    <row r="232" ht="409.6" customHeight="1" s="2">
      <c r="A232" s="12" t="inlineStr">
        <is>
          <t>TC-B1-0231</t>
        </is>
      </c>
      <c r="B232" s="13" t="inlineStr">
        <is>
          <t>TS-B1-193</t>
        </is>
      </c>
      <c r="C232" s="13" t="inlineStr">
        <is>
          <t>Acct Dashboard Non-Financing</t>
        </is>
      </c>
      <c r="D232" s="13" t="inlineStr">
        <is>
          <t>Dashboard — Deposits</t>
        </is>
      </c>
      <c r="E232" s="13" t="inlineStr">
        <is>
          <t>Validate Business Profile / IBO Disclaimer for MyPlan Term Savings (term savings with auto-debit)</t>
        </is>
      </c>
      <c r="F232" s="13" t="inlineStr">
        <is>
          <t>Functional</t>
        </is>
      </c>
      <c r="G232" s="13" t="inlineStr">
        <is>
          <t>Medium</t>
        </is>
      </c>
      <c r="H232" s="13" t="inlineStr">
        <is>
          <t>Eligible user and product are available. Trigger the stated condition: Not applicable</t>
        </is>
      </c>
      <c r="I232" s="13" t="inlineStr">
        <is>
          <t>Account / Card / Policy Type: Active MyPlan Term Savings; conventional or shariah; with linked parent account; Currency / FCY Criteria: IDR; penalty/cancellation charges in IDR</t>
        </is>
      </c>
      <c r="J232" s="13" t="inlineStr">
        <is>
          <t>1. Open MyPlan Term Savings (term savings with auto-debit).
2. Navigate to Business Profile / IBO Disclaimer.
3. Perform the action or trigger described by: Not applicable.
4. Observe the page, validation, navigation, and resulting state.</t>
        </is>
      </c>
      <c r="K232" s="13" t="inlineStr">
        <is>
          <t>Business Profile / IBO Disclaimer behaves according to the mapped requirement (Not applicable); data, controls, navigation, and status are accurate and consistent.</t>
        </is>
      </c>
      <c r="L232" s="13" t="inlineStr">
        <is>
          <t>L3 direct access; no S2U for view</t>
        </is>
      </c>
      <c r="M232" s="13" t="inlineStr">
        <is>
          <t>Account details displayed; transaction list displayed; Failed auto-debit count displayed</t>
        </is>
      </c>
      <c r="N232" s="13" t="inlineStr">
        <is>
          <t>Acct Dashboard Non-Financing!A43:F43</t>
        </is>
      </c>
      <c r="O232" s="13" t="inlineStr">
        <is>
          <t>Not Run</t>
        </is>
      </c>
      <c r="P232" s="13" t="n"/>
      <c r="Q232" s="13" t="n"/>
      <c r="R232" s="14" t="inlineStr">
        <is>
          <t>Conditional coverage required.</t>
        </is>
      </c>
      <c r="S232" s="19" t="inlineStr">
        <is>
          <t>Loan API Design</t>
        </is>
      </c>
      <c r="T232" s="19" t="inlineStr">
        <is>
          <t>Loan transaction history</t>
        </is>
      </c>
      <c r="U232" s="19" t="inlineStr">
        <is>
          <t>GET</t>
        </is>
      </c>
      <c r="V232" s="19" t="inlineStr">
        <is>
          <t>/v1/external/accounts/account-type/{accountType}/account-id/{accountId}/transactions</t>
        </is>
      </c>
      <c r="W232" s="19" t="inlineStr">
        <is>
          <t>info-loan</t>
        </is>
      </c>
      <c r="X232" s="19" t="inlineStr">
        <is>
          <t>ECLIPSE_Account Dashboard_Loan_DDD_API_Design_v1_Workshop.xlsx</t>
        </is>
      </c>
      <c r="Y232" s="19" t="inlineStr">
        <is>
          <t>1.2 Personal Loan Acc
1.2.4 PL Shariah Acc
1.3 Auto Loan Acc
1.3.1 Auto Loan Shariah
1.4 Mortgage Loan Acc
1.4.1 Mortgage Loan Shariah</t>
        </is>
      </c>
      <c r="Z232" s="19" t="inlineStr">
        <is>
          <t>API_Specs_Index!A4:H4</t>
        </is>
      </c>
      <c r="AA232" s="22" t="inlineStr">
        <is>
          <t>API-027</t>
        </is>
      </c>
      <c r="AB232"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32" s="19" t="inlineStr">
        <is>
          <t>High</t>
        </is>
      </c>
      <c r="AD232" s="19" t="inlineStr">
        <is>
          <t>Pending ESB Spec</t>
        </is>
      </c>
    </row>
    <row r="233" ht="409.6" customHeight="1" s="2">
      <c r="A233" s="15" t="inlineStr">
        <is>
          <t>TC-B1-0232</t>
        </is>
      </c>
      <c r="B233" s="16" t="inlineStr">
        <is>
          <t>TS-B1-194</t>
        </is>
      </c>
      <c r="C233" s="16" t="inlineStr">
        <is>
          <t>Acct Dashboard Non-Financing</t>
        </is>
      </c>
      <c r="D233" s="16" t="inlineStr">
        <is>
          <t>Dashboard — Deposits</t>
        </is>
      </c>
      <c r="E233" s="16" t="inlineStr">
        <is>
          <t>Validate External FSD References for MyPlan Term Savings (term savings with auto-debit)</t>
        </is>
      </c>
      <c r="F233" s="16" t="inlineStr">
        <is>
          <t>Functional</t>
        </is>
      </c>
      <c r="G233" s="16" t="inlineStr">
        <is>
          <t>Medium</t>
        </is>
      </c>
      <c r="H233" s="16" t="inlineStr">
        <is>
          <t>Eligible user and product are available. User has reached the preceding journey step.</t>
        </is>
      </c>
      <c r="I233" s="16" t="inlineStr">
        <is>
          <t>Account / Card / Policy Type: Active MyPlan Term Savings; conventional or shariah; with linked parent account; Currency / FCY Criteria: IDR; penalty/cancellation charges in IDR</t>
        </is>
      </c>
      <c r="J233" s="16" t="inlineStr">
        <is>
          <t>1. Open MyPlan Term Savings (term savings with auto-debit).
2. Navigate to External FSD References.
3. Perform the action or trigger described by: Add/Edit Nickname: refer to AD Common FSD.
4. Observe the page, validation, navigation, and resulting state.</t>
        </is>
      </c>
      <c r="K233" s="16" t="inlineStr">
        <is>
          <t>External FSD References behaves according to the mapped requirement (Add/Edit Nickname: refer to AD Common FSD); data, controls, navigation, and status are accurate and consistent.</t>
        </is>
      </c>
      <c r="L233" s="16" t="inlineStr">
        <is>
          <t>L3 direct access; no S2U for view</t>
        </is>
      </c>
      <c r="M233" s="16" t="inlineStr">
        <is>
          <t>Account details displayed; transaction list displayed; Failed auto-debit count displayed</t>
        </is>
      </c>
      <c r="N233" s="16" t="inlineStr">
        <is>
          <t>Acct Dashboard Non-Financing!A45:F45</t>
        </is>
      </c>
      <c r="O233" s="16" t="inlineStr">
        <is>
          <t>Not Run</t>
        </is>
      </c>
      <c r="P233" s="16" t="n"/>
      <c r="Q233" s="16" t="n"/>
      <c r="R233" s="17" t="n"/>
      <c r="S233" s="19" t="inlineStr">
        <is>
          <t>Loan API Design</t>
        </is>
      </c>
      <c r="T233" s="19" t="inlineStr">
        <is>
          <t>Loan transaction history</t>
        </is>
      </c>
      <c r="U233" s="19" t="inlineStr">
        <is>
          <t>GET</t>
        </is>
      </c>
      <c r="V233" s="19" t="inlineStr">
        <is>
          <t>/v1/external/accounts/account-type/{accountType}/account-id/{accountId}/transactions</t>
        </is>
      </c>
      <c r="W233" s="19" t="inlineStr">
        <is>
          <t>info-loan</t>
        </is>
      </c>
      <c r="X233" s="19" t="inlineStr">
        <is>
          <t>ECLIPSE_Account Dashboard_Loan_DDD_API_Design_v1_Workshop.xlsx</t>
        </is>
      </c>
      <c r="Y233" s="19" t="inlineStr">
        <is>
          <t>1.2 Personal Loan Acc
1.2.4 PL Shariah Acc
1.3 Auto Loan Acc
1.3.1 Auto Loan Shariah
1.4 Mortgage Loan Acc
1.4.1 Mortgage Loan Shariah</t>
        </is>
      </c>
      <c r="Z233" s="19" t="inlineStr">
        <is>
          <t>API_Specs_Index!A4:H4</t>
        </is>
      </c>
      <c r="AA233" s="22" t="inlineStr">
        <is>
          <t>API-027</t>
        </is>
      </c>
      <c r="AB233"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33" s="19" t="inlineStr">
        <is>
          <t>High</t>
        </is>
      </c>
      <c r="AD233" s="19" t="inlineStr">
        <is>
          <t>Pending ESB Spec</t>
        </is>
      </c>
    </row>
    <row r="234" ht="317.4" customHeight="1" s="2">
      <c r="A234" s="12" t="inlineStr">
        <is>
          <t>TC-B1-0233</t>
        </is>
      </c>
      <c r="B234" s="13" t="inlineStr">
        <is>
          <t>TS-B1-195</t>
        </is>
      </c>
      <c r="C234" s="13" t="inlineStr">
        <is>
          <t>Acct Dashboard Non-Financing</t>
        </is>
      </c>
      <c r="D234" s="13" t="inlineStr">
        <is>
          <t>Dashboard — Deposits</t>
        </is>
      </c>
      <c r="E234" s="13" t="inlineStr">
        <is>
          <t>Validate successful final state for MyPlan Term Savings (term savings with auto-debit)</t>
        </is>
      </c>
      <c r="F234" s="13" t="inlineStr">
        <is>
          <t>Positive</t>
        </is>
      </c>
      <c r="G234" s="13" t="inlineStr">
        <is>
          <t>High</t>
        </is>
      </c>
      <c r="H234" s="13" t="inlineStr">
        <is>
          <t>All required inputs and services are valid. Expected statuses: Account details displayed; transaction list displayed; Failed auto-debit count displayed</t>
        </is>
      </c>
      <c r="I234" s="13" t="inlineStr">
        <is>
          <t>Account / Card / Policy Type: Active MyPlan Term Savings; conventional or shariah; with linked parent account; Currency / FCY Criteria: IDR; penalty/cancellation charges in IDR</t>
        </is>
      </c>
      <c r="J234" s="13" t="inlineStr">
        <is>
          <t>1. Complete the end-to-end journey with valid data.
2. Submit/confirm the final action.
3. Verify result, receipt/notification where applicable, and persisted state.</t>
        </is>
      </c>
      <c r="K234" s="13" t="inlineStr">
        <is>
          <t>A valid success status from the requirement is shown. The transaction or change is applied once, persisted, and reflected on refresh.</t>
        </is>
      </c>
      <c r="L234" s="13" t="inlineStr">
        <is>
          <t>L3 direct access; no S2U for view</t>
        </is>
      </c>
      <c r="M234" s="13" t="inlineStr">
        <is>
          <t>Account details displayed; transaction list displayed; Failed auto-debit count displayed</t>
        </is>
      </c>
      <c r="N234" s="13" t="inlineStr">
        <is>
          <t>Acct Dashboard Non-Financing!F1:F45</t>
        </is>
      </c>
      <c r="O234" s="13" t="inlineStr">
        <is>
          <t>Not Run</t>
        </is>
      </c>
      <c r="P234" s="13" t="n"/>
      <c r="Q234" s="13" t="n"/>
      <c r="R234" s="14" t="n"/>
      <c r="S234" s="19" t="inlineStr">
        <is>
          <t>Loan API Design</t>
        </is>
      </c>
      <c r="T234" s="19" t="inlineStr">
        <is>
          <t>Loan transaction history</t>
        </is>
      </c>
      <c r="U234" s="19" t="inlineStr">
        <is>
          <t>GET</t>
        </is>
      </c>
      <c r="V234" s="19" t="inlineStr">
        <is>
          <t>/v1/external/accounts/account-type/{accountType}/account-id/{accountId}/transactions</t>
        </is>
      </c>
      <c r="W234" s="19" t="inlineStr">
        <is>
          <t>info-loan</t>
        </is>
      </c>
      <c r="X234" s="19" t="inlineStr">
        <is>
          <t>ECLIPSE_Account Dashboard_Loan_DDD_API_Design_v1_Workshop.xlsx</t>
        </is>
      </c>
      <c r="Y234" s="19" t="inlineStr">
        <is>
          <t>1.2 Personal Loan Acc
1.2.4 PL Shariah Acc
1.3 Auto Loan Acc
1.3.1 Auto Loan Shariah
1.4 Mortgage Loan Acc
1.4.1 Mortgage Loan Shariah</t>
        </is>
      </c>
      <c r="Z234" s="19" t="inlineStr">
        <is>
          <t>API_Specs_Index!A4:H4</t>
        </is>
      </c>
      <c r="AA234" s="22" t="inlineStr">
        <is>
          <t>API-027</t>
        </is>
      </c>
      <c r="AB234"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34" s="19" t="inlineStr">
        <is>
          <t>High</t>
        </is>
      </c>
      <c r="AD234" s="19" t="inlineStr">
        <is>
          <t>Pending ESB Spec</t>
        </is>
      </c>
    </row>
    <row r="235" ht="400.2" customHeight="1" s="2">
      <c r="A235" s="15" t="inlineStr">
        <is>
          <t>TC-B1-0234</t>
        </is>
      </c>
      <c r="B235" s="16" t="inlineStr">
        <is>
          <t>TS-B1-195</t>
        </is>
      </c>
      <c r="C235" s="16" t="inlineStr">
        <is>
          <t>Acct Dashboard Non-Financing</t>
        </is>
      </c>
      <c r="D235" s="16" t="inlineStr">
        <is>
          <t>Dashboard — Deposits</t>
        </is>
      </c>
      <c r="E235" s="16" t="inlineStr">
        <is>
          <t>Validate service failure and retry for MyPlan Term Savings (term savings with auto-debit)</t>
        </is>
      </c>
      <c r="F235" s="16" t="inlineStr">
        <is>
          <t>Negative</t>
        </is>
      </c>
      <c r="G235" s="16" t="inlineStr">
        <is>
          <t>High</t>
        </is>
      </c>
      <c r="H235" s="16" t="inlineStr">
        <is>
          <t>Journey is available; simulate a controlled downstream timeout or unsuccessful response. Expected statuses: Account details displayed; transaction list displayed; Failed auto-debit count displayed</t>
        </is>
      </c>
      <c r="I235" s="16" t="inlineStr">
        <is>
          <t>Account / Card / Policy Type: Active MyPlan Term Savings; conventional or shariah; with linked parent account; Currency / FCY Criteria: IDR; penalty/cancellation charges in IDR</t>
        </is>
      </c>
      <c r="J235" s="16" t="inlineStr">
        <is>
          <t>1. Progress to the final action.
2. Trigger a timeout, unavailable service, or unsuccessful response.
3. Verify the error message and retry behavior.
4. Retry after service recovery.</t>
        </is>
      </c>
      <c r="K235" s="16" t="inlineStr">
        <is>
          <t>No duplicate action occurs. The configured unsuccessful/processing state is shown, retry is safe, and final status becomes consistent after recovery.</t>
        </is>
      </c>
      <c r="L235" s="16" t="inlineStr">
        <is>
          <t>L3 direct access; no S2U for view</t>
        </is>
      </c>
      <c r="M235" s="16" t="inlineStr">
        <is>
          <t>Account details displayed; transaction list displayed; Failed auto-debit count displayed</t>
        </is>
      </c>
      <c r="N235" s="16" t="inlineStr">
        <is>
          <t>Acct Dashboard Non-Financing!F1:F45</t>
        </is>
      </c>
      <c r="O235" s="16" t="inlineStr">
        <is>
          <t>Not Run</t>
        </is>
      </c>
      <c r="P235" s="16" t="n"/>
      <c r="Q235" s="16" t="n"/>
      <c r="R235" s="17" t="n"/>
      <c r="S235" s="19" t="inlineStr">
        <is>
          <t>Loan API Design</t>
        </is>
      </c>
      <c r="T235" s="19" t="inlineStr">
        <is>
          <t>Loan transaction history</t>
        </is>
      </c>
      <c r="U235" s="19" t="inlineStr">
        <is>
          <t>GET</t>
        </is>
      </c>
      <c r="V235" s="19" t="inlineStr">
        <is>
          <t>/v1/external/accounts/account-type/{accountType}/account-id/{accountId}/transactions</t>
        </is>
      </c>
      <c r="W235" s="19" t="inlineStr">
        <is>
          <t>info-loan</t>
        </is>
      </c>
      <c r="X235" s="19" t="inlineStr">
        <is>
          <t>ECLIPSE_Account Dashboard_Loan_DDD_API_Design_v1_Workshop.xlsx</t>
        </is>
      </c>
      <c r="Y235" s="19" t="inlineStr">
        <is>
          <t>1.2 Personal Loan Acc
1.2.4 PL Shariah Acc
1.3 Auto Loan Acc
1.3.1 Auto Loan Shariah
1.4 Mortgage Loan Acc
1.4.1 Mortgage Loan Shariah</t>
        </is>
      </c>
      <c r="Z235" s="19" t="inlineStr">
        <is>
          <t>API_Specs_Index!A4:H4</t>
        </is>
      </c>
      <c r="AA235" s="22" t="inlineStr">
        <is>
          <t>API-027</t>
        </is>
      </c>
      <c r="AB235"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35" s="19" t="inlineStr">
        <is>
          <t>High</t>
        </is>
      </c>
      <c r="AD235" s="19" t="inlineStr">
        <is>
          <t>Pending ESB Spec</t>
        </is>
      </c>
    </row>
    <row r="236" ht="409.6" customHeight="1" s="2">
      <c r="A236" s="12" t="inlineStr">
        <is>
          <t>TC-B1-0235</t>
        </is>
      </c>
      <c r="B236" s="13" t="inlineStr">
        <is>
          <t>TS-B1-196</t>
        </is>
      </c>
      <c r="C236" s="13" t="inlineStr">
        <is>
          <t>Acct Dashboard Non-Financing</t>
        </is>
      </c>
      <c r="D236" s="13" t="inlineStr">
        <is>
          <t>Dashboard — Deposits</t>
        </is>
      </c>
      <c r="E236" s="13" t="inlineStr">
        <is>
          <t>Open Global Access Account — multicurrency IDR-base from valid entry point</t>
        </is>
      </c>
      <c r="F236" s="13" t="inlineStr">
        <is>
          <t>Positive</t>
        </is>
      </c>
      <c r="G236" s="13" t="inlineStr">
        <is>
          <t>Medium</t>
        </is>
      </c>
      <c r="H236" s="13" t="inlineStr">
        <is>
          <t>Eligible user: L3 post-login; individual account holder; Joint-AND restrictions apply</t>
        </is>
      </c>
      <c r="I236" s="13"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36" s="13" t="inlineStr">
        <is>
          <t>1. Sign in at the required access level.
2. Navigate using: Account Dashboard Landing → Savings &amp; Current tab → Global Access card.
3. Select Global Access Account — multicurrency IDR-base.</t>
        </is>
      </c>
      <c r="K236" s="13" t="inlineStr">
        <is>
          <t>The correct Dashboard — Deposits page opens and relevant product information is displayed without error.</t>
        </is>
      </c>
      <c r="L236" s="13" t="inlineStr">
        <is>
          <t>L3 direct access; S2U required for: Remove Currency (with balance), Manage Linked Card, Block Account</t>
        </is>
      </c>
      <c r="M236" s="13" t="inlineStr">
        <is>
          <t>Account details displayed; currency buckets displayed; S2U success / unsuccessful / authorisation failed for Remove Currency, Manage Linked Card, Block Account</t>
        </is>
      </c>
      <c r="N236" s="13" t="inlineStr">
        <is>
          <t>Acct Dashboard Non-Financing!G1:G45</t>
        </is>
      </c>
      <c r="O236" s="13" t="inlineStr">
        <is>
          <t>Not Run</t>
        </is>
      </c>
      <c r="P236" s="13" t="n"/>
      <c r="Q236" s="13" t="n"/>
      <c r="R236" s="14" t="n"/>
      <c r="S236" s="19" t="inlineStr">
        <is>
          <t>Loan API Design</t>
        </is>
      </c>
      <c r="T236" s="19" t="inlineStr">
        <is>
          <t>Loan dashboard</t>
        </is>
      </c>
      <c r="U236" s="19" t="inlineStr">
        <is>
          <t>GET</t>
        </is>
      </c>
      <c r="V236" s="19" t="inlineStr">
        <is>
          <t>/v1/external/accounts?accountGroup={accountGroup}</t>
        </is>
      </c>
      <c r="W236" s="19" t="inlineStr">
        <is>
          <t>dep-dashboard</t>
        </is>
      </c>
      <c r="X236" s="19" t="inlineStr">
        <is>
          <t>ECLIPSE_Account Dashboard_Loan_DDD_API_Design_v1_Workshop.xlsx</t>
        </is>
      </c>
      <c r="Y236" s="19" t="inlineStr">
        <is>
          <t>1.1 Loan Dashboard - Landing</t>
        </is>
      </c>
      <c r="Z236" s="19" t="inlineStr">
        <is>
          <t>API_Specs_Index!A2:H2</t>
        </is>
      </c>
      <c r="AA236" s="22" t="inlineStr">
        <is>
          <t>API-026</t>
        </is>
      </c>
      <c r="AB236" s="19" t="inlineStr">
        <is>
          <t>Mapped to Loan dashboard because the test case terms align with the 1.1 Loan Dashboard - Landing journey in the applicable API specification.</t>
        </is>
      </c>
      <c r="AC236" s="19" t="inlineStr">
        <is>
          <t>High</t>
        </is>
      </c>
      <c r="AD236" s="19" t="inlineStr">
        <is>
          <t>When user tap "Loan/Financing" tab and screen is loaded getDashboard dep-dashboard GET /v1/external/accounts?featureType={featureType} example : /v1/external/accounts?featureType=DASHBOARD_LOAN { "status": 200, "message": "Request processed succes...</t>
        </is>
      </c>
    </row>
    <row r="237" ht="409.6" customHeight="1" s="2">
      <c r="A237" s="15" t="inlineStr">
        <is>
          <t>TC-B1-0236</t>
        </is>
      </c>
      <c r="B237" s="16" t="inlineStr">
        <is>
          <t>TS-B1-196</t>
        </is>
      </c>
      <c r="C237" s="16" t="inlineStr">
        <is>
          <t>Acct Dashboard Non-Financing</t>
        </is>
      </c>
      <c r="D237" s="16" t="inlineStr">
        <is>
          <t>Dashboard — Deposits</t>
        </is>
      </c>
      <c r="E237" s="16" t="inlineStr">
        <is>
          <t>Validate ineligible or unavailable state for Global Access Account — multicurrency IDR-base</t>
        </is>
      </c>
      <c r="F237" s="16" t="inlineStr">
        <is>
          <t>Negative</t>
        </is>
      </c>
      <c r="G237" s="16" t="inlineStr">
        <is>
          <t>High</t>
        </is>
      </c>
      <c r="H237" s="16" t="inlineStr">
        <is>
          <t>User or product does not meet one configured eligibility condition. Eligible baseline: L3 post-login; individual account holder; Joint-AND restrictions apply</t>
        </is>
      </c>
      <c r="I237" s="16"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37" s="16" t="inlineStr">
        <is>
          <t>1. Prepare an ineligible, unsupported, blocked, or unavailable test profile.
2. Navigate using: Account Dashboard Landing → Savings &amp; Current tab → Global Access card.
3. Attempt to open Global Access Account — multicurrency IDR-base.</t>
        </is>
      </c>
      <c r="K237" s="16" t="inlineStr">
        <is>
          <t>Access is prevented or the feature is hidden/disabled. A clear message is shown and no unauthorised data or action is exposed.</t>
        </is>
      </c>
      <c r="L237" s="16" t="inlineStr">
        <is>
          <t>L3 direct access; S2U required for: Remove Currency (with balance), Manage Linked Card, Block Account</t>
        </is>
      </c>
      <c r="M237" s="16" t="inlineStr">
        <is>
          <t>Account details displayed; currency buckets displayed; S2U success / unsuccessful / authorisation failed for Remove Currency, Manage Linked Card, Block Account</t>
        </is>
      </c>
      <c r="N237" s="16" t="inlineStr">
        <is>
          <t>Acct Dashboard Non-Financing!G1:G45</t>
        </is>
      </c>
      <c r="O237" s="16" t="inlineStr">
        <is>
          <t>Not Run</t>
        </is>
      </c>
      <c r="P237" s="16" t="n"/>
      <c r="Q237" s="16" t="n"/>
      <c r="R237" s="17" t="n"/>
      <c r="S237" s="19" t="inlineStr">
        <is>
          <t>Loan API Design</t>
        </is>
      </c>
      <c r="T237" s="19" t="inlineStr">
        <is>
          <t>Loan dashboard</t>
        </is>
      </c>
      <c r="U237" s="19" t="inlineStr">
        <is>
          <t>GET</t>
        </is>
      </c>
      <c r="V237" s="19" t="inlineStr">
        <is>
          <t>/v1/external/accounts?accountGroup={accountGroup}</t>
        </is>
      </c>
      <c r="W237" s="19" t="inlineStr">
        <is>
          <t>dep-dashboard</t>
        </is>
      </c>
      <c r="X237" s="19" t="inlineStr">
        <is>
          <t>ECLIPSE_Account Dashboard_Loan_DDD_API_Design_v1_Workshop.xlsx</t>
        </is>
      </c>
      <c r="Y237" s="19" t="inlineStr">
        <is>
          <t>1.1 Loan Dashboard - Landing</t>
        </is>
      </c>
      <c r="Z237" s="19" t="inlineStr">
        <is>
          <t>API_Specs_Index!A2:H2</t>
        </is>
      </c>
      <c r="AA237" s="22" t="inlineStr">
        <is>
          <t>API-026</t>
        </is>
      </c>
      <c r="AB237" s="19" t="inlineStr">
        <is>
          <t>Mapped to Loan dashboard because the test case terms align with the 1.1 Loan Dashboard - Landing journey in the applicable API specification.</t>
        </is>
      </c>
      <c r="AC237" s="19" t="inlineStr">
        <is>
          <t>High</t>
        </is>
      </c>
      <c r="AD237" s="19" t="inlineStr">
        <is>
          <t>When user tap "Loan/Financing" tab and screen is loaded getDashboard dep-dashboard GET /v1/external/accounts?featureType={featureType} example : /v1/external/accounts?featureType=DASHBOARD_LOAN { "status": 200, "message": "Request processed succes...</t>
        </is>
      </c>
    </row>
    <row r="238" ht="409.6" customHeight="1" s="2">
      <c r="A238" s="12" t="inlineStr">
        <is>
          <t>TC-B1-0237</t>
        </is>
      </c>
      <c r="B238" s="13" t="inlineStr">
        <is>
          <t>TS-B1-197</t>
        </is>
      </c>
      <c r="C238" s="13" t="inlineStr">
        <is>
          <t>Acct Dashboard Non-Financing</t>
        </is>
      </c>
      <c r="D238" s="13" t="inlineStr">
        <is>
          <t>Dashboard — Deposits</t>
        </is>
      </c>
      <c r="E238" s="13" t="inlineStr">
        <is>
          <t>Complete required authentication for Global Access Account — multicurrency IDR-base</t>
        </is>
      </c>
      <c r="F238" s="13" t="inlineStr">
        <is>
          <t>Security</t>
        </is>
      </c>
      <c r="G238" s="13" t="inlineStr">
        <is>
          <t>High</t>
        </is>
      </c>
      <c r="H238" s="13" t="inlineStr">
        <is>
          <t>Eligible user; authentication method is active. Requirement: L3 direct access; S2U required for: Remove Currency (with balance), Manage Linked Card, Block Account</t>
        </is>
      </c>
      <c r="I238" s="13"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38" s="13" t="inlineStr">
        <is>
          <t>1. Start the protected action.
2. Complete the configured authentication with valid credentials.
3. Continue the journey.</t>
        </is>
      </c>
      <c r="K238" s="13" t="inlineStr">
        <is>
          <t>Authentication succeeds, the protected action continues once, and the user returns to the correct journey context.</t>
        </is>
      </c>
      <c r="L238" s="13" t="inlineStr">
        <is>
          <t>L3 direct access; S2U required for: Remove Currency (with balance), Manage Linked Card, Block Account</t>
        </is>
      </c>
      <c r="M238" s="13" t="inlineStr">
        <is>
          <t>Account details displayed; currency buckets displayed; S2U success / unsuccessful / authorisation failed for Remove Currency, Manage Linked Card, Block Account</t>
        </is>
      </c>
      <c r="N238" s="13" t="inlineStr">
        <is>
          <t>Acct Dashboard Non-Financing!G1:G45</t>
        </is>
      </c>
      <c r="O238" s="13" t="inlineStr">
        <is>
          <t>Not Run</t>
        </is>
      </c>
      <c r="P238" s="13" t="n"/>
      <c r="Q238" s="13" t="n"/>
      <c r="R238" s="14" t="n"/>
      <c r="S238" s="19" t="inlineStr">
        <is>
          <t>Loan API Design</t>
        </is>
      </c>
      <c r="T238" s="19" t="inlineStr">
        <is>
          <t>Loan dashboard</t>
        </is>
      </c>
      <c r="U238" s="19" t="inlineStr">
        <is>
          <t>GET</t>
        </is>
      </c>
      <c r="V238" s="19" t="inlineStr">
        <is>
          <t>/v1/external/accounts?accountGroup={accountGroup}</t>
        </is>
      </c>
      <c r="W238" s="19" t="inlineStr">
        <is>
          <t>dep-dashboard</t>
        </is>
      </c>
      <c r="X238" s="19" t="inlineStr">
        <is>
          <t>ECLIPSE_Account Dashboard_Loan_DDD_API_Design_v1_Workshop.xlsx</t>
        </is>
      </c>
      <c r="Y238" s="19" t="inlineStr">
        <is>
          <t>1.1 Loan Dashboard - Landing</t>
        </is>
      </c>
      <c r="Z238" s="19" t="inlineStr">
        <is>
          <t>API_Specs_Index!A2:H2</t>
        </is>
      </c>
      <c r="AA238" s="22" t="inlineStr">
        <is>
          <t>API-026</t>
        </is>
      </c>
      <c r="AB238" s="19" t="inlineStr">
        <is>
          <t>Mapped to Loan dashboard because the test case terms align with the 1.1 Loan Dashboard - Landing journey in the applicable API specification.</t>
        </is>
      </c>
      <c r="AC238" s="19" t="inlineStr">
        <is>
          <t>Medium</t>
        </is>
      </c>
      <c r="AD238" s="19" t="inlineStr">
        <is>
          <t>When user tap "Loan/Financing" tab and screen is loaded getDashboard dep-dashboard GET /v1/external/accounts?featureType={featureType} example : /v1/external/accounts?featureType=DASHBOARD_LOAN { "status": 200, "message": "Request processed succes...</t>
        </is>
      </c>
    </row>
    <row r="239" ht="409.6" customHeight="1" s="2">
      <c r="A239" s="15" t="inlineStr">
        <is>
          <t>TC-B1-0238</t>
        </is>
      </c>
      <c r="B239" s="16" t="inlineStr">
        <is>
          <t>TS-B1-197</t>
        </is>
      </c>
      <c r="C239" s="16" t="inlineStr">
        <is>
          <t>Acct Dashboard Non-Financing</t>
        </is>
      </c>
      <c r="D239" s="16" t="inlineStr">
        <is>
          <t>Dashboard — Deposits</t>
        </is>
      </c>
      <c r="E239" s="16" t="inlineStr">
        <is>
          <t>Reject invalid, cancelled, or expired authentication for Global Access Account — multicurrency IDR-base</t>
        </is>
      </c>
      <c r="F239" s="16" t="inlineStr">
        <is>
          <t>Negative / Security</t>
        </is>
      </c>
      <c r="G239" s="16" t="inlineStr">
        <is>
          <t>High</t>
        </is>
      </c>
      <c r="H239" s="16" t="inlineStr">
        <is>
          <t>Eligible user; protected action requires authentication. Requirement: L3 direct access; S2U required for: Remove Currency (with balance), Manage Linked Card, Block Account</t>
        </is>
      </c>
      <c r="I239" s="16"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39" s="16" t="inlineStr">
        <is>
          <t>1. Start the protected action.
2. Enter invalid credentials, cancel, or allow the challenge to expire.
3. Observe the result.</t>
        </is>
      </c>
      <c r="K239" s="16" t="inlineStr">
        <is>
          <t>The action is not performed. The configured failure/lockout message is shown, sensitive data remains protected, and retry behavior follows the requirement.</t>
        </is>
      </c>
      <c r="L239" s="16" t="inlineStr">
        <is>
          <t>L3 direct access; S2U required for: Remove Currency (with balance), Manage Linked Card, Block Account</t>
        </is>
      </c>
      <c r="M239" s="16" t="inlineStr">
        <is>
          <t>Account details displayed; currency buckets displayed; S2U success / unsuccessful / authorisation failed for Remove Currency, Manage Linked Card, Block Account</t>
        </is>
      </c>
      <c r="N239" s="16" t="inlineStr">
        <is>
          <t>Acct Dashboard Non-Financing!G1:G45</t>
        </is>
      </c>
      <c r="O239" s="16" t="inlineStr">
        <is>
          <t>Not Run</t>
        </is>
      </c>
      <c r="P239" s="16" t="n"/>
      <c r="Q239" s="16" t="n"/>
      <c r="R239" s="17" t="n"/>
      <c r="S239" s="19" t="inlineStr">
        <is>
          <t>Loan API Design</t>
        </is>
      </c>
      <c r="T239" s="19" t="inlineStr">
        <is>
          <t>Loan dashboard</t>
        </is>
      </c>
      <c r="U239" s="19" t="inlineStr">
        <is>
          <t>GET</t>
        </is>
      </c>
      <c r="V239" s="19" t="inlineStr">
        <is>
          <t>/v1/external/accounts?accountGroup={accountGroup}</t>
        </is>
      </c>
      <c r="W239" s="19" t="inlineStr">
        <is>
          <t>dep-dashboard</t>
        </is>
      </c>
      <c r="X239" s="19" t="inlineStr">
        <is>
          <t>ECLIPSE_Account Dashboard_Loan_DDD_API_Design_v1_Workshop.xlsx</t>
        </is>
      </c>
      <c r="Y239" s="19" t="inlineStr">
        <is>
          <t>1.1 Loan Dashboard - Landing</t>
        </is>
      </c>
      <c r="Z239" s="19" t="inlineStr">
        <is>
          <t>API_Specs_Index!A2:H2</t>
        </is>
      </c>
      <c r="AA239" s="22" t="inlineStr">
        <is>
          <t>API-026</t>
        </is>
      </c>
      <c r="AB239" s="19" t="inlineStr">
        <is>
          <t>Mapped to Loan dashboard because the test case terms align with the 1.1 Loan Dashboard - Landing journey in the applicable API specification.</t>
        </is>
      </c>
      <c r="AC239" s="19" t="inlineStr">
        <is>
          <t>Medium</t>
        </is>
      </c>
      <c r="AD239" s="19" t="inlineStr">
        <is>
          <t>When user tap "Loan/Financing" tab and screen is loaded getDashboard dep-dashboard GET /v1/external/accounts?featureType={featureType} example : /v1/external/accounts?featureType=DASHBOARD_LOAN { "status": 200, "message": "Request processed succes...</t>
        </is>
      </c>
    </row>
    <row r="240" ht="409.6" customHeight="1" s="2">
      <c r="A240" s="12" t="inlineStr">
        <is>
          <t>TC-B1-0239</t>
        </is>
      </c>
      <c r="B240" s="13" t="inlineStr">
        <is>
          <t>TS-B1-198</t>
        </is>
      </c>
      <c r="C240" s="13" t="inlineStr">
        <is>
          <t>Acct Dashboard Non-Financing</t>
        </is>
      </c>
      <c r="D240" s="13" t="inlineStr">
        <is>
          <t>Dashboard — Deposits</t>
        </is>
      </c>
      <c r="E240" s="13" t="inlineStr">
        <is>
          <t>Validate Step 1 — 1.1 Account Dashboard Landing for Global Access Account — multicurrency IDR-base</t>
        </is>
      </c>
      <c r="F240" s="13" t="inlineStr">
        <is>
          <t>UI / Functional</t>
        </is>
      </c>
      <c r="G240" s="13" t="inlineStr">
        <is>
          <t>Medium</t>
        </is>
      </c>
      <c r="H240" s="13" t="inlineStr">
        <is>
          <t>Eligible user and product are available. User has reached the preceding journey step.</t>
        </is>
      </c>
      <c r="I240" s="13"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40" s="13" t="inlineStr">
        <is>
          <t>1. Open Global Access Account — multicurrency IDR-base.
2. Navigate to Step 1 — 1.1 Account Dashboard Landing.
3. Perform the action or trigger described by: Step 1.
4. Observe the page, validation, navigation, and resulting state.</t>
        </is>
      </c>
      <c r="K240" s="13" t="inlineStr">
        <is>
          <t>Step 1 — 1.1 Account Dashboard Landing behaves according to the mapped requirement (Step 1); data, controls, navigation, and status are accurate and consistent.</t>
        </is>
      </c>
      <c r="L240" s="13" t="inlineStr">
        <is>
          <t>L3 direct access; S2U required for: Remove Currency (with balance), Manage Linked Card, Block Account</t>
        </is>
      </c>
      <c r="M240" s="13" t="inlineStr">
        <is>
          <t>Account details displayed; currency buckets displayed; S2U success / unsuccessful / authorisation failed for Remove Currency, Manage Linked Card, Block Account</t>
        </is>
      </c>
      <c r="N240" s="13" t="inlineStr">
        <is>
          <t>Acct Dashboard Non-Financing!A10:G10</t>
        </is>
      </c>
      <c r="O240" s="13" t="inlineStr">
        <is>
          <t>Not Run</t>
        </is>
      </c>
      <c r="P240" s="13" t="n"/>
      <c r="Q240" s="13" t="n"/>
      <c r="R240" s="14" t="n"/>
      <c r="S240" s="19" t="inlineStr">
        <is>
          <t>Loan API Design</t>
        </is>
      </c>
      <c r="T240" s="19" t="inlineStr">
        <is>
          <t>Loan dashboard</t>
        </is>
      </c>
      <c r="U240" s="19" t="inlineStr">
        <is>
          <t>GET</t>
        </is>
      </c>
      <c r="V240" s="19" t="inlineStr">
        <is>
          <t>/v1/external/accounts?accountGroup={accountGroup}</t>
        </is>
      </c>
      <c r="W240" s="19" t="inlineStr">
        <is>
          <t>dep-dashboard</t>
        </is>
      </c>
      <c r="X240" s="19" t="inlineStr">
        <is>
          <t>ECLIPSE_Account Dashboard_Loan_DDD_API_Design_v1_Workshop.xlsx</t>
        </is>
      </c>
      <c r="Y240" s="19" t="inlineStr">
        <is>
          <t>1.1 Loan Dashboard - Landing</t>
        </is>
      </c>
      <c r="Z240" s="19" t="inlineStr">
        <is>
          <t>API_Specs_Index!A2:H2</t>
        </is>
      </c>
      <c r="AA240" s="22" t="inlineStr">
        <is>
          <t>API-026</t>
        </is>
      </c>
      <c r="AB240" s="19" t="inlineStr">
        <is>
          <t>Mapped to Loan dashboard because the test case terms align with the 1.1 Loan Dashboard - Landing journey in the applicable API specification.</t>
        </is>
      </c>
      <c r="AC240" s="19" t="inlineStr">
        <is>
          <t>High</t>
        </is>
      </c>
      <c r="AD240" s="19" t="inlineStr">
        <is>
          <t>When user tap "Loan/Financing" tab and screen is loaded getDashboard dep-dashboard GET /v1/external/accounts?featureType={featureType} example : /v1/external/accounts?featureType=DASHBOARD_LOAN { "status": 200, "message": "Request processed succes...</t>
        </is>
      </c>
    </row>
    <row r="241" ht="409.6" customHeight="1" s="2">
      <c r="A241" s="15" t="inlineStr">
        <is>
          <t>TC-B1-0240</t>
        </is>
      </c>
      <c r="B241" s="16" t="inlineStr">
        <is>
          <t>TS-B1-199</t>
        </is>
      </c>
      <c r="C241" s="16" t="inlineStr">
        <is>
          <t>Acct Dashboard Non-Financing</t>
        </is>
      </c>
      <c r="D241" s="16" t="inlineStr">
        <is>
          <t>Dashboard — Deposits</t>
        </is>
      </c>
      <c r="E241" s="16" t="inlineStr">
        <is>
          <t>Validate Step 2 — 1.2 Account Listing (Savings &amp; Current) for Global Access Account — multicurrency IDR-base</t>
        </is>
      </c>
      <c r="F241" s="16" t="inlineStr">
        <is>
          <t>Functional</t>
        </is>
      </c>
      <c r="G241" s="16" t="inlineStr">
        <is>
          <t>Medium</t>
        </is>
      </c>
      <c r="H241" s="16" t="inlineStr">
        <is>
          <t>Eligible user and product are available. Trigger the stated condition: Step 2 — GAA card visible in Savings &amp; Current listing; balance shown with '≈' if FCY present</t>
        </is>
      </c>
      <c r="I241" s="16"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41" s="16" t="inlineStr">
        <is>
          <t>1. Open Global Access Account — multicurrency IDR-base.
2. Navigate to Step 2 — 1.2 Account Listing (Savings &amp; Current).
3. Perform the action or trigger described by: Step 2 — GAA card visible in Savings &amp; Current listing; balance shown with '≈' if FCY present.
4. Observe the page, validation, navigation, and resulting state.</t>
        </is>
      </c>
      <c r="K241" s="16" t="inlineStr">
        <is>
          <t>Step 2 — 1.2 Account Listing (Savings &amp; Current) behaves according to the mapped requirement (Step 2 — GAA card visible in Savings &amp; Current listing; balance shown with '≈' if FCY present); data, controls, navigation, and status are accurate and consistent.</t>
        </is>
      </c>
      <c r="L241" s="16" t="inlineStr">
        <is>
          <t>L3 direct access; S2U required for: Remove Currency (with balance), Manage Linked Card, Block Account</t>
        </is>
      </c>
      <c r="M241" s="16" t="inlineStr">
        <is>
          <t>Account details displayed; currency buckets displayed; S2U success / unsuccessful / authorisation failed for Remove Currency, Manage Linked Card, Block Account</t>
        </is>
      </c>
      <c r="N241" s="16" t="inlineStr">
        <is>
          <t>Acct Dashboard Non-Financing!A11:G11</t>
        </is>
      </c>
      <c r="O241" s="16" t="inlineStr">
        <is>
          <t>Not Run</t>
        </is>
      </c>
      <c r="P241" s="16" t="n"/>
      <c r="Q241" s="16" t="n"/>
      <c r="R241" s="17" t="inlineStr">
        <is>
          <t>Conditional coverage required.</t>
        </is>
      </c>
      <c r="S241" s="19" t="inlineStr">
        <is>
          <t>Loan API Design</t>
        </is>
      </c>
      <c r="T241" s="19" t="inlineStr">
        <is>
          <t>Loan dashboard</t>
        </is>
      </c>
      <c r="U241" s="19" t="inlineStr">
        <is>
          <t>GET</t>
        </is>
      </c>
      <c r="V241" s="19" t="inlineStr">
        <is>
          <t>/v1/external/accounts?accountGroup={accountGroup}</t>
        </is>
      </c>
      <c r="W241" s="19" t="inlineStr">
        <is>
          <t>dep-dashboard</t>
        </is>
      </c>
      <c r="X241" s="19" t="inlineStr">
        <is>
          <t>ECLIPSE_Account Dashboard_Loan_DDD_API_Design_v1_Workshop.xlsx</t>
        </is>
      </c>
      <c r="Y241" s="19" t="inlineStr">
        <is>
          <t>1.1 Loan Dashboard - Landing</t>
        </is>
      </c>
      <c r="Z241" s="19" t="inlineStr">
        <is>
          <t>API_Specs_Index!A2:H2</t>
        </is>
      </c>
      <c r="AA241" s="22" t="inlineStr">
        <is>
          <t>API-026</t>
        </is>
      </c>
      <c r="AB241" s="19" t="inlineStr">
        <is>
          <t>Mapped to Loan dashboard because the test case terms align with the 1.1 Loan Dashboard - Landing journey in the applicable API specification.</t>
        </is>
      </c>
      <c r="AC241" s="19" t="inlineStr">
        <is>
          <t>Medium</t>
        </is>
      </c>
      <c r="AD241" s="19" t="inlineStr">
        <is>
          <t>When user tap "Loan/Financing" tab and screen is loaded getDashboard dep-dashboard GET /v1/external/accounts?featureType={featureType} example : /v1/external/accounts?featureType=DASHBOARD_LOAN { "status": 200, "message": "Request processed succes...</t>
        </is>
      </c>
    </row>
    <row r="242" ht="409.6" customHeight="1" s="2">
      <c r="A242" s="12" t="inlineStr">
        <is>
          <t>TC-B1-0241</t>
        </is>
      </c>
      <c r="B242" s="13" t="inlineStr">
        <is>
          <t>TS-B1-200</t>
        </is>
      </c>
      <c r="C242" s="13" t="inlineStr">
        <is>
          <t>Acct Dashboard Non-Financing</t>
        </is>
      </c>
      <c r="D242" s="13" t="inlineStr">
        <is>
          <t>Dashboard — Deposits</t>
        </is>
      </c>
      <c r="E242" s="13" t="inlineStr">
        <is>
          <t>Validate Step 5 — 1.2.1.2 ViewAllTrans for Global Access Account — multicurrency IDR-base</t>
        </is>
      </c>
      <c r="F242" s="13" t="inlineStr">
        <is>
          <t>Functional</t>
        </is>
      </c>
      <c r="G242" s="13" t="inlineStr">
        <is>
          <t>Medium</t>
        </is>
      </c>
      <c r="H242" s="13" t="inlineStr">
        <is>
          <t>Eligible user and product are available. Trigger the stated condition: Step 5 — Transaction Currency filter applicable</t>
        </is>
      </c>
      <c r="I242" s="13"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42" s="13" t="inlineStr">
        <is>
          <t>1. Open Global Access Account — multicurrency IDR-base.
2. Navigate to Step 5 — 1.2.1.2 ViewAllTrans.
3. Perform the action or trigger described by: Step 5 — Transaction Currency filter applicable.
4. Observe the page, validation, navigation, and resulting state.</t>
        </is>
      </c>
      <c r="K242" s="13" t="inlineStr">
        <is>
          <t>Step 5 — 1.2.1.2 ViewAllTrans behaves according to the mapped requirement (Step 5 — Transaction Currency filter applicable); data, controls, navigation, and status are accurate and consistent.</t>
        </is>
      </c>
      <c r="L242" s="13" t="inlineStr">
        <is>
          <t>L3 direct access; S2U required for: Remove Currency (with balance), Manage Linked Card, Block Account</t>
        </is>
      </c>
      <c r="M242" s="13" t="inlineStr">
        <is>
          <t>Account details displayed; currency buckets displayed; S2U success / unsuccessful / authorisation failed for Remove Currency, Manage Linked Card, Block Account</t>
        </is>
      </c>
      <c r="N242" s="13" t="inlineStr">
        <is>
          <t>Acct Dashboard Non-Financing!A14:G14</t>
        </is>
      </c>
      <c r="O242" s="13" t="inlineStr">
        <is>
          <t>Not Run</t>
        </is>
      </c>
      <c r="P242" s="13" t="n"/>
      <c r="Q242" s="13" t="n"/>
      <c r="R242" s="14" t="inlineStr">
        <is>
          <t>Conditional coverage required.</t>
        </is>
      </c>
      <c r="S242" s="19" t="inlineStr">
        <is>
          <t>Loan API Design</t>
        </is>
      </c>
      <c r="T242" s="19" t="inlineStr">
        <is>
          <t>Loan transaction history</t>
        </is>
      </c>
      <c r="U242" s="19" t="inlineStr">
        <is>
          <t>GET</t>
        </is>
      </c>
      <c r="V242" s="19" t="inlineStr">
        <is>
          <t>/v1/external/accounts/account-type/{accountType}/account-id/{accountId}/transactions</t>
        </is>
      </c>
      <c r="W242" s="19" t="inlineStr">
        <is>
          <t>info-loan</t>
        </is>
      </c>
      <c r="X242" s="19" t="inlineStr">
        <is>
          <t>ECLIPSE_Account Dashboard_Loan_DDD_API_Design_v1_Workshop.xlsx</t>
        </is>
      </c>
      <c r="Y242" s="19" t="inlineStr">
        <is>
          <t>1.2 Personal Loan Acc
1.2.4 PL Shariah Acc
1.3 Auto Loan Acc
1.3.1 Auto Loan Shariah
1.4 Mortgage Loan Acc
1.4.1 Mortgage Loan Shariah</t>
        </is>
      </c>
      <c r="Z242" s="19" t="inlineStr">
        <is>
          <t>API_Specs_Index!A4:H4</t>
        </is>
      </c>
      <c r="AA242" s="22" t="inlineStr">
        <is>
          <t>API-027</t>
        </is>
      </c>
      <c r="AB242"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42" s="19" t="inlineStr">
        <is>
          <t>High</t>
        </is>
      </c>
      <c r="AD242" s="19" t="inlineStr">
        <is>
          <t>Pending ESB Spec</t>
        </is>
      </c>
    </row>
    <row r="243" ht="409.6" customHeight="1" s="2">
      <c r="A243" s="15" t="inlineStr">
        <is>
          <t>TC-B1-0242</t>
        </is>
      </c>
      <c r="B243" s="16" t="inlineStr">
        <is>
          <t>TS-B1-201</t>
        </is>
      </c>
      <c r="C243" s="16" t="inlineStr">
        <is>
          <t>Acct Dashboard Non-Financing</t>
        </is>
      </c>
      <c r="D243" s="16" t="inlineStr">
        <is>
          <t>Dashboard — Deposits</t>
        </is>
      </c>
      <c r="E243" s="16" t="inlineStr">
        <is>
          <t>Validate Step 6 — 1.2.1.3 ManageLinkedCard for Global Access Account — multicurrency IDR-base</t>
        </is>
      </c>
      <c r="F243" s="16" t="inlineStr">
        <is>
          <t>Functional</t>
        </is>
      </c>
      <c r="G243" s="16" t="inlineStr">
        <is>
          <t>Medium</t>
        </is>
      </c>
      <c r="H243" s="16" t="inlineStr">
        <is>
          <t>Eligible user and product are available. Trigger the stated condition: Step 6 — only GAA debit cards eligible</t>
        </is>
      </c>
      <c r="I243" s="16"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43" s="16" t="inlineStr">
        <is>
          <t>1. Open Global Access Account — multicurrency IDR-base.
2. Navigate to Step 6 — 1.2.1.3 ManageLinkedCard.
3. Perform the action or trigger described by: Step 6 — only GAA debit cards eligible.
4. Observe the page, validation, navigation, and resulting state.</t>
        </is>
      </c>
      <c r="K243" s="16" t="inlineStr">
        <is>
          <t>Step 6 — 1.2.1.3 ManageLinkedCard behaves according to the mapped requirement (Step 6 — only GAA debit cards eligible); data, controls, navigation, and status are accurate and consistent.</t>
        </is>
      </c>
      <c r="L243" s="16" t="inlineStr">
        <is>
          <t>L3 direct access; S2U required for: Remove Currency (with balance), Manage Linked Card, Block Account</t>
        </is>
      </c>
      <c r="M243" s="16" t="inlineStr">
        <is>
          <t>Account details displayed; currency buckets displayed; S2U success / unsuccessful / authorisation failed for Remove Currency, Manage Linked Card, Block Account</t>
        </is>
      </c>
      <c r="N243" s="16" t="inlineStr">
        <is>
          <t>Acct Dashboard Non-Financing!A15:G15</t>
        </is>
      </c>
      <c r="O243" s="16" t="inlineStr">
        <is>
          <t>Not Run</t>
        </is>
      </c>
      <c r="P243" s="16" t="n"/>
      <c r="Q243" s="16" t="n"/>
      <c r="R243" s="17" t="inlineStr">
        <is>
          <t>Conditional coverage required.</t>
        </is>
      </c>
      <c r="S243" s="19" t="inlineStr">
        <is>
          <t>Debit Card API Design</t>
        </is>
      </c>
      <c r="T243" s="19" t="inlineStr">
        <is>
          <t>Debit card block</t>
        </is>
      </c>
      <c r="U243" s="19" t="inlineStr">
        <is>
          <t>POST</t>
        </is>
      </c>
      <c r="V243" s="19" t="inlineStr">
        <is>
          <t>/v1/external/cards/block</t>
        </is>
      </c>
      <c r="W243" s="19" t="inlineStr">
        <is>
          <t>dep-card</t>
        </is>
      </c>
      <c r="X243" s="19" t="inlineStr">
        <is>
          <t>ECLIPSE_Account Dashboard_Debit_Card_DDD_API_Design_v1_Workshop (1).xlsx</t>
        </is>
      </c>
      <c r="Y243" s="19" t="inlineStr">
        <is>
          <t>1.3.2.3 Block &amp; Unblock Card</t>
        </is>
      </c>
      <c r="Z243" s="19" t="inlineStr">
        <is>
          <t>API_Specs_Index!A13:H13</t>
        </is>
      </c>
      <c r="AA243" s="22" t="inlineStr">
        <is>
          <t>API-020</t>
        </is>
      </c>
      <c r="AB243" s="19" t="inlineStr">
        <is>
          <t>Mapped to Debit card block because the test case terms align with the 1.3.2.3 Block &amp; Unblock Card journey in the applicable API specification.</t>
        </is>
      </c>
      <c r="AC243" s="19" t="inlineStr">
        <is>
          <t>High</t>
        </is>
      </c>
      <c r="AD243" s="19" t="inlineStr">
        <is>
          <t>Pending ESB Spec</t>
        </is>
      </c>
    </row>
    <row r="244" ht="409.6" customHeight="1" s="2">
      <c r="A244" s="12" t="inlineStr">
        <is>
          <t>TC-B1-0243</t>
        </is>
      </c>
      <c r="B244" s="13" t="inlineStr">
        <is>
          <t>TS-B1-202</t>
        </is>
      </c>
      <c r="C244" s="13" t="inlineStr">
        <is>
          <t>Acct Dashboard Non-Financing</t>
        </is>
      </c>
      <c r="D244" s="13" t="inlineStr">
        <is>
          <t>Dashboard — Deposits</t>
        </is>
      </c>
      <c r="E244" s="13" t="inlineStr">
        <is>
          <t>Validate Step 7 — 1.2.1.4 BlockAccount for Global Access Account — multicurrency IDR-base</t>
        </is>
      </c>
      <c r="F244" s="13" t="inlineStr">
        <is>
          <t>Functional</t>
        </is>
      </c>
      <c r="G244" s="13" t="inlineStr">
        <is>
          <t>High</t>
        </is>
      </c>
      <c r="H244" s="13" t="inlineStr">
        <is>
          <t>Eligible user and product are available. User has reached the preceding journey step.</t>
        </is>
      </c>
      <c r="I244" s="13"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44" s="13" t="inlineStr">
        <is>
          <t>1. Open Global Access Account — multicurrency IDR-base.
2. Navigate to Step 7 — 1.2.1.4 BlockAccount.
3. Perform the action or trigger described by: Step 7.
4. Observe the page, validation, navigation, and resulting state.</t>
        </is>
      </c>
      <c r="K244" s="13" t="inlineStr">
        <is>
          <t>Step 7 — 1.2.1.4 BlockAccount behaves according to the mapped requirement (Step 7); data, controls, navigation, and status are accurate and consistent.</t>
        </is>
      </c>
      <c r="L244" s="13" t="inlineStr">
        <is>
          <t>L3 direct access; S2U required for: Remove Currency (with balance), Manage Linked Card, Block Account</t>
        </is>
      </c>
      <c r="M244" s="13" t="inlineStr">
        <is>
          <t>Account details displayed; currency buckets displayed; S2U success / unsuccessful / authorisation failed for Remove Currency, Manage Linked Card, Block Account</t>
        </is>
      </c>
      <c r="N244" s="13" t="inlineStr">
        <is>
          <t>Acct Dashboard Non-Financing!A16:G16</t>
        </is>
      </c>
      <c r="O244" s="13" t="inlineStr">
        <is>
          <t>Not Run</t>
        </is>
      </c>
      <c r="P244" s="13" t="n"/>
      <c r="Q244" s="13" t="n"/>
      <c r="R244" s="14" t="n"/>
      <c r="S244" s="19" t="inlineStr">
        <is>
          <t>Loan API Design</t>
        </is>
      </c>
      <c r="T244" s="19" t="inlineStr">
        <is>
          <t>Loan dashboard</t>
        </is>
      </c>
      <c r="U244" s="19" t="inlineStr">
        <is>
          <t>GET</t>
        </is>
      </c>
      <c r="V244" s="19" t="inlineStr">
        <is>
          <t>/v1/external/accounts?accountGroup={accountGroup}</t>
        </is>
      </c>
      <c r="W244" s="19" t="inlineStr">
        <is>
          <t>dep-dashboard</t>
        </is>
      </c>
      <c r="X244" s="19" t="inlineStr">
        <is>
          <t>ECLIPSE_Account Dashboard_Loan_DDD_API_Design_v1_Workshop.xlsx</t>
        </is>
      </c>
      <c r="Y244" s="19" t="inlineStr">
        <is>
          <t>1.1 Loan Dashboard - Landing</t>
        </is>
      </c>
      <c r="Z244" s="19" t="inlineStr">
        <is>
          <t>API_Specs_Index!A2:H2</t>
        </is>
      </c>
      <c r="AA244" s="22" t="inlineStr">
        <is>
          <t>API-026</t>
        </is>
      </c>
      <c r="AB244" s="19" t="inlineStr">
        <is>
          <t>Mapped to Loan dashboard because the test case terms align with the 1.1 Loan Dashboard - Landing journey in the applicable API specification.</t>
        </is>
      </c>
      <c r="AC244" s="19" t="inlineStr">
        <is>
          <t>Medium</t>
        </is>
      </c>
      <c r="AD244" s="19" t="inlineStr">
        <is>
          <t>When user tap "Loan/Financing" tab and screen is loaded getDashboard dep-dashboard GET /v1/external/accounts?featureType={featureType} example : /v1/external/accounts?featureType=DASHBOARD_LOAN { "status": 200, "message": "Request processed succes...</t>
        </is>
      </c>
    </row>
    <row r="245" ht="409.6" customHeight="1" s="2">
      <c r="A245" s="15" t="inlineStr">
        <is>
          <t>TC-B1-0244</t>
        </is>
      </c>
      <c r="B245" s="16" t="inlineStr">
        <is>
          <t>TS-B1-203</t>
        </is>
      </c>
      <c r="C245" s="16" t="inlineStr">
        <is>
          <t>Acct Dashboard Non-Financing</t>
        </is>
      </c>
      <c r="D245" s="16" t="inlineStr">
        <is>
          <t>Dashboard — Deposits</t>
        </is>
      </c>
      <c r="E245" s="16" t="inlineStr">
        <is>
          <t>Validate Step 15 — 1.2.6 Global Access Account Details for Global Access Account — multicurrency IDR-base</t>
        </is>
      </c>
      <c r="F245" s="16" t="inlineStr">
        <is>
          <t>UI / Functional</t>
        </is>
      </c>
      <c r="G245" s="16" t="inlineStr">
        <is>
          <t>High</t>
        </is>
      </c>
      <c r="H245" s="16" t="inlineStr">
        <is>
          <t>Eligible user and product are available. Trigger the stated condition: Step 15 — Transactions / Manage tabs (no Summary tab); My Currencies section (IDR base, FCY buckets sorted by IDR first then latest transacted); Add New Currency; View All if &gt;5 currencies; Quick Actions: Convert Currency, Transfer (local/overseas), Currency Calculator, Exchange Rates, View Statements; Manage: Add/Edit Nickname, Set as Primary, Auto Sweep, Manage Linked Card, Block Account</t>
        </is>
      </c>
      <c r="I245" s="16"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45" s="16" t="inlineStr">
        <is>
          <t>1. Open Global Access Account — multicurrency IDR-base.
2. Navigate to Step 15 — 1.2.6 Global Access Account Details.
3. Perform the action or trigger described by: Step 15 — Transactions / Manage tabs (no Summary tab); My Currencies section (IDR base, FCY buckets sorted by IDR first then latest transacted); Add New Currency; View All if &gt;5 currencies; Quick Actions: Convert Currency, Transfer (local/overseas), Currency Calculator, Exchange Rates, View Statements; Manage: Add/Edit Nickname, Set as Primary, Auto Sweep, Manage Linked Card, Block Account.
4. Observe the page, validation, navigation, and resulting state.</t>
        </is>
      </c>
      <c r="K245" s="16" t="inlineStr">
        <is>
          <t>Step 15 — 1.2.6 Global Access Account Details behaves according to the mapped requirement (Step 15 — Transactions / Manage tabs (no Summary tab); My Currencies section (IDR base, FCY buckets sorted by IDR first then latest transacted); Add New Currency; View All if &gt;5 currencies; Quick Actions: Convert Currency, Transfer (local/overseas), Currency Calculator, Exchange Rates, View Statements; Manage: Add/Edit Nickname, Set as Primary, Auto Sweep, Manage Linked Card, Block Account); data, controls, navigation, and status are accurate and consistent.</t>
        </is>
      </c>
      <c r="L245" s="16" t="inlineStr">
        <is>
          <t>L3 direct access; S2U required for: Remove Currency (with balance), Manage Linked Card, Block Account</t>
        </is>
      </c>
      <c r="M245" s="16" t="inlineStr">
        <is>
          <t>Account details displayed; currency buckets displayed; S2U success / unsuccessful / authorisation failed for Remove Currency, Manage Linked Card, Block Account</t>
        </is>
      </c>
      <c r="N245" s="16" t="inlineStr">
        <is>
          <t>Acct Dashboard Non-Financing!A24:G24</t>
        </is>
      </c>
      <c r="O245" s="16" t="inlineStr">
        <is>
          <t>Not Run</t>
        </is>
      </c>
      <c r="P245" s="16" t="n"/>
      <c r="Q245" s="16" t="n"/>
      <c r="R245" s="17" t="inlineStr">
        <is>
          <t>Conditional coverage required.</t>
        </is>
      </c>
      <c r="S245" s="19" t="inlineStr">
        <is>
          <t>Loan API Design</t>
        </is>
      </c>
      <c r="T245" s="19" t="inlineStr">
        <is>
          <t>Loan transaction history</t>
        </is>
      </c>
      <c r="U245" s="19" t="inlineStr">
        <is>
          <t>GET</t>
        </is>
      </c>
      <c r="V245" s="19" t="inlineStr">
        <is>
          <t>/v1/external/accounts/account-type/{accountType}/account-id/{accountId}/transactions</t>
        </is>
      </c>
      <c r="W245" s="19" t="inlineStr">
        <is>
          <t>info-loan</t>
        </is>
      </c>
      <c r="X245" s="19" t="inlineStr">
        <is>
          <t>ECLIPSE_Account Dashboard_Loan_DDD_API_Design_v1_Workshop.xlsx</t>
        </is>
      </c>
      <c r="Y245" s="19" t="inlineStr">
        <is>
          <t>1.2 Personal Loan Acc
1.2.4 PL Shariah Acc
1.3 Auto Loan Acc
1.3.1 Auto Loan Shariah
1.4 Mortgage Loan Acc
1.4.1 Mortgage Loan Shariah</t>
        </is>
      </c>
      <c r="Z245" s="19" t="inlineStr">
        <is>
          <t>API_Specs_Index!A4:H4</t>
        </is>
      </c>
      <c r="AA245" s="22" t="inlineStr">
        <is>
          <t>API-027</t>
        </is>
      </c>
      <c r="AB245"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45" s="19" t="inlineStr">
        <is>
          <t>High</t>
        </is>
      </c>
      <c r="AD245" s="19" t="inlineStr">
        <is>
          <t>Pending ESB Spec</t>
        </is>
      </c>
    </row>
    <row r="246" ht="409.6" customHeight="1" s="2">
      <c r="A246" s="12" t="inlineStr">
        <is>
          <t>TC-B1-0245</t>
        </is>
      </c>
      <c r="B246" s="13" t="inlineStr">
        <is>
          <t>TS-B1-204</t>
        </is>
      </c>
      <c r="C246" s="13" t="inlineStr">
        <is>
          <t>Acct Dashboard Non-Financing</t>
        </is>
      </c>
      <c r="D246" s="13" t="inlineStr">
        <is>
          <t>Dashboard — Deposits</t>
        </is>
      </c>
      <c r="E246" s="13" t="inlineStr">
        <is>
          <t>Validate Step 16 — 1.2.6.1 Add Currency for Global Access Account — multicurrency IDR-base</t>
        </is>
      </c>
      <c r="F246" s="13" t="inlineStr">
        <is>
          <t>UI / Functional</t>
        </is>
      </c>
      <c r="G246" s="13" t="inlineStr">
        <is>
          <t>Medium</t>
        </is>
      </c>
      <c r="H246" s="13" t="inlineStr">
        <is>
          <t>Eligible user and product are available. Trigger the stated condition: Step 16 — Add Currency drawer from GAA Account Details; search by currency code/name/alias (min 2 chars); top 5 traded displayed first; only unadded currencies shown; on selection: currency added at end of My Currencies list, snackbar "Currency added"</t>
        </is>
      </c>
      <c r="I246" s="13"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46" s="13" t="inlineStr">
        <is>
          <t>1. Open Global Access Account — multicurrency IDR-base.
2. Navigate to Step 16 — 1.2.6.1 Add Currency.
3. Perform the action or trigger described by: Step 16 — Add Currency drawer from GAA Account Details; search by currency code/name/alias (min 2 chars); top 5 traded displayed first; only unadded currencies shown; on selection: currency added at end of My Currencies list, snackbar "Currency added".
4. Observe the page, validation, navigation, and resulting state.</t>
        </is>
      </c>
      <c r="K246" s="13" t="inlineStr">
        <is>
          <t>Step 16 — 1.2.6.1 Add Currency behaves according to the mapped requirement (Step 16 — Add Currency drawer from GAA Account Details; search by currency code/name/alias (min 2 chars); top 5 traded displayed first; only unadded currencies shown; on selection: currency added at end of My Currencies list, snackbar "Currency added"); data, controls, navigation, and status are accurate and consistent.</t>
        </is>
      </c>
      <c r="L246" s="13" t="inlineStr">
        <is>
          <t>L3 direct access; S2U required for: Remove Currency (with balance), Manage Linked Card, Block Account</t>
        </is>
      </c>
      <c r="M246" s="13" t="inlineStr">
        <is>
          <t>Account details displayed; currency buckets displayed; S2U success / unsuccessful / authorisation failed for Remove Currency, Manage Linked Card, Block Account</t>
        </is>
      </c>
      <c r="N246" s="13" t="inlineStr">
        <is>
          <t>Acct Dashboard Non-Financing!A25:G25</t>
        </is>
      </c>
      <c r="O246" s="13" t="inlineStr">
        <is>
          <t>Not Run</t>
        </is>
      </c>
      <c r="P246" s="13" t="n"/>
      <c r="Q246" s="13" t="n"/>
      <c r="R246" s="14" t="inlineStr">
        <is>
          <t>Conditional coverage required.</t>
        </is>
      </c>
      <c r="S246" s="19" t="inlineStr">
        <is>
          <t>Loan API Design</t>
        </is>
      </c>
      <c r="T246" s="19" t="inlineStr">
        <is>
          <t>Loan dashboard</t>
        </is>
      </c>
      <c r="U246" s="19" t="inlineStr">
        <is>
          <t>GET</t>
        </is>
      </c>
      <c r="V246" s="19" t="inlineStr">
        <is>
          <t>/v1/external/accounts?accountGroup={accountGroup}</t>
        </is>
      </c>
      <c r="W246" s="19" t="inlineStr">
        <is>
          <t>dep-dashboard</t>
        </is>
      </c>
      <c r="X246" s="19" t="inlineStr">
        <is>
          <t>ECLIPSE_Account Dashboard_Loan_DDD_API_Design_v1_Workshop.xlsx</t>
        </is>
      </c>
      <c r="Y246" s="19" t="inlineStr">
        <is>
          <t>1.1 Loan Dashboard - Landing</t>
        </is>
      </c>
      <c r="Z246" s="19" t="inlineStr">
        <is>
          <t>API_Specs_Index!A2:H2</t>
        </is>
      </c>
      <c r="AA246" s="22" t="inlineStr">
        <is>
          <t>API-026</t>
        </is>
      </c>
      <c r="AB246" s="19" t="inlineStr">
        <is>
          <t>Mapped to Loan dashboard because the test case terms align with the 1.1 Loan Dashboard - Landing journey in the applicable API specification.</t>
        </is>
      </c>
      <c r="AC246" s="19" t="inlineStr">
        <is>
          <t>Medium</t>
        </is>
      </c>
      <c r="AD246" s="19" t="inlineStr">
        <is>
          <t>When user tap "Loan/Financing" tab and screen is loaded getDashboard dep-dashboard GET /v1/external/accounts?featureType={featureType} example : /v1/external/accounts?featureType=DASHBOARD_LOAN { "status": 200, "message": "Request processed succes...</t>
        </is>
      </c>
    </row>
    <row r="247" ht="409.6" customHeight="1" s="2">
      <c r="A247" s="15" t="inlineStr">
        <is>
          <t>TC-B1-0246</t>
        </is>
      </c>
      <c r="B247" s="16" t="inlineStr">
        <is>
          <t>TS-B1-205</t>
        </is>
      </c>
      <c r="C247" s="16" t="inlineStr">
        <is>
          <t>Acct Dashboard Non-Financing</t>
        </is>
      </c>
      <c r="D247" s="16" t="inlineStr">
        <is>
          <t>Dashboard — Deposits</t>
        </is>
      </c>
      <c r="E247" s="16" t="inlineStr">
        <is>
          <t>Validate Step 17 — 1.2.6.2 View Currency Details for Global Access Account — multicurrency IDR-base</t>
        </is>
      </c>
      <c r="F247" s="16" t="inlineStr">
        <is>
          <t>UI / Functional</t>
        </is>
      </c>
      <c r="G247" s="16" t="inlineStr">
        <is>
          <t>Medium</t>
        </is>
      </c>
      <c r="H247" s="16" t="inlineStr">
        <is>
          <t>Eligible user and product are available. User has reached the preceding journey step.</t>
        </is>
      </c>
      <c r="I247" s="16"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47" s="16" t="inlineStr">
        <is>
          <t>1. Open Global Access Account — multicurrency IDR-base.
2. Navigate to Step 17 — 1.2.6.2 View Currency Details.
3. Perform the action or trigger described by: Step 17 — Currency Details screen per currency; currency chevron to switch; Transactions / Summary tabs (IDR: no Manage tab; FCY: Transactions / Summary / Manage tabs); Balance per currency; Account Balance drawer; Quick Actions per currency.
4. Observe the page, validation, navigation, and resulting state.</t>
        </is>
      </c>
      <c r="K247" s="16" t="inlineStr">
        <is>
          <t>Step 17 — 1.2.6.2 View Currency Details behaves according to the mapped requirement (Step 17 — Currency Details screen per currency; currency chevron to switch; Transactions / Summary tabs (IDR: no Manage tab; FCY: Transactions / Summary / Manage tabs); Balance per currency; Account Balance drawer; Quick Actions per currency); data, controls, navigation, and status are accurate and consistent.</t>
        </is>
      </c>
      <c r="L247" s="16" t="inlineStr">
        <is>
          <t>L3 direct access; S2U required for: Remove Currency (with balance), Manage Linked Card, Block Account</t>
        </is>
      </c>
      <c r="M247" s="16" t="inlineStr">
        <is>
          <t>Account details displayed; currency buckets displayed; S2U success / unsuccessful / authorisation failed for Remove Currency, Manage Linked Card, Block Account</t>
        </is>
      </c>
      <c r="N247" s="16" t="inlineStr">
        <is>
          <t>Acct Dashboard Non-Financing!A26:G26</t>
        </is>
      </c>
      <c r="O247" s="16" t="inlineStr">
        <is>
          <t>Not Run</t>
        </is>
      </c>
      <c r="P247" s="16" t="n"/>
      <c r="Q247" s="16" t="n"/>
      <c r="R247" s="17" t="n"/>
      <c r="S247" s="19" t="inlineStr">
        <is>
          <t>Loan API Design</t>
        </is>
      </c>
      <c r="T247" s="19" t="inlineStr">
        <is>
          <t>View all transaction history</t>
        </is>
      </c>
      <c r="U247" s="19" t="inlineStr">
        <is>
          <t>GET</t>
        </is>
      </c>
      <c r="V247" s="19" t="inlineStr">
        <is>
          <t>/v1/external/accounts/account-type/{accountType}/account-id/{accountId}/transactions?startDate={startDate}&amp;endDate={endDate}&amp;page={page}&amp;limit={limit}</t>
        </is>
      </c>
      <c r="W247" s="19" t="inlineStr">
        <is>
          <t>info-loan</t>
        </is>
      </c>
      <c r="X247" s="19" t="inlineStr">
        <is>
          <t>ECLIPSE_Account Dashboard_Loan_DDD_API_Design_v1_Workshop.xlsx</t>
        </is>
      </c>
      <c r="Y247" s="19" t="inlineStr">
        <is>
          <t>1.2.1 View All Trans</t>
        </is>
      </c>
      <c r="Z247" s="19" t="inlineStr">
        <is>
          <t>API_Specs_Index!A5:H5</t>
        </is>
      </c>
      <c r="AA247" s="22" t="inlineStr">
        <is>
          <t>API-028</t>
        </is>
      </c>
      <c r="AB247" s="19" t="inlineStr">
        <is>
          <t>Mapped to View all transaction history because the test case terms align with the 1.2.1 View All Trans journey in the applicable API specification.</t>
        </is>
      </c>
      <c r="AC247" s="19" t="inlineStr">
        <is>
          <t>High</t>
        </is>
      </c>
      <c r="AD247"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248" ht="409.6" customHeight="1" s="2">
      <c r="A248" s="12" t="inlineStr">
        <is>
          <t>TC-B1-0247</t>
        </is>
      </c>
      <c r="B248" s="13" t="inlineStr">
        <is>
          <t>TS-B1-206</t>
        </is>
      </c>
      <c r="C248" s="13" t="inlineStr">
        <is>
          <t>Acct Dashboard Non-Financing</t>
        </is>
      </c>
      <c r="D248" s="13" t="inlineStr">
        <is>
          <t>Dashboard — Deposits</t>
        </is>
      </c>
      <c r="E248" s="13" t="inlineStr">
        <is>
          <t>Validate Step 18 — 1.2.6.3 Remove Currency for Global Access Account — multicurrency IDR-base</t>
        </is>
      </c>
      <c r="F248" s="13" t="inlineStr">
        <is>
          <t>Negative</t>
        </is>
      </c>
      <c r="G248" s="13" t="inlineStr">
        <is>
          <t>High</t>
        </is>
      </c>
      <c r="H248" s="13" t="inlineStr">
        <is>
          <t>Eligible user and product are available. Trigger the stated condition: Step 18 — applicable for non-IDR currencies only; if zero balance: remove directly (no S2U); if non-zero balance: Convert Currency flow (S2U required); if linked to Term Savings: blocked with snackbar; currency removal hides bucket (not deleted); conversion fee per RFX module</t>
        </is>
      </c>
      <c r="I248" s="13"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48" s="13" t="inlineStr">
        <is>
          <t>1. Open Global Access Account — multicurrency IDR-base.
2. Navigate to Step 18 — 1.2.6.3 Remove Currency.
3. Perform the action or trigger described by: Step 18 — applicable for non-IDR currencies only; if zero balance: remove directly (no S2U); if non-zero balance: Convert Currency flow (S2U required); if linked to Term Savings: blocked with snackbar; currency removal hides bucket (not deleted); conversion fee per RFX module.
4. Observe the page, validation, navigation, and resulting state.</t>
        </is>
      </c>
      <c r="K248" s="13" t="inlineStr">
        <is>
          <t>Step 18 — 1.2.6.3 Remove Currency behaves according to the mapped requirement (Step 18 — applicable for non-IDR currencies only; if zero balance: remove directly (no S2U); if non-zero balance: Convert Currency flow (S2U required); if linked to Term Savings: blocked with snackbar; currency removal hides bucket (not deleted); conversion fee per RFX module); data, controls, navigation, and status are accurate and consistent.</t>
        </is>
      </c>
      <c r="L248" s="13" t="inlineStr">
        <is>
          <t>L3 direct access; S2U required for: Remove Currency (with balance), Manage Linked Card, Block Account</t>
        </is>
      </c>
      <c r="M248" s="13" t="inlineStr">
        <is>
          <t>Account details displayed; currency buckets displayed; S2U success / unsuccessful / authorisation failed for Remove Currency, Manage Linked Card, Block Account</t>
        </is>
      </c>
      <c r="N248" s="13" t="inlineStr">
        <is>
          <t>Acct Dashboard Non-Financing!A27:G27</t>
        </is>
      </c>
      <c r="O248" s="13" t="inlineStr">
        <is>
          <t>Not Run</t>
        </is>
      </c>
      <c r="P248" s="13" t="n"/>
      <c r="Q248" s="13" t="n"/>
      <c r="R248" s="14" t="inlineStr">
        <is>
          <t>Conditional coverage required.</t>
        </is>
      </c>
      <c r="S248" s="19" t="inlineStr">
        <is>
          <t>Loan API Design</t>
        </is>
      </c>
      <c r="T248" s="19" t="inlineStr">
        <is>
          <t>Loan dashboard</t>
        </is>
      </c>
      <c r="U248" s="19" t="inlineStr">
        <is>
          <t>GET</t>
        </is>
      </c>
      <c r="V248" s="19" t="inlineStr">
        <is>
          <t>/v1/external/accounts?accountGroup={accountGroup}</t>
        </is>
      </c>
      <c r="W248" s="19" t="inlineStr">
        <is>
          <t>dep-dashboard</t>
        </is>
      </c>
      <c r="X248" s="19" t="inlineStr">
        <is>
          <t>ECLIPSE_Account Dashboard_Loan_DDD_API_Design_v1_Workshop.xlsx</t>
        </is>
      </c>
      <c r="Y248" s="19" t="inlineStr">
        <is>
          <t>1.1 Loan Dashboard - Landing</t>
        </is>
      </c>
      <c r="Z248" s="19" t="inlineStr">
        <is>
          <t>API_Specs_Index!A2:H2</t>
        </is>
      </c>
      <c r="AA248" s="22" t="inlineStr">
        <is>
          <t>API-026</t>
        </is>
      </c>
      <c r="AB248" s="19" t="inlineStr">
        <is>
          <t>Mapped to Loan dashboard because the test case terms align with the 1.1 Loan Dashboard - Landing journey in the applicable API specification.</t>
        </is>
      </c>
      <c r="AC248" s="19" t="inlineStr">
        <is>
          <t>Medium</t>
        </is>
      </c>
      <c r="AD248" s="19" t="inlineStr">
        <is>
          <t>When user tap "Loan/Financing" tab and screen is loaded getDashboard dep-dashboard GET /v1/external/accounts?featureType={featureType} example : /v1/external/accounts?featureType=DASHBOARD_LOAN { "status": 200, "message": "Request processed succes...</t>
        </is>
      </c>
    </row>
    <row r="249" ht="409.6" customHeight="1" s="2">
      <c r="A249" s="15" t="inlineStr">
        <is>
          <t>TC-B1-0248</t>
        </is>
      </c>
      <c r="B249" s="16" t="inlineStr">
        <is>
          <t>TS-B1-207</t>
        </is>
      </c>
      <c r="C249" s="16" t="inlineStr">
        <is>
          <t>Acct Dashboard Non-Financing</t>
        </is>
      </c>
      <c r="D249" s="16" t="inlineStr">
        <is>
          <t>Dashboard — Deposits</t>
        </is>
      </c>
      <c r="E249" s="16" t="inlineStr">
        <is>
          <t>Validate ViewAllTrans — Transaction History Display Rule for Global Access Account — multicurrency IDR-base</t>
        </is>
      </c>
      <c r="F249" s="16" t="inlineStr">
        <is>
          <t>UI / Functional</t>
        </is>
      </c>
      <c r="G249" s="16" t="inlineStr">
        <is>
          <t>Medium</t>
        </is>
      </c>
      <c r="H249" s="16" t="inlineStr">
        <is>
          <t>Eligible user and product are available. User has reached the preceding journey step.</t>
        </is>
      </c>
      <c r="I249" s="16"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49" s="16" t="inlineStr">
        <is>
          <t>1. Open Global Access Account — multicurrency IDR-base.
2. Navigate to ViewAllTrans — Transaction History Display Rule.
3. Perform the action or trigger described by: Transactions tab: latest 10; YTD + last 2 years; all currencies shown regardless of currency; ViewAllTrans via sticky hyperlink (appears after first scroll).
4. Observe the page, validation, navigation, and resulting state.</t>
        </is>
      </c>
      <c r="K249" s="16" t="inlineStr">
        <is>
          <t>ViewAllTrans — Transaction History Display Rule behaves according to the mapped requirement (Transactions tab: latest 10; YTD + last 2 years; all currencies shown regardless of currency; ViewAllTrans via sticky hyperlink (appears after first scroll)); data, controls, navigation, and status are accurate and consistent.</t>
        </is>
      </c>
      <c r="L249" s="16" t="inlineStr">
        <is>
          <t>L3 direct access; S2U required for: Remove Currency (with balance), Manage Linked Card, Block Account</t>
        </is>
      </c>
      <c r="M249" s="16" t="inlineStr">
        <is>
          <t>Account details displayed; currency buckets displayed; S2U success / unsuccessful / authorisation failed for Remove Currency, Manage Linked Card, Block Account</t>
        </is>
      </c>
      <c r="N249" s="16" t="inlineStr">
        <is>
          <t>Acct Dashboard Non-Financing!A40:G40</t>
        </is>
      </c>
      <c r="O249" s="16" t="inlineStr">
        <is>
          <t>Not Run</t>
        </is>
      </c>
      <c r="P249" s="16" t="n"/>
      <c r="Q249" s="16" t="n"/>
      <c r="R249" s="17" t="n"/>
      <c r="S249" s="19" t="inlineStr">
        <is>
          <t>Loan API Design</t>
        </is>
      </c>
      <c r="T249" s="19" t="inlineStr">
        <is>
          <t>Loan transaction history</t>
        </is>
      </c>
      <c r="U249" s="19" t="inlineStr">
        <is>
          <t>GET</t>
        </is>
      </c>
      <c r="V249" s="19" t="inlineStr">
        <is>
          <t>/v1/external/accounts/account-type/{accountType}/account-id/{accountId}/transactions</t>
        </is>
      </c>
      <c r="W249" s="19" t="inlineStr">
        <is>
          <t>info-loan</t>
        </is>
      </c>
      <c r="X249" s="19" t="inlineStr">
        <is>
          <t>ECLIPSE_Account Dashboard_Loan_DDD_API_Design_v1_Workshop.xlsx</t>
        </is>
      </c>
      <c r="Y249" s="19" t="inlineStr">
        <is>
          <t>1.2 Personal Loan Acc
1.2.4 PL Shariah Acc
1.3 Auto Loan Acc
1.3.1 Auto Loan Shariah
1.4 Mortgage Loan Acc
1.4.1 Mortgage Loan Shariah</t>
        </is>
      </c>
      <c r="Z249" s="19" t="inlineStr">
        <is>
          <t>API_Specs_Index!A4:H4</t>
        </is>
      </c>
      <c r="AA249" s="22" t="inlineStr">
        <is>
          <t>API-027</t>
        </is>
      </c>
      <c r="AB249"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49" s="19" t="inlineStr">
        <is>
          <t>High</t>
        </is>
      </c>
      <c r="AD249" s="19" t="inlineStr">
        <is>
          <t>Pending ESB Spec</t>
        </is>
      </c>
    </row>
    <row r="250" ht="409.6" customHeight="1" s="2">
      <c r="A250" s="12" t="inlineStr">
        <is>
          <t>TC-B1-0249</t>
        </is>
      </c>
      <c r="B250" s="13" t="inlineStr">
        <is>
          <t>TS-B1-208</t>
        </is>
      </c>
      <c r="C250" s="13" t="inlineStr">
        <is>
          <t>Acct Dashboard Non-Financing</t>
        </is>
      </c>
      <c r="D250" s="13" t="inlineStr">
        <is>
          <t>Dashboard — Deposits</t>
        </is>
      </c>
      <c r="E250" s="13" t="inlineStr">
        <is>
          <t>Validate Joint-AND Account Restrictions for Global Access Account — multicurrency IDR-base</t>
        </is>
      </c>
      <c r="F250" s="13" t="inlineStr">
        <is>
          <t>Functional</t>
        </is>
      </c>
      <c r="G250" s="13" t="inlineStr">
        <is>
          <t>Medium</t>
        </is>
      </c>
      <c r="H250" s="13" t="inlineStr">
        <is>
          <t>Eligible user and product are available. User has reached the preceding journey step.</t>
        </is>
      </c>
      <c r="I250" s="13"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50" s="13" t="inlineStr">
        <is>
          <t>1. Open Global Access Account — multicurrency IDR-base.
2. Navigate to Joint-AND Account Restrictions.
3. Perform the action or trigger described by: Joint-AND restrictions apply same as CASA per NGBO config.
4. Observe the page, validation, navigation, and resulting state.</t>
        </is>
      </c>
      <c r="K250" s="13" t="inlineStr">
        <is>
          <t>Joint-AND Account Restrictions behaves according to the mapped requirement (Joint-AND restrictions apply same as CASA per NGBO config); data, controls, navigation, and status are accurate and consistent.</t>
        </is>
      </c>
      <c r="L250" s="13" t="inlineStr">
        <is>
          <t>L3 direct access; S2U required for: Remove Currency (with balance), Manage Linked Card, Block Account</t>
        </is>
      </c>
      <c r="M250" s="13" t="inlineStr">
        <is>
          <t>Account details displayed; currency buckets displayed; S2U success / unsuccessful / authorisation failed for Remove Currency, Manage Linked Card, Block Account</t>
        </is>
      </c>
      <c r="N250" s="13" t="inlineStr">
        <is>
          <t>Acct Dashboard Non-Financing!A42:G42</t>
        </is>
      </c>
      <c r="O250" s="13" t="inlineStr">
        <is>
          <t>Not Run</t>
        </is>
      </c>
      <c r="P250" s="13" t="n"/>
      <c r="Q250" s="13" t="n"/>
      <c r="R250" s="14" t="n"/>
      <c r="S250" s="19" t="inlineStr">
        <is>
          <t>Loan API Design</t>
        </is>
      </c>
      <c r="T250" s="19" t="inlineStr">
        <is>
          <t>Loan dashboard</t>
        </is>
      </c>
      <c r="U250" s="19" t="inlineStr">
        <is>
          <t>GET</t>
        </is>
      </c>
      <c r="V250" s="19" t="inlineStr">
        <is>
          <t>/v1/external/accounts?accountGroup={accountGroup}</t>
        </is>
      </c>
      <c r="W250" s="19" t="inlineStr">
        <is>
          <t>dep-dashboard</t>
        </is>
      </c>
      <c r="X250" s="19" t="inlineStr">
        <is>
          <t>ECLIPSE_Account Dashboard_Loan_DDD_API_Design_v1_Workshop.xlsx</t>
        </is>
      </c>
      <c r="Y250" s="19" t="inlineStr">
        <is>
          <t>1.1 Loan Dashboard - Landing</t>
        </is>
      </c>
      <c r="Z250" s="19" t="inlineStr">
        <is>
          <t>API_Specs_Index!A2:H2</t>
        </is>
      </c>
      <c r="AA250" s="22" t="inlineStr">
        <is>
          <t>API-026</t>
        </is>
      </c>
      <c r="AB250" s="19" t="inlineStr">
        <is>
          <t>Mapped to Loan dashboard because the test case terms align with the 1.1 Loan Dashboard - Landing journey in the applicable API specification.</t>
        </is>
      </c>
      <c r="AC250" s="19" t="inlineStr">
        <is>
          <t>Medium</t>
        </is>
      </c>
      <c r="AD250" s="19" t="inlineStr">
        <is>
          <t>When user tap "Loan/Financing" tab and screen is loaded getDashboard dep-dashboard GET /v1/external/accounts?featureType={featureType} example : /v1/external/accounts?featureType=DASHBOARD_LOAN { "status": 200, "message": "Request processed succes...</t>
        </is>
      </c>
    </row>
    <row r="251" ht="409.6" customHeight="1" s="2">
      <c r="A251" s="15" t="inlineStr">
        <is>
          <t>TC-B1-0250</t>
        </is>
      </c>
      <c r="B251" s="16" t="inlineStr">
        <is>
          <t>TS-B1-209</t>
        </is>
      </c>
      <c r="C251" s="16" t="inlineStr">
        <is>
          <t>Acct Dashboard Non-Financing</t>
        </is>
      </c>
      <c r="D251" s="16" t="inlineStr">
        <is>
          <t>Dashboard — Deposits</t>
        </is>
      </c>
      <c r="E251" s="16" t="inlineStr">
        <is>
          <t>Validate Business Profile / IBO Disclaimer for Global Access Account — multicurrency IDR-base</t>
        </is>
      </c>
      <c r="F251" s="16" t="inlineStr">
        <is>
          <t>Functional</t>
        </is>
      </c>
      <c r="G251" s="16" t="inlineStr">
        <is>
          <t>Medium</t>
        </is>
      </c>
      <c r="H251" s="16" t="inlineStr">
        <is>
          <t>Eligible user and product are available. Trigger the stated condition: Not applicable</t>
        </is>
      </c>
      <c r="I251" s="16"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51" s="16" t="inlineStr">
        <is>
          <t>1. Open Global Access Account — multicurrency IDR-base.
2. Navigate to Business Profile / IBO Disclaimer.
3. Perform the action or trigger described by: Not applicable.
4. Observe the page, validation, navigation, and resulting state.</t>
        </is>
      </c>
      <c r="K251" s="16" t="inlineStr">
        <is>
          <t>Business Profile / IBO Disclaimer behaves according to the mapped requirement (Not applicable); data, controls, navigation, and status are accurate and consistent.</t>
        </is>
      </c>
      <c r="L251" s="16" t="inlineStr">
        <is>
          <t>L3 direct access; S2U required for: Remove Currency (with balance), Manage Linked Card, Block Account</t>
        </is>
      </c>
      <c r="M251" s="16" t="inlineStr">
        <is>
          <t>Account details displayed; currency buckets displayed; S2U success / unsuccessful / authorisation failed for Remove Currency, Manage Linked Card, Block Account</t>
        </is>
      </c>
      <c r="N251" s="16" t="inlineStr">
        <is>
          <t>Acct Dashboard Non-Financing!A43:G43</t>
        </is>
      </c>
      <c r="O251" s="16" t="inlineStr">
        <is>
          <t>Not Run</t>
        </is>
      </c>
      <c r="P251" s="16" t="n"/>
      <c r="Q251" s="16" t="n"/>
      <c r="R251" s="17" t="inlineStr">
        <is>
          <t>Conditional coverage required.</t>
        </is>
      </c>
      <c r="S251" s="19" t="inlineStr">
        <is>
          <t>Loan API Design</t>
        </is>
      </c>
      <c r="T251" s="19" t="inlineStr">
        <is>
          <t>Loan dashboard</t>
        </is>
      </c>
      <c r="U251" s="19" t="inlineStr">
        <is>
          <t>GET</t>
        </is>
      </c>
      <c r="V251" s="19" t="inlineStr">
        <is>
          <t>/v1/external/accounts?accountGroup={accountGroup}</t>
        </is>
      </c>
      <c r="W251" s="19" t="inlineStr">
        <is>
          <t>dep-dashboard</t>
        </is>
      </c>
      <c r="X251" s="19" t="inlineStr">
        <is>
          <t>ECLIPSE_Account Dashboard_Loan_DDD_API_Design_v1_Workshop.xlsx</t>
        </is>
      </c>
      <c r="Y251" s="19" t="inlineStr">
        <is>
          <t>1.1 Loan Dashboard - Landing</t>
        </is>
      </c>
      <c r="Z251" s="19" t="inlineStr">
        <is>
          <t>API_Specs_Index!A2:H2</t>
        </is>
      </c>
      <c r="AA251" s="22" t="inlineStr">
        <is>
          <t>API-026</t>
        </is>
      </c>
      <c r="AB251" s="19" t="inlineStr">
        <is>
          <t>Mapped to Loan dashboard because the test case terms align with the 1.1 Loan Dashboard - Landing journey in the applicable API specification.</t>
        </is>
      </c>
      <c r="AC251" s="19" t="inlineStr">
        <is>
          <t>Medium</t>
        </is>
      </c>
      <c r="AD251" s="19" t="inlineStr">
        <is>
          <t>When user tap "Loan/Financing" tab and screen is loaded getDashboard dep-dashboard GET /v1/external/accounts?featureType={featureType} example : /v1/external/accounts?featureType=DASHBOARD_LOAN { "status": 200, "message": "Request processed succes...</t>
        </is>
      </c>
    </row>
    <row r="252" ht="409.6" customHeight="1" s="2">
      <c r="A252" s="12" t="inlineStr">
        <is>
          <t>TC-B1-0251</t>
        </is>
      </c>
      <c r="B252" s="13" t="inlineStr">
        <is>
          <t>TS-B1-210</t>
        </is>
      </c>
      <c r="C252" s="13" t="inlineStr">
        <is>
          <t>Acct Dashboard Non-Financing</t>
        </is>
      </c>
      <c r="D252" s="13" t="inlineStr">
        <is>
          <t>Dashboard — Deposits</t>
        </is>
      </c>
      <c r="E252" s="13" t="inlineStr">
        <is>
          <t>Validate External FSD References for Global Access Account — multicurrency IDR-base</t>
        </is>
      </c>
      <c r="F252" s="13" t="inlineStr">
        <is>
          <t>Functional</t>
        </is>
      </c>
      <c r="G252" s="13" t="inlineStr">
        <is>
          <t>High</t>
        </is>
      </c>
      <c r="H252" s="13" t="inlineStr">
        <is>
          <t>Eligible user and product are available. User has reached the preceding journey step.</t>
        </is>
      </c>
      <c r="I252" s="13"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52" s="13" t="inlineStr">
        <is>
          <t>1. Open Global Access Account — multicurrency IDR-base.
2. Navigate to External FSD References.
3. Perform the action or trigger described by: Add/Edit Nickname: refer to AD Common FSD; Set as Primary: refer to AD Common FSD; Auto Sweep: refer to AD Common FSD; Manage Linked Card: refer to 1.2.1.3; Block Account: refer to 1.2.1.4; View Statements: refer to Document FSD.
4. Observe the page, validation, navigation, and resulting state.</t>
        </is>
      </c>
      <c r="K252" s="13" t="inlineStr">
        <is>
          <t>External FSD References behaves according to the mapped requirement (Add/Edit Nickname: refer to AD Common FSD; Set as Primary: refer to AD Common FSD; Auto Sweep: refer to AD Common FSD; Manage Linked Card: refer to 1.2.1.3; Block Account: refer to 1.2.1.4; View Statements: refer to Document FSD); data, controls, navigation, and status are accurate and consistent.</t>
        </is>
      </c>
      <c r="L252" s="13" t="inlineStr">
        <is>
          <t>L3 direct access; S2U required for: Remove Currency (with balance), Manage Linked Card, Block Account</t>
        </is>
      </c>
      <c r="M252" s="13" t="inlineStr">
        <is>
          <t>Account details displayed; currency buckets displayed; S2U success / unsuccessful / authorisation failed for Remove Currency, Manage Linked Card, Block Account</t>
        </is>
      </c>
      <c r="N252" s="13" t="inlineStr">
        <is>
          <t>Acct Dashboard Non-Financing!A45:G45</t>
        </is>
      </c>
      <c r="O252" s="13" t="inlineStr">
        <is>
          <t>Not Run</t>
        </is>
      </c>
      <c r="P252" s="13" t="n"/>
      <c r="Q252" s="13" t="n"/>
      <c r="R252" s="14" t="n"/>
      <c r="S252" s="19" t="inlineStr">
        <is>
          <t>Loan API Design</t>
        </is>
      </c>
      <c r="T252" s="19" t="inlineStr">
        <is>
          <t>Add loan nickname</t>
        </is>
      </c>
      <c r="U252" s="19" t="inlineStr">
        <is>
          <t>POST</t>
        </is>
      </c>
      <c r="V252" s="19" t="inlineStr">
        <is>
          <t>/v1/external/accounts/nickname</t>
        </is>
      </c>
      <c r="W252" s="19" t="inlineStr">
        <is>
          <t>info-loan</t>
        </is>
      </c>
      <c r="X252" s="19" t="inlineStr">
        <is>
          <t>ECLIPSE_Account Dashboard_Loan_DDD_API_Design_v1_Workshop.xlsx</t>
        </is>
      </c>
      <c r="Y252" s="19" t="inlineStr">
        <is>
          <t>1.2.3 PL Convent Manage
1.2.6 PL Shariah Manage
1.3 Auto Loan Acc
1.3.1 Auto Loan Shariah
1.4 Mortgage Loan Acc
1.4.1 Mortgage Loan Shariah</t>
        </is>
      </c>
      <c r="Z252" s="19" t="inlineStr">
        <is>
          <t>API_Specs_Index!A10:H10</t>
        </is>
      </c>
      <c r="AA252" s="22" t="inlineStr">
        <is>
          <t>API-030</t>
        </is>
      </c>
      <c r="AB252" s="19" t="inlineStr">
        <is>
          <t>Mapped to Add loan nickname because the test case terms align with the 1.2.3 PL Convent Manage
1.2.6 PL Shariah Manage
1.3 Auto Loan Acc
1.3.1 Auto Loan Shariah
1.4 Mortgage Loan Acc
1.4.1 Mortgage Loan Shariah journey in the applicable API specification.</t>
        </is>
      </c>
      <c r="AC252" s="19" t="inlineStr">
        <is>
          <t>High</t>
        </is>
      </c>
      <c r="AD252" s="19" t="inlineStr">
        <is>
          <t>No additional validation notes were documented in the source index.</t>
        </is>
      </c>
    </row>
    <row r="253" ht="409.6" customHeight="1" s="2">
      <c r="A253" s="15" t="inlineStr">
        <is>
          <t>TC-B1-0252</t>
        </is>
      </c>
      <c r="B253" s="16" t="inlineStr">
        <is>
          <t>TS-B1-211</t>
        </is>
      </c>
      <c r="C253" s="16" t="inlineStr">
        <is>
          <t>Acct Dashboard Non-Financing</t>
        </is>
      </c>
      <c r="D253" s="16" t="inlineStr">
        <is>
          <t>Dashboard — Deposits</t>
        </is>
      </c>
      <c r="E253" s="16" t="inlineStr">
        <is>
          <t>Validate successful final state for Global Access Account — multicurrency IDR-base</t>
        </is>
      </c>
      <c r="F253" s="16" t="inlineStr">
        <is>
          <t>Positive</t>
        </is>
      </c>
      <c r="G253" s="16" t="inlineStr">
        <is>
          <t>High</t>
        </is>
      </c>
      <c r="H253" s="16" t="inlineStr">
        <is>
          <t>All required inputs and services are valid. Expected statuses: Account details displayed; currency buckets displayed; S2U success / unsuccessful / authorisation failed for Remove Currency, Manage Linked Card, Block Account</t>
        </is>
      </c>
      <c r="I253" s="16"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53" s="16" t="inlineStr">
        <is>
          <t>1. Complete the end-to-end journey with valid data.
2. Submit/confirm the final action.
3. Verify result, receipt/notification where applicable, and persisted state.</t>
        </is>
      </c>
      <c r="K253" s="16" t="inlineStr">
        <is>
          <t>A valid success status from the requirement is shown. The transaction or change is applied once, persisted, and reflected on refresh.</t>
        </is>
      </c>
      <c r="L253" s="16" t="inlineStr">
        <is>
          <t>L3 direct access; S2U required for: Remove Currency (with balance), Manage Linked Card, Block Account</t>
        </is>
      </c>
      <c r="M253" s="16" t="inlineStr">
        <is>
          <t>Account details displayed; currency buckets displayed; S2U success / unsuccessful / authorisation failed for Remove Currency, Manage Linked Card, Block Account</t>
        </is>
      </c>
      <c r="N253" s="16" t="inlineStr">
        <is>
          <t>Acct Dashboard Non-Financing!G1:G45</t>
        </is>
      </c>
      <c r="O253" s="16" t="inlineStr">
        <is>
          <t>Not Run</t>
        </is>
      </c>
      <c r="P253" s="16" t="n"/>
      <c r="Q253" s="16" t="n"/>
      <c r="R253" s="17" t="n"/>
      <c r="S253" s="19" t="inlineStr">
        <is>
          <t>Loan API Design</t>
        </is>
      </c>
      <c r="T253" s="19" t="inlineStr">
        <is>
          <t>Loan transaction history</t>
        </is>
      </c>
      <c r="U253" s="19" t="inlineStr">
        <is>
          <t>GET</t>
        </is>
      </c>
      <c r="V253" s="19" t="inlineStr">
        <is>
          <t>/v1/external/accounts/account-type/{accountType}/account-id/{accountId}/transactions</t>
        </is>
      </c>
      <c r="W253" s="19" t="inlineStr">
        <is>
          <t>info-loan</t>
        </is>
      </c>
      <c r="X253" s="19" t="inlineStr">
        <is>
          <t>ECLIPSE_Account Dashboard_Loan_DDD_API_Design_v1_Workshop.xlsx</t>
        </is>
      </c>
      <c r="Y253" s="19" t="inlineStr">
        <is>
          <t>1.2 Personal Loan Acc
1.2.4 PL Shariah Acc
1.3 Auto Loan Acc
1.3.1 Auto Loan Shariah
1.4 Mortgage Loan Acc
1.4.1 Mortgage Loan Shariah</t>
        </is>
      </c>
      <c r="Z253" s="19" t="inlineStr">
        <is>
          <t>API_Specs_Index!A4:H4</t>
        </is>
      </c>
      <c r="AA253" s="22" t="inlineStr">
        <is>
          <t>API-027</t>
        </is>
      </c>
      <c r="AB253"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53" s="19" t="inlineStr">
        <is>
          <t>High</t>
        </is>
      </c>
      <c r="AD253" s="19" t="inlineStr">
        <is>
          <t>Pending ESB Spec</t>
        </is>
      </c>
    </row>
    <row r="254" ht="409.6" customHeight="1" s="2">
      <c r="A254" s="12" t="inlineStr">
        <is>
          <t>TC-B1-0253</t>
        </is>
      </c>
      <c r="B254" s="13" t="inlineStr">
        <is>
          <t>TS-B1-211</t>
        </is>
      </c>
      <c r="C254" s="13" t="inlineStr">
        <is>
          <t>Acct Dashboard Non-Financing</t>
        </is>
      </c>
      <c r="D254" s="13" t="inlineStr">
        <is>
          <t>Dashboard — Deposits</t>
        </is>
      </c>
      <c r="E254" s="13" t="inlineStr">
        <is>
          <t>Validate service failure and retry for Global Access Account — multicurrency IDR-base</t>
        </is>
      </c>
      <c r="F254" s="13" t="inlineStr">
        <is>
          <t>Negative</t>
        </is>
      </c>
      <c r="G254" s="13" t="inlineStr">
        <is>
          <t>High</t>
        </is>
      </c>
      <c r="H254" s="13" t="inlineStr">
        <is>
          <t>Journey is available; simulate a controlled downstream timeout or unsuccessful response. Expected statuses: Account details displayed; currency buckets displayed; S2U success / unsuccessful / authorisation failed for Remove Currency, Manage Linked Card, Block Account</t>
        </is>
      </c>
      <c r="I254" s="13" t="inlineStr">
        <is>
          <t>Account / Card / Policy Type: Active / Inactive / Blocked / Closed GAA; IDR base + FCY buckets; conventional or shariah; product codes 083–086, 341–348; Currency / FCY Criteria: IDR base + configurable FCY per country (NGBO); indicative IDR balances with '≈'; exchange rate from CMS/NGBO</t>
        </is>
      </c>
      <c r="J254" s="13" t="inlineStr">
        <is>
          <t>1. Progress to the final action.
2. Trigger a timeout, unavailable service, or unsuccessful response.
3. Verify the error message and retry behavior.
4. Retry after service recovery.</t>
        </is>
      </c>
      <c r="K254" s="13" t="inlineStr">
        <is>
          <t>No duplicate action occurs. The configured unsuccessful/processing state is shown, retry is safe, and final status becomes consistent after recovery.</t>
        </is>
      </c>
      <c r="L254" s="13" t="inlineStr">
        <is>
          <t>L3 direct access; S2U required for: Remove Currency (with balance), Manage Linked Card, Block Account</t>
        </is>
      </c>
      <c r="M254" s="13" t="inlineStr">
        <is>
          <t>Account details displayed; currency buckets displayed; S2U success / unsuccessful / authorisation failed for Remove Currency, Manage Linked Card, Block Account</t>
        </is>
      </c>
      <c r="N254" s="13" t="inlineStr">
        <is>
          <t>Acct Dashboard Non-Financing!G1:G45</t>
        </is>
      </c>
      <c r="O254" s="13" t="inlineStr">
        <is>
          <t>Not Run</t>
        </is>
      </c>
      <c r="P254" s="13" t="n"/>
      <c r="Q254" s="13" t="n"/>
      <c r="R254" s="14" t="n"/>
      <c r="S254" s="19" t="inlineStr">
        <is>
          <t>Loan API Design</t>
        </is>
      </c>
      <c r="T254" s="19" t="inlineStr">
        <is>
          <t>Loan dashboard</t>
        </is>
      </c>
      <c r="U254" s="19" t="inlineStr">
        <is>
          <t>GET</t>
        </is>
      </c>
      <c r="V254" s="19" t="inlineStr">
        <is>
          <t>/v1/external/accounts?accountGroup={accountGroup}</t>
        </is>
      </c>
      <c r="W254" s="19" t="inlineStr">
        <is>
          <t>dep-dashboard</t>
        </is>
      </c>
      <c r="X254" s="19" t="inlineStr">
        <is>
          <t>ECLIPSE_Account Dashboard_Loan_DDD_API_Design_v1_Workshop.xlsx</t>
        </is>
      </c>
      <c r="Y254" s="19" t="inlineStr">
        <is>
          <t>1.1 Loan Dashboard - Landing</t>
        </is>
      </c>
      <c r="Z254" s="19" t="inlineStr">
        <is>
          <t>API_Specs_Index!A2:H2</t>
        </is>
      </c>
      <c r="AA254" s="22" t="inlineStr">
        <is>
          <t>API-026</t>
        </is>
      </c>
      <c r="AB254" s="19" t="inlineStr">
        <is>
          <t>Mapped to Loan dashboard because the test case terms align with the 1.1 Loan Dashboard - Landing journey in the applicable API specification.</t>
        </is>
      </c>
      <c r="AC254" s="19" t="inlineStr">
        <is>
          <t>Medium</t>
        </is>
      </c>
      <c r="AD254" s="19" t="inlineStr">
        <is>
          <t>When user tap "Loan/Financing" tab and screen is loaded getDashboard dep-dashboard GET /v1/external/accounts?featureType={featureType} example : /v1/external/accounts?featureType=DASHBOARD_LOAN { "status": 200, "message": "Request processed succes...</t>
        </is>
      </c>
    </row>
    <row r="255" ht="409.6" customHeight="1" s="2">
      <c r="A255" s="15" t="inlineStr">
        <is>
          <t>TC-B1-0254</t>
        </is>
      </c>
      <c r="B255" s="16" t="inlineStr">
        <is>
          <t>TS-B1-212</t>
        </is>
      </c>
      <c r="C255" s="16" t="inlineStr">
        <is>
          <t>Acct Dashboard Non-Financing</t>
        </is>
      </c>
      <c r="D255" s="16" t="inlineStr">
        <is>
          <t>Dashboard — Deposits</t>
        </is>
      </c>
      <c r="E255" s="16" t="inlineStr">
        <is>
          <t>Open Giro Multicurrency Account — USD-base from valid entry point</t>
        </is>
      </c>
      <c r="F255" s="16" t="inlineStr">
        <is>
          <t>Positive</t>
        </is>
      </c>
      <c r="G255" s="16" t="inlineStr">
        <is>
          <t>Medium</t>
        </is>
      </c>
      <c r="H255" s="16" t="inlineStr">
        <is>
          <t>Eligible user: L3 post-login; individual account holder; Joint-AND restrictions apply</t>
        </is>
      </c>
      <c r="I255" s="16" t="inlineStr">
        <is>
          <t>Account / Card / Policy Type: Active / Blocked MCA; USD base + FCY buckets; product codes 082, 298, 299; applied via branch only; Currency / FCY Criteria: USD base + USD, SGD, AUD, GBP, EUR, JPY, CNH; indicative IDR equivalents</t>
        </is>
      </c>
      <c r="J255" s="16" t="inlineStr">
        <is>
          <t>1. Sign in at the required access level.
2. Navigate using: Account Dashboard Landing → Savings &amp; Current tab → Giro MCA card.
3. Select Giro Multicurrency Account — USD-base.</t>
        </is>
      </c>
      <c r="K255" s="16" t="inlineStr">
        <is>
          <t>The correct Dashboard — Deposits page opens and relevant product information is displayed without error.</t>
        </is>
      </c>
      <c r="L255" s="16" t="inlineStr">
        <is>
          <t>L3 direct access; S2U required for: Manage Linked Card, Block Account</t>
        </is>
      </c>
      <c r="M255" s="16" t="inlineStr">
        <is>
          <t>Account details displayed; currency buckets displayed; S2U success / unsuccessful / authorisation failed for Manage Linked Card, Block Account</t>
        </is>
      </c>
      <c r="N255" s="16" t="inlineStr">
        <is>
          <t>Acct Dashboard Non-Financing!H1:H45</t>
        </is>
      </c>
      <c r="O255" s="16" t="inlineStr">
        <is>
          <t>Not Run</t>
        </is>
      </c>
      <c r="P255" s="16" t="n"/>
      <c r="Q255" s="16" t="n"/>
      <c r="R255" s="17" t="n"/>
      <c r="S255" s="19" t="inlineStr">
        <is>
          <t>Loan API Design</t>
        </is>
      </c>
      <c r="T255" s="19" t="inlineStr">
        <is>
          <t>Loan dashboard</t>
        </is>
      </c>
      <c r="U255" s="19" t="inlineStr">
        <is>
          <t>GET</t>
        </is>
      </c>
      <c r="V255" s="19" t="inlineStr">
        <is>
          <t>/v1/external/accounts?accountGroup={accountGroup}</t>
        </is>
      </c>
      <c r="W255" s="19" t="inlineStr">
        <is>
          <t>dep-dashboard</t>
        </is>
      </c>
      <c r="X255" s="19" t="inlineStr">
        <is>
          <t>ECLIPSE_Account Dashboard_Loan_DDD_API_Design_v1_Workshop.xlsx</t>
        </is>
      </c>
      <c r="Y255" s="19" t="inlineStr">
        <is>
          <t>1.1 Loan Dashboard - Landing</t>
        </is>
      </c>
      <c r="Z255" s="19" t="inlineStr">
        <is>
          <t>API_Specs_Index!A2:H2</t>
        </is>
      </c>
      <c r="AA255" s="22" t="inlineStr">
        <is>
          <t>API-026</t>
        </is>
      </c>
      <c r="AB255" s="19" t="inlineStr">
        <is>
          <t>Mapped to Loan dashboard because the test case terms align with the 1.1 Loan Dashboard - Landing journey in the applicable API specification.</t>
        </is>
      </c>
      <c r="AC255" s="19" t="inlineStr">
        <is>
          <t>High</t>
        </is>
      </c>
      <c r="AD255" s="19" t="inlineStr">
        <is>
          <t>When user tap "Loan/Financing" tab and screen is loaded getDashboard dep-dashboard GET /v1/external/accounts?featureType={featureType} example : /v1/external/accounts?featureType=DASHBOARD_LOAN { "status": 200, "message": "Request processed succes...</t>
        </is>
      </c>
    </row>
    <row r="256" ht="409.6" customHeight="1" s="2">
      <c r="A256" s="12" t="inlineStr">
        <is>
          <t>TC-B1-0255</t>
        </is>
      </c>
      <c r="B256" s="13" t="inlineStr">
        <is>
          <t>TS-B1-212</t>
        </is>
      </c>
      <c r="C256" s="13" t="inlineStr">
        <is>
          <t>Acct Dashboard Non-Financing</t>
        </is>
      </c>
      <c r="D256" s="13" t="inlineStr">
        <is>
          <t>Dashboard — Deposits</t>
        </is>
      </c>
      <c r="E256" s="13" t="inlineStr">
        <is>
          <t>Validate ineligible or unavailable state for Giro Multicurrency Account — USD-base</t>
        </is>
      </c>
      <c r="F256" s="13" t="inlineStr">
        <is>
          <t>Negative</t>
        </is>
      </c>
      <c r="G256" s="13" t="inlineStr">
        <is>
          <t>High</t>
        </is>
      </c>
      <c r="H256" s="13" t="inlineStr">
        <is>
          <t>User or product does not meet one configured eligibility condition. Eligible baseline: L3 post-login; individual account holder; Joint-AND restrictions apply</t>
        </is>
      </c>
      <c r="I256" s="13" t="inlineStr">
        <is>
          <t>Account / Card / Policy Type: Active / Blocked MCA; USD base + FCY buckets; product codes 082, 298, 299; applied via branch only; Currency / FCY Criteria: USD base + USD, SGD, AUD, GBP, EUR, JPY, CNH; indicative IDR equivalents</t>
        </is>
      </c>
      <c r="J256" s="13" t="inlineStr">
        <is>
          <t>1. Prepare an ineligible, unsupported, blocked, or unavailable test profile.
2. Navigate using: Account Dashboard Landing → Savings &amp; Current tab → Giro MCA card.
3. Attempt to open Giro Multicurrency Account — USD-base.</t>
        </is>
      </c>
      <c r="K256" s="13" t="inlineStr">
        <is>
          <t>Access is prevented or the feature is hidden/disabled. A clear message is shown and no unauthorised data or action is exposed.</t>
        </is>
      </c>
      <c r="L256" s="13" t="inlineStr">
        <is>
          <t>L3 direct access; S2U required for: Manage Linked Card, Block Account</t>
        </is>
      </c>
      <c r="M256" s="13" t="inlineStr">
        <is>
          <t>Account details displayed; currency buckets displayed; S2U success / unsuccessful / authorisation failed for Manage Linked Card, Block Account</t>
        </is>
      </c>
      <c r="N256" s="13" t="inlineStr">
        <is>
          <t>Acct Dashboard Non-Financing!H1:H45</t>
        </is>
      </c>
      <c r="O256" s="13" t="inlineStr">
        <is>
          <t>Not Run</t>
        </is>
      </c>
      <c r="P256" s="13" t="n"/>
      <c r="Q256" s="13" t="n"/>
      <c r="R256" s="14" t="n"/>
      <c r="S256" s="19" t="inlineStr">
        <is>
          <t>Loan API Design</t>
        </is>
      </c>
      <c r="T256" s="19" t="inlineStr">
        <is>
          <t>Loan dashboard</t>
        </is>
      </c>
      <c r="U256" s="19" t="inlineStr">
        <is>
          <t>GET</t>
        </is>
      </c>
      <c r="V256" s="19" t="inlineStr">
        <is>
          <t>/v1/external/accounts?accountGroup={accountGroup}</t>
        </is>
      </c>
      <c r="W256" s="19" t="inlineStr">
        <is>
          <t>dep-dashboard</t>
        </is>
      </c>
      <c r="X256" s="19" t="inlineStr">
        <is>
          <t>ECLIPSE_Account Dashboard_Loan_DDD_API_Design_v1_Workshop.xlsx</t>
        </is>
      </c>
      <c r="Y256" s="19" t="inlineStr">
        <is>
          <t>1.1 Loan Dashboard - Landing</t>
        </is>
      </c>
      <c r="Z256" s="19" t="inlineStr">
        <is>
          <t>API_Specs_Index!A2:H2</t>
        </is>
      </c>
      <c r="AA256" s="22" t="inlineStr">
        <is>
          <t>API-026</t>
        </is>
      </c>
      <c r="AB256" s="19" t="inlineStr">
        <is>
          <t>Mapped to Loan dashboard because the test case terms align with the 1.1 Loan Dashboard - Landing journey in the applicable API specification.</t>
        </is>
      </c>
      <c r="AC256" s="19" t="inlineStr">
        <is>
          <t>High</t>
        </is>
      </c>
      <c r="AD256" s="19" t="inlineStr">
        <is>
          <t>When user tap "Loan/Financing" tab and screen is loaded getDashboard dep-dashboard GET /v1/external/accounts?featureType={featureType} example : /v1/external/accounts?featureType=DASHBOARD_LOAN { "status": 200, "message": "Request processed succes...</t>
        </is>
      </c>
    </row>
    <row r="257" ht="409.6" customHeight="1" s="2">
      <c r="A257" s="15" t="inlineStr">
        <is>
          <t>TC-B1-0256</t>
        </is>
      </c>
      <c r="B257" s="16" t="inlineStr">
        <is>
          <t>TS-B1-213</t>
        </is>
      </c>
      <c r="C257" s="16" t="inlineStr">
        <is>
          <t>Acct Dashboard Non-Financing</t>
        </is>
      </c>
      <c r="D257" s="16" t="inlineStr">
        <is>
          <t>Dashboard — Deposits</t>
        </is>
      </c>
      <c r="E257" s="16" t="inlineStr">
        <is>
          <t>Complete required authentication for Giro Multicurrency Account — USD-base</t>
        </is>
      </c>
      <c r="F257" s="16" t="inlineStr">
        <is>
          <t>Security</t>
        </is>
      </c>
      <c r="G257" s="16" t="inlineStr">
        <is>
          <t>High</t>
        </is>
      </c>
      <c r="H257" s="16" t="inlineStr">
        <is>
          <t>Eligible user; authentication method is active. Requirement: L3 direct access; S2U required for: Manage Linked Card, Block Account</t>
        </is>
      </c>
      <c r="I257" s="16" t="inlineStr">
        <is>
          <t>Account / Card / Policy Type: Active / Blocked MCA; USD base + FCY buckets; product codes 082, 298, 299; applied via branch only; Currency / FCY Criteria: USD base + USD, SGD, AUD, GBP, EUR, JPY, CNH; indicative IDR equivalents</t>
        </is>
      </c>
      <c r="J257" s="16" t="inlineStr">
        <is>
          <t>1. Start the protected action.
2. Complete the configured authentication with valid credentials.
3. Continue the journey.</t>
        </is>
      </c>
      <c r="K257" s="16" t="inlineStr">
        <is>
          <t>Authentication succeeds, the protected action continues once, and the user returns to the correct journey context.</t>
        </is>
      </c>
      <c r="L257" s="16" t="inlineStr">
        <is>
          <t>L3 direct access; S2U required for: Manage Linked Card, Block Account</t>
        </is>
      </c>
      <c r="M257" s="16" t="inlineStr">
        <is>
          <t>Account details displayed; currency buckets displayed; S2U success / unsuccessful / authorisation failed for Manage Linked Card, Block Account</t>
        </is>
      </c>
      <c r="N257" s="16" t="inlineStr">
        <is>
          <t>Acct Dashboard Non-Financing!H1:H45</t>
        </is>
      </c>
      <c r="O257" s="16" t="inlineStr">
        <is>
          <t>Not Run</t>
        </is>
      </c>
      <c r="P257" s="16" t="n"/>
      <c r="Q257" s="16" t="n"/>
      <c r="R257" s="17" t="n"/>
      <c r="S257" s="19" t="inlineStr">
        <is>
          <t>Loan API Design</t>
        </is>
      </c>
      <c r="T257" s="19" t="inlineStr">
        <is>
          <t>Loan dashboard</t>
        </is>
      </c>
      <c r="U257" s="19" t="inlineStr">
        <is>
          <t>GET</t>
        </is>
      </c>
      <c r="V257" s="19" t="inlineStr">
        <is>
          <t>/v1/external/accounts?accountGroup={accountGroup}</t>
        </is>
      </c>
      <c r="W257" s="19" t="inlineStr">
        <is>
          <t>dep-dashboard</t>
        </is>
      </c>
      <c r="X257" s="19" t="inlineStr">
        <is>
          <t>ECLIPSE_Account Dashboard_Loan_DDD_API_Design_v1_Workshop.xlsx</t>
        </is>
      </c>
      <c r="Y257" s="19" t="inlineStr">
        <is>
          <t>1.1 Loan Dashboard - Landing</t>
        </is>
      </c>
      <c r="Z257" s="19" t="inlineStr">
        <is>
          <t>API_Specs_Index!A2:H2</t>
        </is>
      </c>
      <c r="AA257" s="22" t="inlineStr">
        <is>
          <t>API-026</t>
        </is>
      </c>
      <c r="AB257" s="19" t="inlineStr">
        <is>
          <t>Mapped to Loan dashboard because the test case terms align with the 1.1 Loan Dashboard - Landing journey in the applicable API specification.</t>
        </is>
      </c>
      <c r="AC257" s="19" t="inlineStr">
        <is>
          <t>Medium</t>
        </is>
      </c>
      <c r="AD257" s="19" t="inlineStr">
        <is>
          <t>When user tap "Loan/Financing" tab and screen is loaded getDashboard dep-dashboard GET /v1/external/accounts?featureType={featureType} example : /v1/external/accounts?featureType=DASHBOARD_LOAN { "status": 200, "message": "Request processed succes...</t>
        </is>
      </c>
    </row>
    <row r="258" ht="409.6" customHeight="1" s="2">
      <c r="A258" s="12" t="inlineStr">
        <is>
          <t>TC-B1-0257</t>
        </is>
      </c>
      <c r="B258" s="13" t="inlineStr">
        <is>
          <t>TS-B1-213</t>
        </is>
      </c>
      <c r="C258" s="13" t="inlineStr">
        <is>
          <t>Acct Dashboard Non-Financing</t>
        </is>
      </c>
      <c r="D258" s="13" t="inlineStr">
        <is>
          <t>Dashboard — Deposits</t>
        </is>
      </c>
      <c r="E258" s="13" t="inlineStr">
        <is>
          <t>Reject invalid, cancelled, or expired authentication for Giro Multicurrency Account — USD-base</t>
        </is>
      </c>
      <c r="F258" s="13" t="inlineStr">
        <is>
          <t>Negative / Security</t>
        </is>
      </c>
      <c r="G258" s="13" t="inlineStr">
        <is>
          <t>High</t>
        </is>
      </c>
      <c r="H258" s="13" t="inlineStr">
        <is>
          <t>Eligible user; protected action requires authentication. Requirement: L3 direct access; S2U required for: Manage Linked Card, Block Account</t>
        </is>
      </c>
      <c r="I258" s="13" t="inlineStr">
        <is>
          <t>Account / Card / Policy Type: Active / Blocked MCA; USD base + FCY buckets; product codes 082, 298, 299; applied via branch only; Currency / FCY Criteria: USD base + USD, SGD, AUD, GBP, EUR, JPY, CNH; indicative IDR equivalents</t>
        </is>
      </c>
      <c r="J258" s="13" t="inlineStr">
        <is>
          <t>1. Start the protected action.
2. Enter invalid credentials, cancel, or allow the challenge to expire.
3. Observe the result.</t>
        </is>
      </c>
      <c r="K258" s="13" t="inlineStr">
        <is>
          <t>The action is not performed. The configured failure/lockout message is shown, sensitive data remains protected, and retry behavior follows the requirement.</t>
        </is>
      </c>
      <c r="L258" s="13" t="inlineStr">
        <is>
          <t>L3 direct access; S2U required for: Manage Linked Card, Block Account</t>
        </is>
      </c>
      <c r="M258" s="13" t="inlineStr">
        <is>
          <t>Account details displayed; currency buckets displayed; S2U success / unsuccessful / authorisation failed for Manage Linked Card, Block Account</t>
        </is>
      </c>
      <c r="N258" s="13" t="inlineStr">
        <is>
          <t>Acct Dashboard Non-Financing!H1:H45</t>
        </is>
      </c>
      <c r="O258" s="13" t="inlineStr">
        <is>
          <t>Not Run</t>
        </is>
      </c>
      <c r="P258" s="13" t="n"/>
      <c r="Q258" s="13" t="n"/>
      <c r="R258" s="14" t="n"/>
      <c r="S258" s="19" t="inlineStr">
        <is>
          <t>Loan API Design</t>
        </is>
      </c>
      <c r="T258" s="19" t="inlineStr">
        <is>
          <t>Loan dashboard</t>
        </is>
      </c>
      <c r="U258" s="19" t="inlineStr">
        <is>
          <t>GET</t>
        </is>
      </c>
      <c r="V258" s="19" t="inlineStr">
        <is>
          <t>/v1/external/accounts?accountGroup={accountGroup}</t>
        </is>
      </c>
      <c r="W258" s="19" t="inlineStr">
        <is>
          <t>dep-dashboard</t>
        </is>
      </c>
      <c r="X258" s="19" t="inlineStr">
        <is>
          <t>ECLIPSE_Account Dashboard_Loan_DDD_API_Design_v1_Workshop.xlsx</t>
        </is>
      </c>
      <c r="Y258" s="19" t="inlineStr">
        <is>
          <t>1.1 Loan Dashboard - Landing</t>
        </is>
      </c>
      <c r="Z258" s="19" t="inlineStr">
        <is>
          <t>API_Specs_Index!A2:H2</t>
        </is>
      </c>
      <c r="AA258" s="22" t="inlineStr">
        <is>
          <t>API-026</t>
        </is>
      </c>
      <c r="AB258" s="19" t="inlineStr">
        <is>
          <t>Mapped to Loan dashboard because the test case terms align with the 1.1 Loan Dashboard - Landing journey in the applicable API specification.</t>
        </is>
      </c>
      <c r="AC258" s="19" t="inlineStr">
        <is>
          <t>Medium</t>
        </is>
      </c>
      <c r="AD258" s="19" t="inlineStr">
        <is>
          <t>When user tap "Loan/Financing" tab and screen is loaded getDashboard dep-dashboard GET /v1/external/accounts?featureType={featureType} example : /v1/external/accounts?featureType=DASHBOARD_LOAN { "status": 200, "message": "Request processed succes...</t>
        </is>
      </c>
    </row>
    <row r="259" ht="409.6" customHeight="1" s="2">
      <c r="A259" s="15" t="inlineStr">
        <is>
          <t>TC-B1-0258</t>
        </is>
      </c>
      <c r="B259" s="16" t="inlineStr">
        <is>
          <t>TS-B1-214</t>
        </is>
      </c>
      <c r="C259" s="16" t="inlineStr">
        <is>
          <t>Acct Dashboard Non-Financing</t>
        </is>
      </c>
      <c r="D259" s="16" t="inlineStr">
        <is>
          <t>Dashboard — Deposits</t>
        </is>
      </c>
      <c r="E259" s="16" t="inlineStr">
        <is>
          <t>Validate Step 1 — 1.1 Account Dashboard Landing for Giro Multicurrency Account — USD-base</t>
        </is>
      </c>
      <c r="F259" s="16" t="inlineStr">
        <is>
          <t>UI / Functional</t>
        </is>
      </c>
      <c r="G259" s="16" t="inlineStr">
        <is>
          <t>Medium</t>
        </is>
      </c>
      <c r="H259" s="16" t="inlineStr">
        <is>
          <t>Eligible user and product are available. User has reached the preceding journey step.</t>
        </is>
      </c>
      <c r="I259" s="16" t="inlineStr">
        <is>
          <t>Account / Card / Policy Type: Active / Blocked MCA; USD base + FCY buckets; product codes 082, 298, 299; applied via branch only; Currency / FCY Criteria: USD base + USD, SGD, AUD, GBP, EUR, JPY, CNH; indicative IDR equivalents</t>
        </is>
      </c>
      <c r="J259" s="16" t="inlineStr">
        <is>
          <t>1. Open Giro Multicurrency Account — USD-base.
2. Navigate to Step 1 — 1.1 Account Dashboard Landing.
3. Perform the action or trigger described by: Step 1.
4. Observe the page, validation, navigation, and resulting state.</t>
        </is>
      </c>
      <c r="K259" s="16" t="inlineStr">
        <is>
          <t>Step 1 — 1.1 Account Dashboard Landing behaves according to the mapped requirement (Step 1); data, controls, navigation, and status are accurate and consistent.</t>
        </is>
      </c>
      <c r="L259" s="16" t="inlineStr">
        <is>
          <t>L3 direct access; S2U required for: Manage Linked Card, Block Account</t>
        </is>
      </c>
      <c r="M259" s="16" t="inlineStr">
        <is>
          <t>Account details displayed; currency buckets displayed; S2U success / unsuccessful / authorisation failed for Manage Linked Card, Block Account</t>
        </is>
      </c>
      <c r="N259" s="16" t="inlineStr">
        <is>
          <t>Acct Dashboard Non-Financing!A10:H10</t>
        </is>
      </c>
      <c r="O259" s="16" t="inlineStr">
        <is>
          <t>Not Run</t>
        </is>
      </c>
      <c r="P259" s="16" t="n"/>
      <c r="Q259" s="16" t="n"/>
      <c r="R259" s="17" t="n"/>
      <c r="S259" s="19" t="inlineStr">
        <is>
          <t>Loan API Design</t>
        </is>
      </c>
      <c r="T259" s="19" t="inlineStr">
        <is>
          <t>Loan dashboard</t>
        </is>
      </c>
      <c r="U259" s="19" t="inlineStr">
        <is>
          <t>GET</t>
        </is>
      </c>
      <c r="V259" s="19" t="inlineStr">
        <is>
          <t>/v1/external/accounts?accountGroup={accountGroup}</t>
        </is>
      </c>
      <c r="W259" s="19" t="inlineStr">
        <is>
          <t>dep-dashboard</t>
        </is>
      </c>
      <c r="X259" s="19" t="inlineStr">
        <is>
          <t>ECLIPSE_Account Dashboard_Loan_DDD_API_Design_v1_Workshop.xlsx</t>
        </is>
      </c>
      <c r="Y259" s="19" t="inlineStr">
        <is>
          <t>1.1 Loan Dashboard - Landing</t>
        </is>
      </c>
      <c r="Z259" s="19" t="inlineStr">
        <is>
          <t>API_Specs_Index!A2:H2</t>
        </is>
      </c>
      <c r="AA259" s="22" t="inlineStr">
        <is>
          <t>API-026</t>
        </is>
      </c>
      <c r="AB259" s="19" t="inlineStr">
        <is>
          <t>Mapped to Loan dashboard because the test case terms align with the 1.1 Loan Dashboard - Landing journey in the applicable API specification.</t>
        </is>
      </c>
      <c r="AC259" s="19" t="inlineStr">
        <is>
          <t>High</t>
        </is>
      </c>
      <c r="AD259" s="19" t="inlineStr">
        <is>
          <t>When user tap "Loan/Financing" tab and screen is loaded getDashboard dep-dashboard GET /v1/external/accounts?featureType={featureType} example : /v1/external/accounts?featureType=DASHBOARD_LOAN { "status": 200, "message": "Request processed succes...</t>
        </is>
      </c>
    </row>
    <row r="260" ht="409.6" customHeight="1" s="2">
      <c r="A260" s="12" t="inlineStr">
        <is>
          <t>TC-B1-0259</t>
        </is>
      </c>
      <c r="B260" s="13" t="inlineStr">
        <is>
          <t>TS-B1-215</t>
        </is>
      </c>
      <c r="C260" s="13" t="inlineStr">
        <is>
          <t>Acct Dashboard Non-Financing</t>
        </is>
      </c>
      <c r="D260" s="13" t="inlineStr">
        <is>
          <t>Dashboard — Deposits</t>
        </is>
      </c>
      <c r="E260" s="13" t="inlineStr">
        <is>
          <t>Validate Step 2 — 1.2 Account Listing (Savings &amp; Current) for Giro Multicurrency Account — USD-base</t>
        </is>
      </c>
      <c r="F260" s="13" t="inlineStr">
        <is>
          <t>Functional</t>
        </is>
      </c>
      <c r="G260" s="13" t="inlineStr">
        <is>
          <t>Medium</t>
        </is>
      </c>
      <c r="H260" s="13" t="inlineStr">
        <is>
          <t>Eligible user and product are available. User has reached the preceding journey step.</t>
        </is>
      </c>
      <c r="I260" s="13" t="inlineStr">
        <is>
          <t>Account / Card / Policy Type: Active / Blocked MCA; USD base + FCY buckets; product codes 082, 298, 299; applied via branch only; Currency / FCY Criteria: USD base + USD, SGD, AUD, GBP, EUR, JPY, CNH; indicative IDR equivalents</t>
        </is>
      </c>
      <c r="J260" s="13" t="inlineStr">
        <is>
          <t>1. Open Giro Multicurrency Account — USD-base.
2. Navigate to Step 2 — 1.2 Account Listing (Savings &amp; Current).
3. Perform the action or trigger described by: Step 2 — Giro MCA card visible in Savings &amp; Current listing; balance in USD.
4. Observe the page, validation, navigation, and resulting state.</t>
        </is>
      </c>
      <c r="K260" s="13" t="inlineStr">
        <is>
          <t>Step 2 — 1.2 Account Listing (Savings &amp; Current) behaves according to the mapped requirement (Step 2 — Giro MCA card visible in Savings &amp; Current listing; balance in USD); data, controls, navigation, and status are accurate and consistent.</t>
        </is>
      </c>
      <c r="L260" s="13" t="inlineStr">
        <is>
          <t>L3 direct access; S2U required for: Manage Linked Card, Block Account</t>
        </is>
      </c>
      <c r="M260" s="13" t="inlineStr">
        <is>
          <t>Account details displayed; currency buckets displayed; S2U success / unsuccessful / authorisation failed for Manage Linked Card, Block Account</t>
        </is>
      </c>
      <c r="N260" s="13" t="inlineStr">
        <is>
          <t>Acct Dashboard Non-Financing!A11:H11</t>
        </is>
      </c>
      <c r="O260" s="13" t="inlineStr">
        <is>
          <t>Not Run</t>
        </is>
      </c>
      <c r="P260" s="13" t="n"/>
      <c r="Q260" s="13" t="n"/>
      <c r="R260" s="14" t="n"/>
      <c r="S260" s="19" t="inlineStr">
        <is>
          <t>Loan API Design</t>
        </is>
      </c>
      <c r="T260" s="19" t="inlineStr">
        <is>
          <t>Loan dashboard</t>
        </is>
      </c>
      <c r="U260" s="19" t="inlineStr">
        <is>
          <t>GET</t>
        </is>
      </c>
      <c r="V260" s="19" t="inlineStr">
        <is>
          <t>/v1/external/accounts?accountGroup={accountGroup}</t>
        </is>
      </c>
      <c r="W260" s="19" t="inlineStr">
        <is>
          <t>dep-dashboard</t>
        </is>
      </c>
      <c r="X260" s="19" t="inlineStr">
        <is>
          <t>ECLIPSE_Account Dashboard_Loan_DDD_API_Design_v1_Workshop.xlsx</t>
        </is>
      </c>
      <c r="Y260" s="19" t="inlineStr">
        <is>
          <t>1.1 Loan Dashboard - Landing</t>
        </is>
      </c>
      <c r="Z260" s="19" t="inlineStr">
        <is>
          <t>API_Specs_Index!A2:H2</t>
        </is>
      </c>
      <c r="AA260" s="22" t="inlineStr">
        <is>
          <t>API-026</t>
        </is>
      </c>
      <c r="AB260" s="19" t="inlineStr">
        <is>
          <t>Mapped to Loan dashboard because the test case terms align with the 1.1 Loan Dashboard - Landing journey in the applicable API specification.</t>
        </is>
      </c>
      <c r="AC260" s="19" t="inlineStr">
        <is>
          <t>Medium</t>
        </is>
      </c>
      <c r="AD260" s="19" t="inlineStr">
        <is>
          <t>When user tap "Loan/Financing" tab and screen is loaded getDashboard dep-dashboard GET /v1/external/accounts?featureType={featureType} example : /v1/external/accounts?featureType=DASHBOARD_LOAN { "status": 200, "message": "Request processed succes...</t>
        </is>
      </c>
    </row>
    <row r="261" ht="409.6" customHeight="1" s="2">
      <c r="A261" s="15" t="inlineStr">
        <is>
          <t>TC-B1-0260</t>
        </is>
      </c>
      <c r="B261" s="16" t="inlineStr">
        <is>
          <t>TS-B1-216</t>
        </is>
      </c>
      <c r="C261" s="16" t="inlineStr">
        <is>
          <t>Acct Dashboard Non-Financing</t>
        </is>
      </c>
      <c r="D261" s="16" t="inlineStr">
        <is>
          <t>Dashboard — Deposits</t>
        </is>
      </c>
      <c r="E261" s="16" t="inlineStr">
        <is>
          <t>Validate Step 5 — 1.2.1.2 ViewAllTrans for Giro Multicurrency Account — USD-base</t>
        </is>
      </c>
      <c r="F261" s="16" t="inlineStr">
        <is>
          <t>Functional</t>
        </is>
      </c>
      <c r="G261" s="16" t="inlineStr">
        <is>
          <t>Medium</t>
        </is>
      </c>
      <c r="H261" s="16" t="inlineStr">
        <is>
          <t>Eligible user and product are available. Trigger the stated condition: Step 5 — Transaction Currency filter applicable</t>
        </is>
      </c>
      <c r="I261" s="16" t="inlineStr">
        <is>
          <t>Account / Card / Policy Type: Active / Blocked MCA; USD base + FCY buckets; product codes 082, 298, 299; applied via branch only; Currency / FCY Criteria: USD base + USD, SGD, AUD, GBP, EUR, JPY, CNH; indicative IDR equivalents</t>
        </is>
      </c>
      <c r="J261" s="16" t="inlineStr">
        <is>
          <t>1. Open Giro Multicurrency Account — USD-base.
2. Navigate to Step 5 — 1.2.1.2 ViewAllTrans.
3. Perform the action or trigger described by: Step 5 — Transaction Currency filter applicable.
4. Observe the page, validation, navigation, and resulting state.</t>
        </is>
      </c>
      <c r="K261" s="16" t="inlineStr">
        <is>
          <t>Step 5 — 1.2.1.2 ViewAllTrans behaves according to the mapped requirement (Step 5 — Transaction Currency filter applicable); data, controls, navigation, and status are accurate and consistent.</t>
        </is>
      </c>
      <c r="L261" s="16" t="inlineStr">
        <is>
          <t>L3 direct access; S2U required for: Manage Linked Card, Block Account</t>
        </is>
      </c>
      <c r="M261" s="16" t="inlineStr">
        <is>
          <t>Account details displayed; currency buckets displayed; S2U success / unsuccessful / authorisation failed for Manage Linked Card, Block Account</t>
        </is>
      </c>
      <c r="N261" s="16" t="inlineStr">
        <is>
          <t>Acct Dashboard Non-Financing!A14:H14</t>
        </is>
      </c>
      <c r="O261" s="16" t="inlineStr">
        <is>
          <t>Not Run</t>
        </is>
      </c>
      <c r="P261" s="16" t="n"/>
      <c r="Q261" s="16" t="n"/>
      <c r="R261" s="17" t="inlineStr">
        <is>
          <t>Conditional coverage required.</t>
        </is>
      </c>
      <c r="S261" s="19" t="inlineStr">
        <is>
          <t>Loan API Design</t>
        </is>
      </c>
      <c r="T261" s="19" t="inlineStr">
        <is>
          <t>View all transaction history</t>
        </is>
      </c>
      <c r="U261" s="19" t="inlineStr">
        <is>
          <t>GET</t>
        </is>
      </c>
      <c r="V261" s="19" t="inlineStr">
        <is>
          <t>/v1/external/accounts/account-type/{accountType}/account-id/{accountId}/transactions?startDate={startDate}&amp;endDate={endDate}&amp;page={page}&amp;limit={limit}</t>
        </is>
      </c>
      <c r="W261" s="19" t="inlineStr">
        <is>
          <t>info-loan</t>
        </is>
      </c>
      <c r="X261" s="19" t="inlineStr">
        <is>
          <t>ECLIPSE_Account Dashboard_Loan_DDD_API_Design_v1_Workshop.xlsx</t>
        </is>
      </c>
      <c r="Y261" s="19" t="inlineStr">
        <is>
          <t>1.2.1 View All Trans</t>
        </is>
      </c>
      <c r="Z261" s="19" t="inlineStr">
        <is>
          <t>API_Specs_Index!A5:H5</t>
        </is>
      </c>
      <c r="AA261" s="22" t="inlineStr">
        <is>
          <t>API-028</t>
        </is>
      </c>
      <c r="AB261" s="19" t="inlineStr">
        <is>
          <t>Mapped to View all transaction history because the test case terms align with the 1.2.1 View All Trans journey in the applicable API specification.</t>
        </is>
      </c>
      <c r="AC261" s="19" t="inlineStr">
        <is>
          <t>High</t>
        </is>
      </c>
      <c r="AD261"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262" ht="409.6" customHeight="1" s="2">
      <c r="A262" s="12" t="inlineStr">
        <is>
          <t>TC-B1-0261</t>
        </is>
      </c>
      <c r="B262" s="13" t="inlineStr">
        <is>
          <t>TS-B1-217</t>
        </is>
      </c>
      <c r="C262" s="13" t="inlineStr">
        <is>
          <t>Acct Dashboard Non-Financing</t>
        </is>
      </c>
      <c r="D262" s="13" t="inlineStr">
        <is>
          <t>Dashboard — Deposits</t>
        </is>
      </c>
      <c r="E262" s="13" t="inlineStr">
        <is>
          <t>Validate Step 6 — 1.2.1.3 ManageLinkedCard for Giro Multicurrency Account — USD-base</t>
        </is>
      </c>
      <c r="F262" s="13" t="inlineStr">
        <is>
          <t>Functional</t>
        </is>
      </c>
      <c r="G262" s="13" t="inlineStr">
        <is>
          <t>Medium</t>
        </is>
      </c>
      <c r="H262" s="13" t="inlineStr">
        <is>
          <t>Eligible user and product are available. Trigger the stated condition: Step 6 — applicable per business rules</t>
        </is>
      </c>
      <c r="I262" s="13" t="inlineStr">
        <is>
          <t>Account / Card / Policy Type: Active / Blocked MCA; USD base + FCY buckets; product codes 082, 298, 299; applied via branch only; Currency / FCY Criteria: USD base + USD, SGD, AUD, GBP, EUR, JPY, CNH; indicative IDR equivalents</t>
        </is>
      </c>
      <c r="J262" s="13" t="inlineStr">
        <is>
          <t>1. Open Giro Multicurrency Account — USD-base.
2. Navigate to Step 6 — 1.2.1.3 ManageLinkedCard.
3. Perform the action or trigger described by: Step 6 — applicable per business rules.
4. Observe the page, validation, navigation, and resulting state.</t>
        </is>
      </c>
      <c r="K262" s="13" t="inlineStr">
        <is>
          <t>Step 6 — 1.2.1.3 ManageLinkedCard behaves according to the mapped requirement (Step 6 — applicable per business rules); data, controls, navigation, and status are accurate and consistent.</t>
        </is>
      </c>
      <c r="L262" s="13" t="inlineStr">
        <is>
          <t>L3 direct access; S2U required for: Manage Linked Card, Block Account</t>
        </is>
      </c>
      <c r="M262" s="13" t="inlineStr">
        <is>
          <t>Account details displayed; currency buckets displayed; S2U success / unsuccessful / authorisation failed for Manage Linked Card, Block Account</t>
        </is>
      </c>
      <c r="N262" s="13" t="inlineStr">
        <is>
          <t>Acct Dashboard Non-Financing!A15:H15</t>
        </is>
      </c>
      <c r="O262" s="13" t="inlineStr">
        <is>
          <t>Not Run</t>
        </is>
      </c>
      <c r="P262" s="13" t="n"/>
      <c r="Q262" s="13" t="n"/>
      <c r="R262" s="14" t="inlineStr">
        <is>
          <t>Conditional coverage required.</t>
        </is>
      </c>
      <c r="S262" s="19" t="inlineStr">
        <is>
          <t>Loan API Design</t>
        </is>
      </c>
      <c r="T262" s="19" t="inlineStr">
        <is>
          <t>Loan dashboard</t>
        </is>
      </c>
      <c r="U262" s="19" t="inlineStr">
        <is>
          <t>GET</t>
        </is>
      </c>
      <c r="V262" s="19" t="inlineStr">
        <is>
          <t>/v1/external/accounts?accountGroup={accountGroup}</t>
        </is>
      </c>
      <c r="W262" s="19" t="inlineStr">
        <is>
          <t>dep-dashboard</t>
        </is>
      </c>
      <c r="X262" s="19" t="inlineStr">
        <is>
          <t>ECLIPSE_Account Dashboard_Loan_DDD_API_Design_v1_Workshop.xlsx</t>
        </is>
      </c>
      <c r="Y262" s="19" t="inlineStr">
        <is>
          <t>1.1 Loan Dashboard - Landing</t>
        </is>
      </c>
      <c r="Z262" s="19" t="inlineStr">
        <is>
          <t>API_Specs_Index!A2:H2</t>
        </is>
      </c>
      <c r="AA262" s="22" t="inlineStr">
        <is>
          <t>API-026</t>
        </is>
      </c>
      <c r="AB262" s="19" t="inlineStr">
        <is>
          <t>Mapped to Loan dashboard because the test case terms align with the 1.1 Loan Dashboard - Landing journey in the applicable API specification.</t>
        </is>
      </c>
      <c r="AC262" s="19" t="inlineStr">
        <is>
          <t>Medium</t>
        </is>
      </c>
      <c r="AD262" s="19" t="inlineStr">
        <is>
          <t>When user tap "Loan/Financing" tab and screen is loaded getDashboard dep-dashboard GET /v1/external/accounts?featureType={featureType} example : /v1/external/accounts?featureType=DASHBOARD_LOAN { "status": 200, "message": "Request processed succes...</t>
        </is>
      </c>
    </row>
    <row r="263" ht="409.6" customHeight="1" s="2">
      <c r="A263" s="15" t="inlineStr">
        <is>
          <t>TC-B1-0262</t>
        </is>
      </c>
      <c r="B263" s="16" t="inlineStr">
        <is>
          <t>TS-B1-218</t>
        </is>
      </c>
      <c r="C263" s="16" t="inlineStr">
        <is>
          <t>Acct Dashboard Non-Financing</t>
        </is>
      </c>
      <c r="D263" s="16" t="inlineStr">
        <is>
          <t>Dashboard — Deposits</t>
        </is>
      </c>
      <c r="E263" s="16" t="inlineStr">
        <is>
          <t>Validate Step 7 — 1.2.1.4 BlockAccount for Giro Multicurrency Account — USD-base</t>
        </is>
      </c>
      <c r="F263" s="16" t="inlineStr">
        <is>
          <t>Functional</t>
        </is>
      </c>
      <c r="G263" s="16" t="inlineStr">
        <is>
          <t>High</t>
        </is>
      </c>
      <c r="H263" s="16" t="inlineStr">
        <is>
          <t>Eligible user and product are available. User has reached the preceding journey step.</t>
        </is>
      </c>
      <c r="I263" s="16" t="inlineStr">
        <is>
          <t>Account / Card / Policy Type: Active / Blocked MCA; USD base + FCY buckets; product codes 082, 298, 299; applied via branch only; Currency / FCY Criteria: USD base + USD, SGD, AUD, GBP, EUR, JPY, CNH; indicative IDR equivalents</t>
        </is>
      </c>
      <c r="J263" s="16" t="inlineStr">
        <is>
          <t>1. Open Giro Multicurrency Account — USD-base.
2. Navigate to Step 7 — 1.2.1.4 BlockAccount.
3. Perform the action or trigger described by: Step 7.
4. Observe the page, validation, navigation, and resulting state.</t>
        </is>
      </c>
      <c r="K263" s="16" t="inlineStr">
        <is>
          <t>Step 7 — 1.2.1.4 BlockAccount behaves according to the mapped requirement (Step 7); data, controls, navigation, and status are accurate and consistent.</t>
        </is>
      </c>
      <c r="L263" s="16" t="inlineStr">
        <is>
          <t>L3 direct access; S2U required for: Manage Linked Card, Block Account</t>
        </is>
      </c>
      <c r="M263" s="16" t="inlineStr">
        <is>
          <t>Account details displayed; currency buckets displayed; S2U success / unsuccessful / authorisation failed for Manage Linked Card, Block Account</t>
        </is>
      </c>
      <c r="N263" s="16" t="inlineStr">
        <is>
          <t>Acct Dashboard Non-Financing!A16:H16</t>
        </is>
      </c>
      <c r="O263" s="16" t="inlineStr">
        <is>
          <t>Not Run</t>
        </is>
      </c>
      <c r="P263" s="16" t="n"/>
      <c r="Q263" s="16" t="n"/>
      <c r="R263" s="17" t="n"/>
      <c r="S263" s="19" t="inlineStr">
        <is>
          <t>Loan API Design</t>
        </is>
      </c>
      <c r="T263" s="19" t="inlineStr">
        <is>
          <t>Loan dashboard</t>
        </is>
      </c>
      <c r="U263" s="19" t="inlineStr">
        <is>
          <t>GET</t>
        </is>
      </c>
      <c r="V263" s="19" t="inlineStr">
        <is>
          <t>/v1/external/accounts?accountGroup={accountGroup}</t>
        </is>
      </c>
      <c r="W263" s="19" t="inlineStr">
        <is>
          <t>dep-dashboard</t>
        </is>
      </c>
      <c r="X263" s="19" t="inlineStr">
        <is>
          <t>ECLIPSE_Account Dashboard_Loan_DDD_API_Design_v1_Workshop.xlsx</t>
        </is>
      </c>
      <c r="Y263" s="19" t="inlineStr">
        <is>
          <t>1.1 Loan Dashboard - Landing</t>
        </is>
      </c>
      <c r="Z263" s="19" t="inlineStr">
        <is>
          <t>API_Specs_Index!A2:H2</t>
        </is>
      </c>
      <c r="AA263" s="22" t="inlineStr">
        <is>
          <t>API-026</t>
        </is>
      </c>
      <c r="AB263" s="19" t="inlineStr">
        <is>
          <t>Mapped to Loan dashboard because the test case terms align with the 1.1 Loan Dashboard - Landing journey in the applicable API specification.</t>
        </is>
      </c>
      <c r="AC263" s="19" t="inlineStr">
        <is>
          <t>Medium</t>
        </is>
      </c>
      <c r="AD263" s="19" t="inlineStr">
        <is>
          <t>When user tap "Loan/Financing" tab and screen is loaded getDashboard dep-dashboard GET /v1/external/accounts?featureType={featureType} example : /v1/external/accounts?featureType=DASHBOARD_LOAN { "status": 200, "message": "Request processed succes...</t>
        </is>
      </c>
    </row>
    <row r="264" ht="409.6" customHeight="1" s="2">
      <c r="A264" s="12" t="inlineStr">
        <is>
          <t>TC-B1-0263</t>
        </is>
      </c>
      <c r="B264" s="13" t="inlineStr">
        <is>
          <t>TS-B1-219</t>
        </is>
      </c>
      <c r="C264" s="13" t="inlineStr">
        <is>
          <t>Acct Dashboard Non-Financing</t>
        </is>
      </c>
      <c r="D264" s="13" t="inlineStr">
        <is>
          <t>Dashboard — Deposits</t>
        </is>
      </c>
      <c r="E264" s="13" t="inlineStr">
        <is>
          <t>Validate Step 17 — 1.2.6.2 View Currency Details for Giro Multicurrency Account — USD-base</t>
        </is>
      </c>
      <c r="F264" s="13" t="inlineStr">
        <is>
          <t>UI / Functional</t>
        </is>
      </c>
      <c r="G264" s="13" t="inlineStr">
        <is>
          <t>Medium</t>
        </is>
      </c>
      <c r="H264" s="13" t="inlineStr">
        <is>
          <t>Eligible user and product are available. Trigger the stated condition: Step 17 — Currency Details reused per 1.2.6.2; USD base has no Manage tab; FCY buckets have Transactions / Summary only (Needs PO/BA clarification — MCA Manage tab scope)</t>
        </is>
      </c>
      <c r="I264" s="13" t="inlineStr">
        <is>
          <t>Account / Card / Policy Type: Active / Blocked MCA; USD base + FCY buckets; product codes 082, 298, 299; applied via branch only; Currency / FCY Criteria: USD base + USD, SGD, AUD, GBP, EUR, JPY, CNH; indicative IDR equivalents</t>
        </is>
      </c>
      <c r="J264" s="13" t="inlineStr">
        <is>
          <t>1. Open Giro Multicurrency Account — USD-base.
2. Navigate to Step 17 — 1.2.6.2 View Currency Details.
3. Perform the action or trigger described by: Step 17 — Currency Details reused per 1.2.6.2; USD base has no Manage tab; FCY buckets have Transactions / Summary only (Needs PO/BA clarification — MCA Manage tab scope).
4. Observe the page, validation, navigation, and resulting state.</t>
        </is>
      </c>
      <c r="K264" s="13" t="inlineStr">
        <is>
          <t>Step 17 — 1.2.6.2 View Currency Details behaves according to the mapped requirement (Step 17 — Currency Details reused per 1.2.6.2; USD base has no Manage tab; FCY buckets have Transactions / Summary only (Needs PO/BA clarification — MCA Manage tab scope)); data, controls, navigation, and status are accurate and consistent.</t>
        </is>
      </c>
      <c r="L264" s="13" t="inlineStr">
        <is>
          <t>L3 direct access; S2U required for: Manage Linked Card, Block Account</t>
        </is>
      </c>
      <c r="M264" s="13" t="inlineStr">
        <is>
          <t>Account details displayed; currency buckets displayed; S2U success / unsuccessful / authorisation failed for Manage Linked Card, Block Account</t>
        </is>
      </c>
      <c r="N264" s="13" t="inlineStr">
        <is>
          <t>Acct Dashboard Non-Financing!A26:H26</t>
        </is>
      </c>
      <c r="O264" s="13" t="inlineStr">
        <is>
          <t>Not Run</t>
        </is>
      </c>
      <c r="P264" s="13" t="n"/>
      <c r="Q264" s="13" t="n"/>
      <c r="R264" s="14" t="inlineStr">
        <is>
          <t>Conditional coverage required.</t>
        </is>
      </c>
      <c r="S264" s="19" t="inlineStr">
        <is>
          <t>Loan API Design</t>
        </is>
      </c>
      <c r="T264" s="19" t="inlineStr">
        <is>
          <t>View all transaction history</t>
        </is>
      </c>
      <c r="U264" s="19" t="inlineStr">
        <is>
          <t>GET</t>
        </is>
      </c>
      <c r="V264" s="19" t="inlineStr">
        <is>
          <t>/v1/external/accounts/account-type/{accountType}/account-id/{accountId}/transactions?startDate={startDate}&amp;endDate={endDate}&amp;page={page}&amp;limit={limit}</t>
        </is>
      </c>
      <c r="W264" s="19" t="inlineStr">
        <is>
          <t>info-loan</t>
        </is>
      </c>
      <c r="X264" s="19" t="inlineStr">
        <is>
          <t>ECLIPSE_Account Dashboard_Loan_DDD_API_Design_v1_Workshop.xlsx</t>
        </is>
      </c>
      <c r="Y264" s="19" t="inlineStr">
        <is>
          <t>1.2.1 View All Trans</t>
        </is>
      </c>
      <c r="Z264" s="19" t="inlineStr">
        <is>
          <t>API_Specs_Index!A5:H5</t>
        </is>
      </c>
      <c r="AA264" s="22" t="inlineStr">
        <is>
          <t>API-028</t>
        </is>
      </c>
      <c r="AB264" s="19" t="inlineStr">
        <is>
          <t>Mapped to View all transaction history because the test case terms align with the 1.2.1 View All Trans journey in the applicable API specification.</t>
        </is>
      </c>
      <c r="AC264" s="19" t="inlineStr">
        <is>
          <t>High</t>
        </is>
      </c>
      <c r="AD264"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265" ht="409.6" customHeight="1" s="2">
      <c r="A265" s="15" t="inlineStr">
        <is>
          <t>TC-B1-0264</t>
        </is>
      </c>
      <c r="B265" s="16" t="inlineStr">
        <is>
          <t>TS-B1-220</t>
        </is>
      </c>
      <c r="C265" s="16" t="inlineStr">
        <is>
          <t>Acct Dashboard Non-Financing</t>
        </is>
      </c>
      <c r="D265" s="16" t="inlineStr">
        <is>
          <t>Dashboard — Deposits</t>
        </is>
      </c>
      <c r="E265" s="16" t="inlineStr">
        <is>
          <t>Validate Step 19 — 1.2.7 Giro Multicurrency Account Details for Giro Multicurrency Account — USD-base</t>
        </is>
      </c>
      <c r="F265" s="16" t="inlineStr">
        <is>
          <t>UI / Functional</t>
        </is>
      </c>
      <c r="G265" s="16" t="inlineStr">
        <is>
          <t>High</t>
        </is>
      </c>
      <c r="H265" s="16" t="inlineStr">
        <is>
          <t>Eligible user and product are available. Trigger the stated condition: Step 19 — Transactions / Manage tabs; USD base currency; My Currencies (USD first, then latest transacted, then newly added; allowed: USD, SGD, AUD, GBP, EUR, JPY, CNH); overdraft applicable; Manage: Add/Edit Nickname, Set as Primary, Manage Linked Card, Block Account; FCY deposit via branch/ATM auto-displays bucket</t>
        </is>
      </c>
      <c r="I265" s="16" t="inlineStr">
        <is>
          <t>Account / Card / Policy Type: Active / Blocked MCA; USD base + FCY buckets; product codes 082, 298, 299; applied via branch only; Currency / FCY Criteria: USD base + USD, SGD, AUD, GBP, EUR, JPY, CNH; indicative IDR equivalents</t>
        </is>
      </c>
      <c r="J265" s="16" t="inlineStr">
        <is>
          <t>1. Open Giro Multicurrency Account — USD-base.
2. Navigate to Step 19 — 1.2.7 Giro Multicurrency Account Details.
3. Perform the action or trigger described by: Step 19 — Transactions / Manage tabs; USD base currency; My Currencies (USD first, then latest transacted, then newly added; allowed: USD, SGD, AUD, GBP, EUR, JPY, CNH); overdraft applicable; Manage: Add/Edit Nickname, Set as Primary, Manage Linked Card, Block Account; FCY deposit via branch/ATM auto-displays bucket.
4. Observe the page, validation, navigation, and resulting state.</t>
        </is>
      </c>
      <c r="K265" s="16" t="inlineStr">
        <is>
          <t>Step 19 — 1.2.7 Giro Multicurrency Account Details behaves according to the mapped requirement (Step 19 — Transactions / Manage tabs; USD base currency; My Currencies (USD first, then latest transacted, then newly added; allowed: USD, SGD, AUD, GBP, EUR, JPY, CNH); overdraft applicable; Manage: Add/Edit Nickname, Set as Primary, Manage Linked Card, Block Account; FCY deposit via branch/ATM auto-displays bucket); data, controls, navigation, and status are accurate and consistent.</t>
        </is>
      </c>
      <c r="L265" s="16" t="inlineStr">
        <is>
          <t>L3 direct access; S2U required for: Manage Linked Card, Block Account</t>
        </is>
      </c>
      <c r="M265" s="16" t="inlineStr">
        <is>
          <t>Account details displayed; currency buckets displayed; S2U success / unsuccessful / authorisation failed for Manage Linked Card, Block Account</t>
        </is>
      </c>
      <c r="N265" s="16" t="inlineStr">
        <is>
          <t>Acct Dashboard Non-Financing!A28:H28</t>
        </is>
      </c>
      <c r="O265" s="16" t="inlineStr">
        <is>
          <t>Not Run</t>
        </is>
      </c>
      <c r="P265" s="16" t="n"/>
      <c r="Q265" s="16" t="n"/>
      <c r="R265" s="17" t="inlineStr">
        <is>
          <t>Conditional coverage required.</t>
        </is>
      </c>
      <c r="S265" s="19" t="inlineStr">
        <is>
          <t>Loan API Design</t>
        </is>
      </c>
      <c r="T265" s="19" t="inlineStr">
        <is>
          <t>Loan transaction history</t>
        </is>
      </c>
      <c r="U265" s="19" t="inlineStr">
        <is>
          <t>GET</t>
        </is>
      </c>
      <c r="V265" s="19" t="inlineStr">
        <is>
          <t>/v1/external/accounts/account-type/{accountType}/account-id/{accountId}/transactions</t>
        </is>
      </c>
      <c r="W265" s="19" t="inlineStr">
        <is>
          <t>info-loan</t>
        </is>
      </c>
      <c r="X265" s="19" t="inlineStr">
        <is>
          <t>ECLIPSE_Account Dashboard_Loan_DDD_API_Design_v1_Workshop.xlsx</t>
        </is>
      </c>
      <c r="Y265" s="19" t="inlineStr">
        <is>
          <t>1.2 Personal Loan Acc
1.2.4 PL Shariah Acc
1.3 Auto Loan Acc
1.3.1 Auto Loan Shariah
1.4 Mortgage Loan Acc
1.4.1 Mortgage Loan Shariah</t>
        </is>
      </c>
      <c r="Z265" s="19" t="inlineStr">
        <is>
          <t>API_Specs_Index!A4:H4</t>
        </is>
      </c>
      <c r="AA265" s="22" t="inlineStr">
        <is>
          <t>API-027</t>
        </is>
      </c>
      <c r="AB265"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65" s="19" t="inlineStr">
        <is>
          <t>High</t>
        </is>
      </c>
      <c r="AD265" s="19" t="inlineStr">
        <is>
          <t>Pending ESB Spec</t>
        </is>
      </c>
    </row>
    <row r="266" ht="409.6" customHeight="1" s="2">
      <c r="A266" s="12" t="inlineStr">
        <is>
          <t>TC-B1-0265</t>
        </is>
      </c>
      <c r="B266" s="13" t="inlineStr">
        <is>
          <t>TS-B1-221</t>
        </is>
      </c>
      <c r="C266" s="13" t="inlineStr">
        <is>
          <t>Acct Dashboard Non-Financing</t>
        </is>
      </c>
      <c r="D266" s="13" t="inlineStr">
        <is>
          <t>Dashboard — Deposits</t>
        </is>
      </c>
      <c r="E266" s="13" t="inlineStr">
        <is>
          <t>Validate ViewAllTrans — Transaction History Display Rule for Giro Multicurrency Account — USD-base</t>
        </is>
      </c>
      <c r="F266" s="13" t="inlineStr">
        <is>
          <t>UI / Functional</t>
        </is>
      </c>
      <c r="G266" s="13" t="inlineStr">
        <is>
          <t>Medium</t>
        </is>
      </c>
      <c r="H266" s="13" t="inlineStr">
        <is>
          <t>Eligible user and product are available. User has reached the preceding journey step.</t>
        </is>
      </c>
      <c r="I266" s="13" t="inlineStr">
        <is>
          <t>Account / Card / Policy Type: Active / Blocked MCA; USD base + FCY buckets; product codes 082, 298, 299; applied via branch only; Currency / FCY Criteria: USD base + USD, SGD, AUD, GBP, EUR, JPY, CNH; indicative IDR equivalents</t>
        </is>
      </c>
      <c r="J266" s="13" t="inlineStr">
        <is>
          <t>1. Open Giro Multicurrency Account — USD-base.
2. Navigate to ViewAllTrans — Transaction History Display Rule.
3. Perform the action or trigger described by: Transactions tab: latest 10; YTD + last 2 years; ViewAllTrans via sticky hyperlink.
4. Observe the page, validation, navigation, and resulting state.</t>
        </is>
      </c>
      <c r="K266" s="13" t="inlineStr">
        <is>
          <t>ViewAllTrans — Transaction History Display Rule behaves according to the mapped requirement (Transactions tab: latest 10; YTD + last 2 years; ViewAllTrans via sticky hyperlink); data, controls, navigation, and status are accurate and consistent.</t>
        </is>
      </c>
      <c r="L266" s="13" t="inlineStr">
        <is>
          <t>L3 direct access; S2U required for: Manage Linked Card, Block Account</t>
        </is>
      </c>
      <c r="M266" s="13" t="inlineStr">
        <is>
          <t>Account details displayed; currency buckets displayed; S2U success / unsuccessful / authorisation failed for Manage Linked Card, Block Account</t>
        </is>
      </c>
      <c r="N266" s="13" t="inlineStr">
        <is>
          <t>Acct Dashboard Non-Financing!A40:H40</t>
        </is>
      </c>
      <c r="O266" s="13" t="inlineStr">
        <is>
          <t>Not Run</t>
        </is>
      </c>
      <c r="P266" s="13" t="n"/>
      <c r="Q266" s="13" t="n"/>
      <c r="R266" s="14" t="n"/>
      <c r="S266" s="19" t="inlineStr">
        <is>
          <t>Loan API Design</t>
        </is>
      </c>
      <c r="T266" s="19" t="inlineStr">
        <is>
          <t>View all transaction history</t>
        </is>
      </c>
      <c r="U266" s="19" t="inlineStr">
        <is>
          <t>GET</t>
        </is>
      </c>
      <c r="V266" s="19" t="inlineStr">
        <is>
          <t>/v1/external/accounts/account-type/{accountType}/account-id/{accountId}/transactions?startDate={startDate}&amp;endDate={endDate}&amp;page={page}&amp;limit={limit}</t>
        </is>
      </c>
      <c r="W266" s="19" t="inlineStr">
        <is>
          <t>info-loan</t>
        </is>
      </c>
      <c r="X266" s="19" t="inlineStr">
        <is>
          <t>ECLIPSE_Account Dashboard_Loan_DDD_API_Design_v1_Workshop.xlsx</t>
        </is>
      </c>
      <c r="Y266" s="19" t="inlineStr">
        <is>
          <t>1.2.1 View All Trans</t>
        </is>
      </c>
      <c r="Z266" s="19" t="inlineStr">
        <is>
          <t>API_Specs_Index!A5:H5</t>
        </is>
      </c>
      <c r="AA266" s="22" t="inlineStr">
        <is>
          <t>API-028</t>
        </is>
      </c>
      <c r="AB266" s="19" t="inlineStr">
        <is>
          <t>Mapped to View all transaction history because the test case terms align with the 1.2.1 View All Trans journey in the applicable API specification.</t>
        </is>
      </c>
      <c r="AC266" s="19" t="inlineStr">
        <is>
          <t>High</t>
        </is>
      </c>
      <c r="AD266"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267" ht="409.6" customHeight="1" s="2">
      <c r="A267" s="15" t="inlineStr">
        <is>
          <t>TC-B1-0266</t>
        </is>
      </c>
      <c r="B267" s="16" t="inlineStr">
        <is>
          <t>TS-B1-222</t>
        </is>
      </c>
      <c r="C267" s="16" t="inlineStr">
        <is>
          <t>Acct Dashboard Non-Financing</t>
        </is>
      </c>
      <c r="D267" s="16" t="inlineStr">
        <is>
          <t>Dashboard — Deposits</t>
        </is>
      </c>
      <c r="E267" s="16" t="inlineStr">
        <is>
          <t>Validate Joint-AND Account Restrictions for Giro Multicurrency Account — USD-base</t>
        </is>
      </c>
      <c r="F267" s="16" t="inlineStr">
        <is>
          <t>Functional</t>
        </is>
      </c>
      <c r="G267" s="16" t="inlineStr">
        <is>
          <t>Medium</t>
        </is>
      </c>
      <c r="H267" s="16" t="inlineStr">
        <is>
          <t>Eligible user and product are available. User has reached the preceding journey step.</t>
        </is>
      </c>
      <c r="I267" s="16" t="inlineStr">
        <is>
          <t>Account / Card / Policy Type: Active / Blocked MCA; USD base + FCY buckets; product codes 082, 298, 299; applied via branch only; Currency / FCY Criteria: USD base + USD, SGD, AUD, GBP, EUR, JPY, CNH; indicative IDR equivalents</t>
        </is>
      </c>
      <c r="J267" s="16" t="inlineStr">
        <is>
          <t>1. Open Giro Multicurrency Account — USD-base.
2. Navigate to Joint-AND Account Restrictions.
3. Perform the action or trigger described by: Joint-AND restrictions apply same as CASA per NGBO config.
4. Observe the page, validation, navigation, and resulting state.</t>
        </is>
      </c>
      <c r="K267" s="16" t="inlineStr">
        <is>
          <t>Joint-AND Account Restrictions behaves according to the mapped requirement (Joint-AND restrictions apply same as CASA per NGBO config); data, controls, navigation, and status are accurate and consistent.</t>
        </is>
      </c>
      <c r="L267" s="16" t="inlineStr">
        <is>
          <t>L3 direct access; S2U required for: Manage Linked Card, Block Account</t>
        </is>
      </c>
      <c r="M267" s="16" t="inlineStr">
        <is>
          <t>Account details displayed; currency buckets displayed; S2U success / unsuccessful / authorisation failed for Manage Linked Card, Block Account</t>
        </is>
      </c>
      <c r="N267" s="16" t="inlineStr">
        <is>
          <t>Acct Dashboard Non-Financing!A42:H42</t>
        </is>
      </c>
      <c r="O267" s="16" t="inlineStr">
        <is>
          <t>Not Run</t>
        </is>
      </c>
      <c r="P267" s="16" t="n"/>
      <c r="Q267" s="16" t="n"/>
      <c r="R267" s="17" t="n"/>
      <c r="S267" s="19" t="inlineStr">
        <is>
          <t>Loan API Design</t>
        </is>
      </c>
      <c r="T267" s="19" t="inlineStr">
        <is>
          <t>Loan dashboard</t>
        </is>
      </c>
      <c r="U267" s="19" t="inlineStr">
        <is>
          <t>GET</t>
        </is>
      </c>
      <c r="V267" s="19" t="inlineStr">
        <is>
          <t>/v1/external/accounts?accountGroup={accountGroup}</t>
        </is>
      </c>
      <c r="W267" s="19" t="inlineStr">
        <is>
          <t>dep-dashboard</t>
        </is>
      </c>
      <c r="X267" s="19" t="inlineStr">
        <is>
          <t>ECLIPSE_Account Dashboard_Loan_DDD_API_Design_v1_Workshop.xlsx</t>
        </is>
      </c>
      <c r="Y267" s="19" t="inlineStr">
        <is>
          <t>1.1 Loan Dashboard - Landing</t>
        </is>
      </c>
      <c r="Z267" s="19" t="inlineStr">
        <is>
          <t>API_Specs_Index!A2:H2</t>
        </is>
      </c>
      <c r="AA267" s="22" t="inlineStr">
        <is>
          <t>API-026</t>
        </is>
      </c>
      <c r="AB267" s="19" t="inlineStr">
        <is>
          <t>Mapped to Loan dashboard because the test case terms align with the 1.1 Loan Dashboard - Landing journey in the applicable API specification.</t>
        </is>
      </c>
      <c r="AC267" s="19" t="inlineStr">
        <is>
          <t>Medium</t>
        </is>
      </c>
      <c r="AD267" s="19" t="inlineStr">
        <is>
          <t>When user tap "Loan/Financing" tab and screen is loaded getDashboard dep-dashboard GET /v1/external/accounts?featureType={featureType} example : /v1/external/accounts?featureType=DASHBOARD_LOAN { "status": 200, "message": "Request processed succes...</t>
        </is>
      </c>
    </row>
    <row r="268" ht="409.6" customHeight="1" s="2">
      <c r="A268" s="12" t="inlineStr">
        <is>
          <t>TC-B1-0267</t>
        </is>
      </c>
      <c r="B268" s="13" t="inlineStr">
        <is>
          <t>TS-B1-223</t>
        </is>
      </c>
      <c r="C268" s="13" t="inlineStr">
        <is>
          <t>Acct Dashboard Non-Financing</t>
        </is>
      </c>
      <c r="D268" s="13" t="inlineStr">
        <is>
          <t>Dashboard — Deposits</t>
        </is>
      </c>
      <c r="E268" s="13" t="inlineStr">
        <is>
          <t>Validate Business Profile / IBO Disclaimer for Giro Multicurrency Account — USD-base</t>
        </is>
      </c>
      <c r="F268" s="13" t="inlineStr">
        <is>
          <t>Functional</t>
        </is>
      </c>
      <c r="G268" s="13" t="inlineStr">
        <is>
          <t>Medium</t>
        </is>
      </c>
      <c r="H268" s="13" t="inlineStr">
        <is>
          <t>Eligible user and product are available. Trigger the stated condition: Not applicable</t>
        </is>
      </c>
      <c r="I268" s="13" t="inlineStr">
        <is>
          <t>Account / Card / Policy Type: Active / Blocked MCA; USD base + FCY buckets; product codes 082, 298, 299; applied via branch only; Currency / FCY Criteria: USD base + USD, SGD, AUD, GBP, EUR, JPY, CNH; indicative IDR equivalents</t>
        </is>
      </c>
      <c r="J268" s="13" t="inlineStr">
        <is>
          <t>1. Open Giro Multicurrency Account — USD-base.
2. Navigate to Business Profile / IBO Disclaimer.
3. Perform the action or trigger described by: Not applicable.
4. Observe the page, validation, navigation, and resulting state.</t>
        </is>
      </c>
      <c r="K268" s="13" t="inlineStr">
        <is>
          <t>Business Profile / IBO Disclaimer behaves according to the mapped requirement (Not applicable); data, controls, navigation, and status are accurate and consistent.</t>
        </is>
      </c>
      <c r="L268" s="13" t="inlineStr">
        <is>
          <t>L3 direct access; S2U required for: Manage Linked Card, Block Account</t>
        </is>
      </c>
      <c r="M268" s="13" t="inlineStr">
        <is>
          <t>Account details displayed; currency buckets displayed; S2U success / unsuccessful / authorisation failed for Manage Linked Card, Block Account</t>
        </is>
      </c>
      <c r="N268" s="13" t="inlineStr">
        <is>
          <t>Acct Dashboard Non-Financing!A43:H43</t>
        </is>
      </c>
      <c r="O268" s="13" t="inlineStr">
        <is>
          <t>Not Run</t>
        </is>
      </c>
      <c r="P268" s="13" t="n"/>
      <c r="Q268" s="13" t="n"/>
      <c r="R268" s="14" t="inlineStr">
        <is>
          <t>Conditional coverage required.</t>
        </is>
      </c>
      <c r="S268" s="19" t="inlineStr">
        <is>
          <t>Loan API Design</t>
        </is>
      </c>
      <c r="T268" s="19" t="inlineStr">
        <is>
          <t>Loan dashboard</t>
        </is>
      </c>
      <c r="U268" s="19" t="inlineStr">
        <is>
          <t>GET</t>
        </is>
      </c>
      <c r="V268" s="19" t="inlineStr">
        <is>
          <t>/v1/external/accounts?accountGroup={accountGroup}</t>
        </is>
      </c>
      <c r="W268" s="19" t="inlineStr">
        <is>
          <t>dep-dashboard</t>
        </is>
      </c>
      <c r="X268" s="19" t="inlineStr">
        <is>
          <t>ECLIPSE_Account Dashboard_Loan_DDD_API_Design_v1_Workshop.xlsx</t>
        </is>
      </c>
      <c r="Y268" s="19" t="inlineStr">
        <is>
          <t>1.1 Loan Dashboard - Landing</t>
        </is>
      </c>
      <c r="Z268" s="19" t="inlineStr">
        <is>
          <t>API_Specs_Index!A2:H2</t>
        </is>
      </c>
      <c r="AA268" s="22" t="inlineStr">
        <is>
          <t>API-026</t>
        </is>
      </c>
      <c r="AB268" s="19" t="inlineStr">
        <is>
          <t>Mapped to Loan dashboard because the test case terms align with the 1.1 Loan Dashboard - Landing journey in the applicable API specification.</t>
        </is>
      </c>
      <c r="AC268" s="19" t="inlineStr">
        <is>
          <t>Medium</t>
        </is>
      </c>
      <c r="AD268" s="19" t="inlineStr">
        <is>
          <t>When user tap "Loan/Financing" tab and screen is loaded getDashboard dep-dashboard GET /v1/external/accounts?featureType={featureType} example : /v1/external/accounts?featureType=DASHBOARD_LOAN { "status": 200, "message": "Request processed succes...</t>
        </is>
      </c>
    </row>
    <row r="269" ht="409.6" customHeight="1" s="2">
      <c r="A269" s="15" t="inlineStr">
        <is>
          <t>TC-B1-0268</t>
        </is>
      </c>
      <c r="B269" s="16" t="inlineStr">
        <is>
          <t>TS-B1-224</t>
        </is>
      </c>
      <c r="C269" s="16" t="inlineStr">
        <is>
          <t>Acct Dashboard Non-Financing</t>
        </is>
      </c>
      <c r="D269" s="16" t="inlineStr">
        <is>
          <t>Dashboard — Deposits</t>
        </is>
      </c>
      <c r="E269" s="16" t="inlineStr">
        <is>
          <t>Validate External FSD References for Giro Multicurrency Account — USD-base</t>
        </is>
      </c>
      <c r="F269" s="16" t="inlineStr">
        <is>
          <t>Functional</t>
        </is>
      </c>
      <c r="G269" s="16" t="inlineStr">
        <is>
          <t>High</t>
        </is>
      </c>
      <c r="H269" s="16" t="inlineStr">
        <is>
          <t>Eligible user and product are available. User has reached the preceding journey step.</t>
        </is>
      </c>
      <c r="I269" s="16" t="inlineStr">
        <is>
          <t>Account / Card / Policy Type: Active / Blocked MCA; USD base + FCY buckets; product codes 082, 298, 299; applied via branch only; Currency / FCY Criteria: USD base + USD, SGD, AUD, GBP, EUR, JPY, CNH; indicative IDR equivalents</t>
        </is>
      </c>
      <c r="J269" s="16" t="inlineStr">
        <is>
          <t>1. Open Giro Multicurrency Account — USD-base.
2. Navigate to External FSD References.
3. Perform the action or trigger described by: Add/Edit Nickname: refer to AD Common FSD; Set as Primary: refer to AD Common FSD; Manage Linked Card: refer to 1.2.1.3; Block Account: refer to 1.2.1.4; View Statements: refer to Document FSD.
4. Observe the page, validation, navigation, and resulting state.</t>
        </is>
      </c>
      <c r="K269" s="16" t="inlineStr">
        <is>
          <t>External FSD References behaves according to the mapped requirement (Add/Edit Nickname: refer to AD Common FSD; Set as Primary: refer to AD Common FSD; Manage Linked Card: refer to 1.2.1.3; Block Account: refer to 1.2.1.4; View Statements: refer to Document FSD); data, controls, navigation, and status are accurate and consistent.</t>
        </is>
      </c>
      <c r="L269" s="16" t="inlineStr">
        <is>
          <t>L3 direct access; S2U required for: Manage Linked Card, Block Account</t>
        </is>
      </c>
      <c r="M269" s="16" t="inlineStr">
        <is>
          <t>Account details displayed; currency buckets displayed; S2U success / unsuccessful / authorisation failed for Manage Linked Card, Block Account</t>
        </is>
      </c>
      <c r="N269" s="16" t="inlineStr">
        <is>
          <t>Acct Dashboard Non-Financing!A45:H45</t>
        </is>
      </c>
      <c r="O269" s="16" t="inlineStr">
        <is>
          <t>Not Run</t>
        </is>
      </c>
      <c r="P269" s="16" t="n"/>
      <c r="Q269" s="16" t="n"/>
      <c r="R269" s="17" t="n"/>
      <c r="S269" s="19" t="inlineStr">
        <is>
          <t>Loan API Design</t>
        </is>
      </c>
      <c r="T269" s="19" t="inlineStr">
        <is>
          <t>View all transaction history</t>
        </is>
      </c>
      <c r="U269" s="19" t="inlineStr">
        <is>
          <t>GET</t>
        </is>
      </c>
      <c r="V269" s="19" t="inlineStr">
        <is>
          <t>/v1/external/accounts/account-type/{accountType}/account-id/{accountId}/transactions?startDate={startDate}&amp;endDate={endDate}&amp;page={page}&amp;limit={limit}</t>
        </is>
      </c>
      <c r="W269" s="19" t="inlineStr">
        <is>
          <t>info-loan</t>
        </is>
      </c>
      <c r="X269" s="19" t="inlineStr">
        <is>
          <t>ECLIPSE_Account Dashboard_Loan_DDD_API_Design_v1_Workshop.xlsx</t>
        </is>
      </c>
      <c r="Y269" s="19" t="inlineStr">
        <is>
          <t>1.2.1 View All Trans</t>
        </is>
      </c>
      <c r="Z269" s="19" t="inlineStr">
        <is>
          <t>API_Specs_Index!A5:H5</t>
        </is>
      </c>
      <c r="AA269" s="22" t="inlineStr">
        <is>
          <t>API-028</t>
        </is>
      </c>
      <c r="AB269" s="19" t="inlineStr">
        <is>
          <t>Mapped to View all transaction history because the test case terms align with the 1.2.1 View All Trans journey in the applicable API specification.</t>
        </is>
      </c>
      <c r="AC269" s="19" t="inlineStr">
        <is>
          <t>High</t>
        </is>
      </c>
      <c r="AD269" s="19" t="inlineStr">
        <is>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is>
      </c>
    </row>
    <row r="270" ht="409.6" customHeight="1" s="2">
      <c r="A270" s="12" t="inlineStr">
        <is>
          <t>TC-B1-0269</t>
        </is>
      </c>
      <c r="B270" s="13" t="inlineStr">
        <is>
          <t>TS-B1-225</t>
        </is>
      </c>
      <c r="C270" s="13" t="inlineStr">
        <is>
          <t>Acct Dashboard Non-Financing</t>
        </is>
      </c>
      <c r="D270" s="13" t="inlineStr">
        <is>
          <t>Dashboard — Deposits</t>
        </is>
      </c>
      <c r="E270" s="13" t="inlineStr">
        <is>
          <t>Validate successful final state for Giro Multicurrency Account — USD-base</t>
        </is>
      </c>
      <c r="F270" s="13" t="inlineStr">
        <is>
          <t>Positive</t>
        </is>
      </c>
      <c r="G270" s="13" t="inlineStr">
        <is>
          <t>High</t>
        </is>
      </c>
      <c r="H270" s="13" t="inlineStr">
        <is>
          <t>All required inputs and services are valid. Expected statuses: Account details displayed; currency buckets displayed; S2U success / unsuccessful / authorisation failed for Manage Linked Card, Block Account</t>
        </is>
      </c>
      <c r="I270" s="13" t="inlineStr">
        <is>
          <t>Account / Card / Policy Type: Active / Blocked MCA; USD base + FCY buckets; product codes 082, 298, 299; applied via branch only; Currency / FCY Criteria: USD base + USD, SGD, AUD, GBP, EUR, JPY, CNH; indicative IDR equivalents</t>
        </is>
      </c>
      <c r="J270" s="13" t="inlineStr">
        <is>
          <t>1. Complete the end-to-end journey with valid data.
2. Submit/confirm the final action.
3. Verify result, receipt/notification where applicable, and persisted state.</t>
        </is>
      </c>
      <c r="K270" s="13" t="inlineStr">
        <is>
          <t>A valid success status from the requirement is shown. The transaction or change is applied once, persisted, and reflected on refresh.</t>
        </is>
      </c>
      <c r="L270" s="13" t="inlineStr">
        <is>
          <t>L3 direct access; S2U required for: Manage Linked Card, Block Account</t>
        </is>
      </c>
      <c r="M270" s="13" t="inlineStr">
        <is>
          <t>Account details displayed; currency buckets displayed; S2U success / unsuccessful / authorisation failed for Manage Linked Card, Block Account</t>
        </is>
      </c>
      <c r="N270" s="13" t="inlineStr">
        <is>
          <t>Acct Dashboard Non-Financing!H1:H45</t>
        </is>
      </c>
      <c r="O270" s="13" t="inlineStr">
        <is>
          <t>Not Run</t>
        </is>
      </c>
      <c r="P270" s="13" t="n"/>
      <c r="Q270" s="13" t="n"/>
      <c r="R270" s="14" t="n"/>
      <c r="S270" s="19" t="inlineStr">
        <is>
          <t>Loan API Design</t>
        </is>
      </c>
      <c r="T270" s="19" t="inlineStr">
        <is>
          <t>Loan transaction history</t>
        </is>
      </c>
      <c r="U270" s="19" t="inlineStr">
        <is>
          <t>GET</t>
        </is>
      </c>
      <c r="V270" s="19" t="inlineStr">
        <is>
          <t>/v1/external/accounts/account-type/{accountType}/account-id/{accountId}/transactions</t>
        </is>
      </c>
      <c r="W270" s="19" t="inlineStr">
        <is>
          <t>info-loan</t>
        </is>
      </c>
      <c r="X270" s="19" t="inlineStr">
        <is>
          <t>ECLIPSE_Account Dashboard_Loan_DDD_API_Design_v1_Workshop.xlsx</t>
        </is>
      </c>
      <c r="Y270" s="19" t="inlineStr">
        <is>
          <t>1.2 Personal Loan Acc
1.2.4 PL Shariah Acc
1.3 Auto Loan Acc
1.3.1 Auto Loan Shariah
1.4 Mortgage Loan Acc
1.4.1 Mortgage Loan Shariah</t>
        </is>
      </c>
      <c r="Z270" s="19" t="inlineStr">
        <is>
          <t>API_Specs_Index!A4:H4</t>
        </is>
      </c>
      <c r="AA270" s="22" t="inlineStr">
        <is>
          <t>API-027</t>
        </is>
      </c>
      <c r="AB270" s="19" t="inlineStr">
        <is>
          <t>Mapped to Loan transaction history because the test case terms align with the 1.2 Personal Loan Acc
1.2.4 PL Shariah Acc
1.3 Auto Loan Acc
1.3.1 Auto Loan Shariah
1.4 Mortgage Loan Acc
1.4.1 Mortgage Loan Shariah journey in the applicable API specification.</t>
        </is>
      </c>
      <c r="AC270" s="19" t="inlineStr">
        <is>
          <t>High</t>
        </is>
      </c>
      <c r="AD270" s="19" t="inlineStr">
        <is>
          <t>Pending ESB Spec</t>
        </is>
      </c>
    </row>
    <row r="271" ht="409.6" customHeight="1" s="2">
      <c r="A271" s="15" t="inlineStr">
        <is>
          <t>TC-B1-0270</t>
        </is>
      </c>
      <c r="B271" s="16" t="inlineStr">
        <is>
          <t>TS-B1-225</t>
        </is>
      </c>
      <c r="C271" s="16" t="inlineStr">
        <is>
          <t>Acct Dashboard Non-Financing</t>
        </is>
      </c>
      <c r="D271" s="16" t="inlineStr">
        <is>
          <t>Dashboard — Deposits</t>
        </is>
      </c>
      <c r="E271" s="16" t="inlineStr">
        <is>
          <t>Validate service failure and retry for Giro Multicurrency Account — USD-base</t>
        </is>
      </c>
      <c r="F271" s="16" t="inlineStr">
        <is>
          <t>Negative</t>
        </is>
      </c>
      <c r="G271" s="16" t="inlineStr">
        <is>
          <t>High</t>
        </is>
      </c>
      <c r="H271" s="16" t="inlineStr">
        <is>
          <t>Journey is available; simulate a controlled downstream timeout or unsuccessful response. Expected statuses: Account details displayed; currency buckets displayed; S2U success / unsuccessful / authorisation failed for Manage Linked Card, Block Account</t>
        </is>
      </c>
      <c r="I271" s="16" t="inlineStr">
        <is>
          <t>Account / Card / Policy Type: Active / Blocked MCA; USD base + FCY buckets; product codes 082, 298, 299; applied via branch only; Currency / FCY Criteria: USD base + USD, SGD, AUD, GBP, EUR, JPY, CNH; indicative IDR equivalents</t>
        </is>
      </c>
      <c r="J271" s="16" t="inlineStr">
        <is>
          <t>1. Progress to the final action.
2. Trigger a timeout, unavailable service, or unsuccessful response.
3. Verify the error message and retry behavior.
4. Retry after service recovery.</t>
        </is>
      </c>
      <c r="K271" s="16" t="inlineStr">
        <is>
          <t>No duplicate action occurs. The configured unsuccessful/processing state is shown, retry is safe, and final status becomes consistent after recovery.</t>
        </is>
      </c>
      <c r="L271" s="16" t="inlineStr">
        <is>
          <t>L3 direct access; S2U required for: Manage Linked Card, Block Account</t>
        </is>
      </c>
      <c r="M271" s="16" t="inlineStr">
        <is>
          <t>Account details displayed; currency buckets displayed; S2U success / unsuccessful / authorisation failed for Manage Linked Card, Block Account</t>
        </is>
      </c>
      <c r="N271" s="16" t="inlineStr">
        <is>
          <t>Acct Dashboard Non-Financing!H1:H45</t>
        </is>
      </c>
      <c r="O271" s="16" t="inlineStr">
        <is>
          <t>Not Run</t>
        </is>
      </c>
      <c r="P271" s="16" t="n"/>
      <c r="Q271" s="16" t="n"/>
      <c r="R271" s="17" t="n"/>
      <c r="S271" s="19" t="inlineStr">
        <is>
          <t>Loan API Design</t>
        </is>
      </c>
      <c r="T271" s="19" t="inlineStr">
        <is>
          <t>Loan dashboard</t>
        </is>
      </c>
      <c r="U271" s="19" t="inlineStr">
        <is>
          <t>GET</t>
        </is>
      </c>
      <c r="V271" s="19" t="inlineStr">
        <is>
          <t>/v1/external/accounts?accountGroup={accountGroup}</t>
        </is>
      </c>
      <c r="W271" s="19" t="inlineStr">
        <is>
          <t>dep-dashboard</t>
        </is>
      </c>
      <c r="X271" s="19" t="inlineStr">
        <is>
          <t>ECLIPSE_Account Dashboard_Loan_DDD_API_Design_v1_Workshop.xlsx</t>
        </is>
      </c>
      <c r="Y271" s="19" t="inlineStr">
        <is>
          <t>1.1 Loan Dashboard - Landing</t>
        </is>
      </c>
      <c r="Z271" s="19" t="inlineStr">
        <is>
          <t>API_Specs_Index!A2:H2</t>
        </is>
      </c>
      <c r="AA271" s="22" t="inlineStr">
        <is>
          <t>API-026</t>
        </is>
      </c>
      <c r="AB271" s="19" t="inlineStr">
        <is>
          <t>Mapped to Loan dashboard because the test case terms align with the 1.1 Loan Dashboard - Landing journey in the applicable API specification.</t>
        </is>
      </c>
      <c r="AC271" s="19" t="inlineStr">
        <is>
          <t>Medium</t>
        </is>
      </c>
      <c r="AD271" s="19" t="inlineStr">
        <is>
          <t>When user tap "Loan/Financing" tab and screen is loaded getDashboard dep-dashboard GET /v1/external/accounts?featureType={featureType} example : /v1/external/accounts?featureType=DASHBOARD_LOAN { "status": 200, "message": "Request processed succes...</t>
        </is>
      </c>
    </row>
    <row r="272" ht="409.6" customHeight="1" s="2">
      <c r="A272" s="12" t="inlineStr">
        <is>
          <t>TC-B1-0271</t>
        </is>
      </c>
      <c r="B272" s="13" t="inlineStr">
        <is>
          <t>TS-B1-226</t>
        </is>
      </c>
      <c r="C272" s="13" t="inlineStr">
        <is>
          <t>Acct Dashboard Non-Financing</t>
        </is>
      </c>
      <c r="D272" s="13" t="inlineStr">
        <is>
          <t>Dashboard — Cards</t>
        </is>
      </c>
      <c r="E272" s="13" t="inlineStr">
        <is>
          <t>Open Debit Card (all product codes per NGBO BIN-PAN mapping) from valid entry point</t>
        </is>
      </c>
      <c r="F272" s="13" t="inlineStr">
        <is>
          <t>Positive</t>
        </is>
      </c>
      <c r="G272" s="13" t="inlineStr">
        <is>
          <t>Medium</t>
        </is>
      </c>
      <c r="H272" s="13" t="inlineStr">
        <is>
          <t>Eligible user: L3 post-login; personal card holder</t>
        </is>
      </c>
      <c r="I272" s="13" t="inlineStr">
        <is>
          <t>Account / Card / Policy Type: Active / Temporarily Blocked / Blocked / Pending Activation debit card; Global Access card vs standard debit card distinguished via BIN-PAN; Currency / FCY Criteria: IDR; replacement fee in IDR for FCY debit cards as well</t>
        </is>
      </c>
      <c r="J272" s="13" t="inlineStr">
        <is>
          <t>1. Sign in at the required access level.
2. Navigate using: Account Dashboard Landing → Cards tab → Debit Card sub-tab; or Account Details → View linked card.
3. Select Debit Card (all product codes per NGBO BIN-PAN mapping).</t>
        </is>
      </c>
      <c r="K272" s="13" t="inlineStr">
        <is>
          <t>The correct Dashboard — Cards page opens and relevant product information is displayed without error.</t>
        </is>
      </c>
      <c r="L272" s="13" t="inlineStr">
        <is>
          <t>S2U required for: Card Activation, Reset Card PIN, Block Card, Unblock Card, Replace Card, Card Details (view masked card details drawer), Change Linked Accounts</t>
        </is>
      </c>
      <c r="M272" s="13"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72" s="13" t="inlineStr">
        <is>
          <t>Acct Dashboard Non-Financing!I1:I45</t>
        </is>
      </c>
      <c r="O272" s="13" t="inlineStr">
        <is>
          <t>Not Run</t>
        </is>
      </c>
      <c r="P272" s="13" t="n"/>
      <c r="Q272" s="13" t="n"/>
      <c r="R272" s="14" t="n"/>
      <c r="S272" s="19" t="inlineStr">
        <is>
          <t>Debit Card API Design</t>
        </is>
      </c>
      <c r="T272" s="19" t="inlineStr">
        <is>
          <t>Debit card block</t>
        </is>
      </c>
      <c r="U272" s="19" t="inlineStr">
        <is>
          <t>POST</t>
        </is>
      </c>
      <c r="V272" s="19" t="inlineStr">
        <is>
          <t>/v1/external/cards/block</t>
        </is>
      </c>
      <c r="W272" s="19" t="inlineStr">
        <is>
          <t>dep-card</t>
        </is>
      </c>
      <c r="X272" s="19" t="inlineStr">
        <is>
          <t>ECLIPSE_Account Dashboard_Debit_Card_DDD_API_Design_v1_Workshop (1).xlsx</t>
        </is>
      </c>
      <c r="Y272" s="19" t="inlineStr">
        <is>
          <t>1.3.2.3 Block &amp; Unblock Card</t>
        </is>
      </c>
      <c r="Z272" s="19" t="inlineStr">
        <is>
          <t>API_Specs_Index!A13:H13</t>
        </is>
      </c>
      <c r="AA272" s="22" t="inlineStr">
        <is>
          <t>API-020</t>
        </is>
      </c>
      <c r="AB272" s="19" t="inlineStr">
        <is>
          <t>Mapped to Debit card block because the test case terms align with the 1.3.2.3 Block &amp; Unblock Card journey in the applicable API specification.</t>
        </is>
      </c>
      <c r="AC272" s="19" t="inlineStr">
        <is>
          <t>High</t>
        </is>
      </c>
      <c r="AD272" s="19" t="inlineStr">
        <is>
          <t>Pending ESB Spec</t>
        </is>
      </c>
    </row>
    <row r="273" ht="409.6" customHeight="1" s="2">
      <c r="A273" s="15" t="inlineStr">
        <is>
          <t>TC-B1-0272</t>
        </is>
      </c>
      <c r="B273" s="16" t="inlineStr">
        <is>
          <t>TS-B1-226</t>
        </is>
      </c>
      <c r="C273" s="16" t="inlineStr">
        <is>
          <t>Acct Dashboard Non-Financing</t>
        </is>
      </c>
      <c r="D273" s="16" t="inlineStr">
        <is>
          <t>Dashboard — Cards</t>
        </is>
      </c>
      <c r="E273" s="16" t="inlineStr">
        <is>
          <t>Validate ineligible or unavailable state for Debit Card (all product codes per NGBO BIN-PAN mapping)</t>
        </is>
      </c>
      <c r="F273" s="16" t="inlineStr">
        <is>
          <t>Negative</t>
        </is>
      </c>
      <c r="G273" s="16" t="inlineStr">
        <is>
          <t>High</t>
        </is>
      </c>
      <c r="H273" s="16" t="inlineStr">
        <is>
          <t>User or product does not meet one configured eligibility condition. Eligible baseline: L3 post-login; personal card holder</t>
        </is>
      </c>
      <c r="I273" s="16" t="inlineStr">
        <is>
          <t>Account / Card / Policy Type: Active / Temporarily Blocked / Blocked / Pending Activation debit card; Global Access card vs standard debit card distinguished via BIN-PAN; Currency / FCY Criteria: IDR; replacement fee in IDR for FCY debit cards as well</t>
        </is>
      </c>
      <c r="J273" s="16" t="inlineStr">
        <is>
          <t>1. Prepare an ineligible, unsupported, blocked, or unavailable test profile.
2. Navigate using: Account Dashboard Landing → Cards tab → Debit Card sub-tab; or Account Details → View linked card.
3. Attempt to open Debit Card (all product codes per NGBO BIN-PAN mapping).</t>
        </is>
      </c>
      <c r="K273" s="16" t="inlineStr">
        <is>
          <t>Access is prevented or the feature is hidden/disabled. A clear message is shown and no unauthorised data or action is exposed.</t>
        </is>
      </c>
      <c r="L273" s="16" t="inlineStr">
        <is>
          <t>S2U required for: Card Activation, Reset Card PIN, Block Card, Unblock Card, Replace Card, Card Details (view masked card details drawer), Change Linked Accounts</t>
        </is>
      </c>
      <c r="M273" s="16"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73" s="16" t="inlineStr">
        <is>
          <t>Acct Dashboard Non-Financing!I1:I45</t>
        </is>
      </c>
      <c r="O273" s="16" t="inlineStr">
        <is>
          <t>Not Run</t>
        </is>
      </c>
      <c r="P273" s="16" t="n"/>
      <c r="Q273" s="16" t="n"/>
      <c r="R273" s="17" t="n"/>
      <c r="S273" s="19" t="inlineStr">
        <is>
          <t>Debit Card API Design</t>
        </is>
      </c>
      <c r="T273" s="19" t="inlineStr">
        <is>
          <t>Debit card block</t>
        </is>
      </c>
      <c r="U273" s="19" t="inlineStr">
        <is>
          <t>POST</t>
        </is>
      </c>
      <c r="V273" s="19" t="inlineStr">
        <is>
          <t>/v1/external/cards/block</t>
        </is>
      </c>
      <c r="W273" s="19" t="inlineStr">
        <is>
          <t>dep-card</t>
        </is>
      </c>
      <c r="X273" s="19" t="inlineStr">
        <is>
          <t>ECLIPSE_Account Dashboard_Debit_Card_DDD_API_Design_v1_Workshop (1).xlsx</t>
        </is>
      </c>
      <c r="Y273" s="19" t="inlineStr">
        <is>
          <t>1.3.2.3 Block &amp; Unblock Card</t>
        </is>
      </c>
      <c r="Z273" s="19" t="inlineStr">
        <is>
          <t>API_Specs_Index!A13:H13</t>
        </is>
      </c>
      <c r="AA273" s="22" t="inlineStr">
        <is>
          <t>API-020</t>
        </is>
      </c>
      <c r="AB273" s="19" t="inlineStr">
        <is>
          <t>Mapped to Debit card block because the test case terms align with the 1.3.2.3 Block &amp; Unblock Card journey in the applicable API specification.</t>
        </is>
      </c>
      <c r="AC273" s="19" t="inlineStr">
        <is>
          <t>High</t>
        </is>
      </c>
      <c r="AD273" s="19" t="inlineStr">
        <is>
          <t>Pending ESB Spec</t>
        </is>
      </c>
    </row>
    <row r="274" ht="409.6" customHeight="1" s="2">
      <c r="A274" s="12" t="inlineStr">
        <is>
          <t>TC-B1-0273</t>
        </is>
      </c>
      <c r="B274" s="13" t="inlineStr">
        <is>
          <t>TS-B1-227</t>
        </is>
      </c>
      <c r="C274" s="13" t="inlineStr">
        <is>
          <t>Acct Dashboard Non-Financing</t>
        </is>
      </c>
      <c r="D274" s="13" t="inlineStr">
        <is>
          <t>Dashboard — Cards</t>
        </is>
      </c>
      <c r="E274" s="13" t="inlineStr">
        <is>
          <t>Complete required authentication for Debit Card (all product codes per NGBO BIN-PAN mapping)</t>
        </is>
      </c>
      <c r="F274" s="13" t="inlineStr">
        <is>
          <t>Security</t>
        </is>
      </c>
      <c r="G274" s="13" t="inlineStr">
        <is>
          <t>High</t>
        </is>
      </c>
      <c r="H274" s="13" t="inlineStr">
        <is>
          <t>Eligible user; authentication method is active. Requirement: S2U required for: Card Activation, Reset Card PIN, Block Card, Unblock Card, Replace Card, Card Details (view masked card details drawer), Change Linked Accounts</t>
        </is>
      </c>
      <c r="I274" s="13" t="inlineStr">
        <is>
          <t>Account / Card / Policy Type: Active / Temporarily Blocked / Blocked / Pending Activation debit card; Global Access card vs standard debit card distinguished via BIN-PAN; Currency / FCY Criteria: IDR; replacement fee in IDR for FCY debit cards as well</t>
        </is>
      </c>
      <c r="J274" s="13" t="inlineStr">
        <is>
          <t>1. Start the protected action.
2. Complete the configured authentication with valid credentials.
3. Continue the journey.</t>
        </is>
      </c>
      <c r="K274" s="13" t="inlineStr">
        <is>
          <t>Authentication succeeds, the protected action continues once, and the user returns to the correct journey context.</t>
        </is>
      </c>
      <c r="L274" s="13" t="inlineStr">
        <is>
          <t>S2U required for: Card Activation, Reset Card PIN, Block Card, Unblock Card, Replace Card, Card Details (view masked card details drawer), Change Linked Accounts</t>
        </is>
      </c>
      <c r="M274" s="13"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74" s="13" t="inlineStr">
        <is>
          <t>Acct Dashboard Non-Financing!I1:I45</t>
        </is>
      </c>
      <c r="O274" s="13" t="inlineStr">
        <is>
          <t>Not Run</t>
        </is>
      </c>
      <c r="P274" s="13" t="n"/>
      <c r="Q274" s="13" t="n"/>
      <c r="R274" s="14" t="n"/>
      <c r="S274" s="19" t="inlineStr">
        <is>
          <t>Debit Card API Design</t>
        </is>
      </c>
      <c r="T274" s="19" t="inlineStr">
        <is>
          <t>Debit card block</t>
        </is>
      </c>
      <c r="U274" s="19" t="inlineStr">
        <is>
          <t>POST</t>
        </is>
      </c>
      <c r="V274" s="19" t="inlineStr">
        <is>
          <t>/v1/external/cards/block</t>
        </is>
      </c>
      <c r="W274" s="19" t="inlineStr">
        <is>
          <t>dep-card</t>
        </is>
      </c>
      <c r="X274" s="19" t="inlineStr">
        <is>
          <t>ECLIPSE_Account Dashboard_Debit_Card_DDD_API_Design_v1_Workshop (1).xlsx</t>
        </is>
      </c>
      <c r="Y274" s="19" t="inlineStr">
        <is>
          <t>1.3.2.3 Block &amp; Unblock Card</t>
        </is>
      </c>
      <c r="Z274" s="19" t="inlineStr">
        <is>
          <t>API_Specs_Index!A13:H13</t>
        </is>
      </c>
      <c r="AA274" s="22" t="inlineStr">
        <is>
          <t>API-020</t>
        </is>
      </c>
      <c r="AB274" s="19" t="inlineStr">
        <is>
          <t>Mapped to Debit card block because the test case terms align with the 1.3.2.3 Block &amp; Unblock Card journey in the applicable API specification.</t>
        </is>
      </c>
      <c r="AC274" s="19" t="inlineStr">
        <is>
          <t>High</t>
        </is>
      </c>
      <c r="AD274" s="19" t="inlineStr">
        <is>
          <t>Pending ESB Spec</t>
        </is>
      </c>
    </row>
    <row r="275" ht="409.6" customHeight="1" s="2">
      <c r="A275" s="15" t="inlineStr">
        <is>
          <t>TC-B1-0274</t>
        </is>
      </c>
      <c r="B275" s="16" t="inlineStr">
        <is>
          <t>TS-B1-227</t>
        </is>
      </c>
      <c r="C275" s="16" t="inlineStr">
        <is>
          <t>Acct Dashboard Non-Financing</t>
        </is>
      </c>
      <c r="D275" s="16" t="inlineStr">
        <is>
          <t>Dashboard — Cards</t>
        </is>
      </c>
      <c r="E275" s="16" t="inlineStr">
        <is>
          <t>Reject invalid, cancelled, or expired authentication for Debit Card (all product codes per NGBO BIN-PAN mapping)</t>
        </is>
      </c>
      <c r="F275" s="16" t="inlineStr">
        <is>
          <t>Negative / Security</t>
        </is>
      </c>
      <c r="G275" s="16" t="inlineStr">
        <is>
          <t>High</t>
        </is>
      </c>
      <c r="H275" s="16" t="inlineStr">
        <is>
          <t>Eligible user; protected action requires authentication. Requirement: S2U required for: Card Activation, Reset Card PIN, Block Card, Unblock Card, Replace Card, Card Details (view masked card details drawer), Change Linked Accounts</t>
        </is>
      </c>
      <c r="I275" s="16" t="inlineStr">
        <is>
          <t>Account / Card / Policy Type: Active / Temporarily Blocked / Blocked / Pending Activation debit card; Global Access card vs standard debit card distinguished via BIN-PAN; Currency / FCY Criteria: IDR; replacement fee in IDR for FCY debit cards as well</t>
        </is>
      </c>
      <c r="J275" s="16" t="inlineStr">
        <is>
          <t>1. Start the protected action.
2. Enter invalid credentials, cancel, or allow the challenge to expire.
3. Observe the result.</t>
        </is>
      </c>
      <c r="K275" s="16" t="inlineStr">
        <is>
          <t>The action is not performed. The configured failure/lockout message is shown, sensitive data remains protected, and retry behavior follows the requirement.</t>
        </is>
      </c>
      <c r="L275" s="16" t="inlineStr">
        <is>
          <t>S2U required for: Card Activation, Reset Card PIN, Block Card, Unblock Card, Replace Card, Card Details (view masked card details drawer), Change Linked Accounts</t>
        </is>
      </c>
      <c r="M275" s="16"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75" s="16" t="inlineStr">
        <is>
          <t>Acct Dashboard Non-Financing!I1:I45</t>
        </is>
      </c>
      <c r="O275" s="16" t="inlineStr">
        <is>
          <t>Not Run</t>
        </is>
      </c>
      <c r="P275" s="16" t="n"/>
      <c r="Q275" s="16" t="n"/>
      <c r="R275" s="17" t="n"/>
      <c r="S275" s="19" t="inlineStr">
        <is>
          <t>Debit Card API Design</t>
        </is>
      </c>
      <c r="T275" s="19" t="inlineStr">
        <is>
          <t>Debit card block</t>
        </is>
      </c>
      <c r="U275" s="19" t="inlineStr">
        <is>
          <t>POST</t>
        </is>
      </c>
      <c r="V275" s="19" t="inlineStr">
        <is>
          <t>/v1/external/cards/block</t>
        </is>
      </c>
      <c r="W275" s="19" t="inlineStr">
        <is>
          <t>dep-card</t>
        </is>
      </c>
      <c r="X275" s="19" t="inlineStr">
        <is>
          <t>ECLIPSE_Account Dashboard_Debit_Card_DDD_API_Design_v1_Workshop (1).xlsx</t>
        </is>
      </c>
      <c r="Y275" s="19" t="inlineStr">
        <is>
          <t>1.3.2.3 Block &amp; Unblock Card</t>
        </is>
      </c>
      <c r="Z275" s="19" t="inlineStr">
        <is>
          <t>API_Specs_Index!A13:H13</t>
        </is>
      </c>
      <c r="AA275" s="22" t="inlineStr">
        <is>
          <t>API-020</t>
        </is>
      </c>
      <c r="AB275" s="19" t="inlineStr">
        <is>
          <t>Mapped to Debit card block because the test case terms align with the 1.3.2.3 Block &amp; Unblock Card journey in the applicable API specification.</t>
        </is>
      </c>
      <c r="AC275" s="19" t="inlineStr">
        <is>
          <t>High</t>
        </is>
      </c>
      <c r="AD275" s="19" t="inlineStr">
        <is>
          <t>Pending ESB Spec</t>
        </is>
      </c>
    </row>
    <row r="276" ht="409.6" customHeight="1" s="2">
      <c r="A276" s="12" t="inlineStr">
        <is>
          <t>TC-B1-0275</t>
        </is>
      </c>
      <c r="B276" s="13" t="inlineStr">
        <is>
          <t>TS-B1-228</t>
        </is>
      </c>
      <c r="C276" s="13" t="inlineStr">
        <is>
          <t>Acct Dashboard Non-Financing</t>
        </is>
      </c>
      <c r="D276" s="13" t="inlineStr">
        <is>
          <t>Dashboard — Cards</t>
        </is>
      </c>
      <c r="E276" s="13" t="inlineStr">
        <is>
          <t>Validate Step 1 — 1.1 Account Dashboard Landing for Debit Card (all product codes per NGBO BIN-PAN mapping)</t>
        </is>
      </c>
      <c r="F276" s="13" t="inlineStr">
        <is>
          <t>UI / Functional</t>
        </is>
      </c>
      <c r="G276" s="13" t="inlineStr">
        <is>
          <t>Medium</t>
        </is>
      </c>
      <c r="H276" s="13" t="inlineStr">
        <is>
          <t>Eligible user and product are available. Trigger the stated condition: Step 1 — Cards tab selected (Credit default; inverted if no CC)</t>
        </is>
      </c>
      <c r="I276" s="13" t="inlineStr">
        <is>
          <t>Account / Card / Policy Type: Active / Temporarily Blocked / Blocked / Pending Activation debit card; Global Access card vs standard debit card distinguished via BIN-PAN; Currency / FCY Criteria: IDR; replacement fee in IDR for FCY debit cards as well</t>
        </is>
      </c>
      <c r="J276" s="13" t="inlineStr">
        <is>
          <t>1. Open Debit Card (all product codes per NGBO BIN-PAN mapping).
2. Navigate to Step 1 — 1.1 Account Dashboard Landing.
3. Perform the action or trigger described by: Step 1 — Cards tab selected (Credit default; inverted if no CC).
4. Observe the page, validation, navigation, and resulting state.</t>
        </is>
      </c>
      <c r="K276" s="13" t="inlineStr">
        <is>
          <t>Step 1 — 1.1 Account Dashboard Landing behaves according to the mapped requirement (Step 1 — Cards tab selected (Credit default; inverted if no CC)); data, controls, navigation, and status are accurate and consistent.</t>
        </is>
      </c>
      <c r="L276" s="13" t="inlineStr">
        <is>
          <t>S2U required for: Card Activation, Reset Card PIN, Block Card, Unblock Card, Replace Card, Card Details (view masked card details drawer), Change Linked Accounts</t>
        </is>
      </c>
      <c r="M276" s="13"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76" s="13" t="inlineStr">
        <is>
          <t>Acct Dashboard Non-Financing!A10:I10</t>
        </is>
      </c>
      <c r="O276" s="13" t="inlineStr">
        <is>
          <t>Not Run</t>
        </is>
      </c>
      <c r="P276" s="13" t="n"/>
      <c r="Q276" s="13" t="n"/>
      <c r="R276" s="14" t="inlineStr">
        <is>
          <t>Conditional coverage required.</t>
        </is>
      </c>
      <c r="S276" s="19" t="inlineStr">
        <is>
          <t>Debit Card API Design</t>
        </is>
      </c>
      <c r="T276" s="19" t="inlineStr">
        <is>
          <t>Debit card block</t>
        </is>
      </c>
      <c r="U276" s="19" t="inlineStr">
        <is>
          <t>POST</t>
        </is>
      </c>
      <c r="V276" s="19" t="inlineStr">
        <is>
          <t>/v1/external/cards/block</t>
        </is>
      </c>
      <c r="W276" s="19" t="inlineStr">
        <is>
          <t>dep-card</t>
        </is>
      </c>
      <c r="X276" s="19" t="inlineStr">
        <is>
          <t>ECLIPSE_Account Dashboard_Debit_Card_DDD_API_Design_v1_Workshop (1).xlsx</t>
        </is>
      </c>
      <c r="Y276" s="19" t="inlineStr">
        <is>
          <t>1.3.2.3 Block &amp; Unblock Card</t>
        </is>
      </c>
      <c r="Z276" s="19" t="inlineStr">
        <is>
          <t>API_Specs_Index!A13:H13</t>
        </is>
      </c>
      <c r="AA276" s="22" t="inlineStr">
        <is>
          <t>API-020</t>
        </is>
      </c>
      <c r="AB276" s="19" t="inlineStr">
        <is>
          <t>Mapped to Debit card block because the test case terms align with the 1.3.2.3 Block &amp; Unblock Card journey in the applicable API specification.</t>
        </is>
      </c>
      <c r="AC276" s="19" t="inlineStr">
        <is>
          <t>High</t>
        </is>
      </c>
      <c r="AD276" s="19" t="inlineStr">
        <is>
          <t>Pending ESB Spec</t>
        </is>
      </c>
    </row>
    <row r="277" ht="409.6" customHeight="1" s="2">
      <c r="A277" s="15" t="inlineStr">
        <is>
          <t>TC-B1-0276</t>
        </is>
      </c>
      <c r="B277" s="16" t="inlineStr">
        <is>
          <t>TS-B1-229</t>
        </is>
      </c>
      <c r="C277" s="16" t="inlineStr">
        <is>
          <t>Acct Dashboard Non-Financing</t>
        </is>
      </c>
      <c r="D277" s="16" t="inlineStr">
        <is>
          <t>Dashboard — Cards</t>
        </is>
      </c>
      <c r="E277" s="16" t="inlineStr">
        <is>
          <t>Validate Step 20 — 1.3 Debit Card Dashboard for Debit Card (all product codes per NGBO BIN-PAN mapping)</t>
        </is>
      </c>
      <c r="F277" s="16" t="inlineStr">
        <is>
          <t>UI / Functional</t>
        </is>
      </c>
      <c r="G277" s="16" t="inlineStr">
        <is>
          <t>High</t>
        </is>
      </c>
      <c r="H277" s="16" t="inlineStr">
        <is>
          <t>Eligible user and product are available. User has reached the preceding journey step.</t>
        </is>
      </c>
      <c r="I277" s="16" t="inlineStr">
        <is>
          <t>Account / Card / Policy Type: Active / Temporarily Blocked / Blocked / Pending Activation debit card; Global Access card vs standard debit card distinguished via BIN-PAN; Currency / FCY Criteria: IDR; replacement fee in IDR for FCY debit cards as well</t>
        </is>
      </c>
      <c r="J277" s="16" t="inlineStr">
        <is>
          <t>1. Open Debit Card (all product codes per NGBO BIN-PAN mapping).
2. Navigate to Step 20 — 1.3 Debit Card Dashboard.
3. Perform the action or trigger described by: Step 20 — Cards tab → Debit Card sub-tab; card listing with image, product name, masked card number, cardholder name, status label; Activate Now button for Pending Activation cards (not clickable otherwise); upsell banner; business profile disclaimer.
4. Observe the page, validation, navigation, and resulting state.</t>
        </is>
      </c>
      <c r="K277" s="16" t="inlineStr">
        <is>
          <t>Step 20 — 1.3 Debit Card Dashboard behaves according to the mapped requirement (Step 20 — Cards tab → Debit Card sub-tab; card listing with image, product name, masked card number, cardholder name, status label; Activate Now button for Pending Activation cards (not clickable otherwise); upsell banner; business profile disclaimer); data, controls, navigation, and status are accurate and consistent.</t>
        </is>
      </c>
      <c r="L277" s="16" t="inlineStr">
        <is>
          <t>S2U required for: Card Activation, Reset Card PIN, Block Card, Unblock Card, Replace Card, Card Details (view masked card details drawer), Change Linked Accounts</t>
        </is>
      </c>
      <c r="M277" s="16"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77" s="16" t="inlineStr">
        <is>
          <t>Acct Dashboard Non-Financing!A29:I29</t>
        </is>
      </c>
      <c r="O277" s="16" t="inlineStr">
        <is>
          <t>Not Run</t>
        </is>
      </c>
      <c r="P277" s="16" t="n"/>
      <c r="Q277" s="16" t="n"/>
      <c r="R277" s="17" t="n"/>
      <c r="S277" s="19" t="inlineStr">
        <is>
          <t>Debit Card API Design</t>
        </is>
      </c>
      <c r="T277" s="19" t="inlineStr">
        <is>
          <t>Debit card block</t>
        </is>
      </c>
      <c r="U277" s="19" t="inlineStr">
        <is>
          <t>POST</t>
        </is>
      </c>
      <c r="V277" s="19" t="inlineStr">
        <is>
          <t>/v1/external/cards/block</t>
        </is>
      </c>
      <c r="W277" s="19" t="inlineStr">
        <is>
          <t>dep-card</t>
        </is>
      </c>
      <c r="X277" s="19" t="inlineStr">
        <is>
          <t>ECLIPSE_Account Dashboard_Debit_Card_DDD_API_Design_v1_Workshop (1).xlsx</t>
        </is>
      </c>
      <c r="Y277" s="19" t="inlineStr">
        <is>
          <t>1.3.2.3 Block &amp; Unblock Card</t>
        </is>
      </c>
      <c r="Z277" s="19" t="inlineStr">
        <is>
          <t>API_Specs_Index!A13:H13</t>
        </is>
      </c>
      <c r="AA277" s="22" t="inlineStr">
        <is>
          <t>API-020</t>
        </is>
      </c>
      <c r="AB277" s="19" t="inlineStr">
        <is>
          <t>Mapped to Debit card block because the test case terms align with the 1.3.2.3 Block &amp; Unblock Card journey in the applicable API specification.</t>
        </is>
      </c>
      <c r="AC277" s="19" t="inlineStr">
        <is>
          <t>High</t>
        </is>
      </c>
      <c r="AD277" s="19" t="inlineStr">
        <is>
          <t>Pending ESB Spec</t>
        </is>
      </c>
    </row>
    <row r="278" ht="409.6" customHeight="1" s="2">
      <c r="A278" s="12" t="inlineStr">
        <is>
          <t>TC-B1-0277</t>
        </is>
      </c>
      <c r="B278" s="13" t="inlineStr">
        <is>
          <t>TS-B1-230</t>
        </is>
      </c>
      <c r="C278" s="13" t="inlineStr">
        <is>
          <t>Acct Dashboard Non-Financing</t>
        </is>
      </c>
      <c r="D278" s="13" t="inlineStr">
        <is>
          <t>Dashboard — Cards</t>
        </is>
      </c>
      <c r="E278" s="13" t="inlineStr">
        <is>
          <t>Validate Step 21 — 1.3.1 Card Activation for Debit Card (all product codes per NGBO BIN-PAN mapping)</t>
        </is>
      </c>
      <c r="F278" s="13" t="inlineStr">
        <is>
          <t>Security</t>
        </is>
      </c>
      <c r="G278" s="13" t="inlineStr">
        <is>
          <t>High</t>
        </is>
      </c>
      <c r="H278" s="13" t="inlineStr">
        <is>
          <t>Eligible user and product are available. Trigger the stated condition: Conditional Step 21 — only for Pending Activation cards; Activate Debit Card screen → declaration → Set Debit Card PIN (6-digit, PIN rules) → S2U → Acknowledgement (Activation Successful / Request Unsuccessful / Authorisation Failed)</t>
        </is>
      </c>
      <c r="I278" s="13" t="inlineStr">
        <is>
          <t>Account / Card / Policy Type: Active / Temporarily Blocked / Blocked / Pending Activation debit card; Global Access card vs standard debit card distinguished via BIN-PAN; Currency / FCY Criteria: IDR; replacement fee in IDR for FCY debit cards as well</t>
        </is>
      </c>
      <c r="J278" s="13" t="inlineStr">
        <is>
          <t>1. Open Debit Card (all product codes per NGBO BIN-PAN mapping).
2. Navigate to Step 21 — 1.3.1 Card Activation.
3. Perform the action or trigger described by: Conditional Step 21 — only for Pending Activation cards; Activate Debit Card screen → declaration → Set Debit Card PIN (6-digit, PIN rules) → S2U → Acknowledgement (Activation Successful / Request Unsuccessful / Authorisation Failed).
4. Observe the page, validation, navigation, and resulting state.</t>
        </is>
      </c>
      <c r="K278" s="13" t="inlineStr">
        <is>
          <t>Step 21 — 1.3.1 Card Activation behaves according to the mapped requirement (Conditional Step 21 — only for Pending Activation cards; Activate Debit Card screen → declaration → Set Debit Card PIN (6-digit, PIN rules) → S2U → Acknowledgement (Activation Successful / Request Unsuccessful / Authorisation Failed)); data, controls, navigation, and status are accurate and consistent.</t>
        </is>
      </c>
      <c r="L278" s="13" t="inlineStr">
        <is>
          <t>S2U required for: Card Activation, Reset Card PIN, Block Card, Unblock Card, Replace Card, Card Details (view masked card details drawer), Change Linked Accounts</t>
        </is>
      </c>
      <c r="M278" s="13"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78" s="13" t="inlineStr">
        <is>
          <t>Acct Dashboard Non-Financing!A30:I30</t>
        </is>
      </c>
      <c r="O278" s="13" t="inlineStr">
        <is>
          <t>Not Run</t>
        </is>
      </c>
      <c r="P278" s="13" t="n"/>
      <c r="Q278" s="13" t="n"/>
      <c r="R278" s="14" t="inlineStr">
        <is>
          <t>Conditional coverage required.</t>
        </is>
      </c>
      <c r="S278" s="19" t="inlineStr">
        <is>
          <t>Debit Card API Design</t>
        </is>
      </c>
      <c r="T278" s="19" t="inlineStr">
        <is>
          <t>Debit card block</t>
        </is>
      </c>
      <c r="U278" s="19" t="inlineStr">
        <is>
          <t>POST</t>
        </is>
      </c>
      <c r="V278" s="19" t="inlineStr">
        <is>
          <t>/v1/external/cards/block</t>
        </is>
      </c>
      <c r="W278" s="19" t="inlineStr">
        <is>
          <t>dep-card</t>
        </is>
      </c>
      <c r="X278" s="19" t="inlineStr">
        <is>
          <t>ECLIPSE_Account Dashboard_Debit_Card_DDD_API_Design_v1_Workshop (1).xlsx</t>
        </is>
      </c>
      <c r="Y278" s="19" t="inlineStr">
        <is>
          <t>1.3.2.3 Block &amp; Unblock Card</t>
        </is>
      </c>
      <c r="Z278" s="19" t="inlineStr">
        <is>
          <t>API_Specs_Index!A13:H13</t>
        </is>
      </c>
      <c r="AA278" s="22" t="inlineStr">
        <is>
          <t>API-020</t>
        </is>
      </c>
      <c r="AB278" s="19" t="inlineStr">
        <is>
          <t>Mapped to Debit card block because the test case terms align with the 1.3.2.3 Block &amp; Unblock Card journey in the applicable API specification.</t>
        </is>
      </c>
      <c r="AC278" s="19" t="inlineStr">
        <is>
          <t>High</t>
        </is>
      </c>
      <c r="AD278" s="19" t="inlineStr">
        <is>
          <t>Pending ESB Spec</t>
        </is>
      </c>
    </row>
    <row r="279" ht="409.6" customHeight="1" s="2">
      <c r="A279" s="15" t="inlineStr">
        <is>
          <t>TC-B1-0278</t>
        </is>
      </c>
      <c r="B279" s="16" t="inlineStr">
        <is>
          <t>TS-B1-231</t>
        </is>
      </c>
      <c r="C279" s="16" t="inlineStr">
        <is>
          <t>Acct Dashboard Non-Financing</t>
        </is>
      </c>
      <c r="D279" s="16" t="inlineStr">
        <is>
          <t>Dashboard — Cards</t>
        </is>
      </c>
      <c r="E279" s="16" t="inlineStr">
        <is>
          <t>Validate Step 22 — 1.3.2 Card Details for Debit Card (all product codes per NGBO BIN-PAN mapping)</t>
        </is>
      </c>
      <c r="F279" s="16" t="inlineStr">
        <is>
          <t>Security</t>
        </is>
      </c>
      <c r="G279" s="16" t="inlineStr">
        <is>
          <t>High</t>
        </is>
      </c>
      <c r="H279" s="16" t="inlineStr">
        <is>
          <t>Eligible user and product are available. User has reached the preceding journey step.</t>
        </is>
      </c>
      <c r="I279" s="16" t="inlineStr">
        <is>
          <t>Account / Card / Policy Type: Active / Temporarily Blocked / Blocked / Pending Activation debit card; Global Access card vs standard debit card distinguished via BIN-PAN; Currency / FCY Criteria: IDR; replacement fee in IDR for FCY debit cards as well</t>
        </is>
      </c>
      <c r="J279" s="16" t="inlineStr">
        <is>
          <t>1. Open Debit Card (all product codes per NGBO BIN-PAN mapping).
2. Navigate to Step 22 — 1.3.2 Card Details.
3. Perform the action or trigger described by: Step 22 — card image with status overlay; card product name, number (masked last 4 unmasked), cardholder name, nickname; Add/Edit Nickname; Manage Linked Accounts; Security: Temporarily Block / Unblock, Reset Card PIN, Replace Card; Card Details Quick Action (S2U → 30s countdown drawer with cardholder name, card number, expiry, CVV/CVC — copy to clipboard).
4. Observe the page, validation, navigation, and resulting state.</t>
        </is>
      </c>
      <c r="K279" s="16" t="inlineStr">
        <is>
          <t>Step 22 — 1.3.2 Card Details behaves according to the mapped requirement (Step 22 — card image with status overlay; card product name, number (masked last 4 unmasked), cardholder name, nickname; Add/Edit Nickname; Manage Linked Accounts; Security: Temporarily Block / Unblock, Reset Card PIN, Replace Card; Card Details Quick Action (S2U → 30s countdown drawer with cardholder name, card number, expiry, CVV/CVC — copy to clipboard)); data, controls, navigation, and status are accurate and consistent.</t>
        </is>
      </c>
      <c r="L279" s="16" t="inlineStr">
        <is>
          <t>S2U required for: Card Activation, Reset Card PIN, Block Card, Unblock Card, Replace Card, Card Details (view masked card details drawer), Change Linked Accounts</t>
        </is>
      </c>
      <c r="M279" s="16"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79" s="16" t="inlineStr">
        <is>
          <t>Acct Dashboard Non-Financing!A31:I31</t>
        </is>
      </c>
      <c r="O279" s="16" t="inlineStr">
        <is>
          <t>Not Run</t>
        </is>
      </c>
      <c r="P279" s="16" t="n"/>
      <c r="Q279" s="16" t="n"/>
      <c r="R279" s="17" t="n"/>
      <c r="S279" s="19" t="inlineStr">
        <is>
          <t>Debit Card API Design</t>
        </is>
      </c>
      <c r="T279" s="19" t="inlineStr">
        <is>
          <t>Debit card block</t>
        </is>
      </c>
      <c r="U279" s="19" t="inlineStr">
        <is>
          <t>POST</t>
        </is>
      </c>
      <c r="V279" s="19" t="inlineStr">
        <is>
          <t>/v1/external/cards/block</t>
        </is>
      </c>
      <c r="W279" s="19" t="inlineStr">
        <is>
          <t>dep-card</t>
        </is>
      </c>
      <c r="X279" s="19" t="inlineStr">
        <is>
          <t>ECLIPSE_Account Dashboard_Debit_Card_DDD_API_Design_v1_Workshop (1).xlsx</t>
        </is>
      </c>
      <c r="Y279" s="19" t="inlineStr">
        <is>
          <t>1.3.2.3 Block &amp; Unblock Card</t>
        </is>
      </c>
      <c r="Z279" s="19" t="inlineStr">
        <is>
          <t>API_Specs_Index!A13:H13</t>
        </is>
      </c>
      <c r="AA279" s="22" t="inlineStr">
        <is>
          <t>API-020</t>
        </is>
      </c>
      <c r="AB279" s="19" t="inlineStr">
        <is>
          <t>Mapped to Debit card block because the test case terms align with the 1.3.2.3 Block &amp; Unblock Card journey in the applicable API specification.</t>
        </is>
      </c>
      <c r="AC279" s="19" t="inlineStr">
        <is>
          <t>High</t>
        </is>
      </c>
      <c r="AD279" s="19" t="inlineStr">
        <is>
          <t>Pending ESB Spec</t>
        </is>
      </c>
    </row>
    <row r="280" ht="409.6" customHeight="1" s="2">
      <c r="A280" s="12" t="inlineStr">
        <is>
          <t>TC-B1-0279</t>
        </is>
      </c>
      <c r="B280" s="13" t="inlineStr">
        <is>
          <t>TS-B1-232</t>
        </is>
      </c>
      <c r="C280" s="13" t="inlineStr">
        <is>
          <t>Acct Dashboard Non-Financing</t>
        </is>
      </c>
      <c r="D280" s="13" t="inlineStr">
        <is>
          <t>Dashboard — Cards</t>
        </is>
      </c>
      <c r="E280" s="13" t="inlineStr">
        <is>
          <t>Validate Step 23 — 1.3.2.1 Linked Accounts for Debit Card (all product codes per NGBO BIN-PAN mapping)</t>
        </is>
      </c>
      <c r="F280" s="13" t="inlineStr">
        <is>
          <t>Negative</t>
        </is>
      </c>
      <c r="G280" s="13" t="inlineStr">
        <is>
          <t>High</t>
        </is>
      </c>
      <c r="H280" s="13" t="inlineStr">
        <is>
          <t>Eligible user and product are available. Trigger the stated condition: Step 23 — view / add / remove linked accounts (max 8); set default account (IDR accounts only; S2U required for default change); Available Accounts filtered by BIN-PAN NGBO mapping; GAA card shows only GAA accounts; non-GAA card excludes GAA accounts; Confirmation → S2U → Acknowledgement (Linked Accounts Updated / Unsuccessful / Auth Failed)</t>
        </is>
      </c>
      <c r="I280" s="13" t="inlineStr">
        <is>
          <t>Account / Card / Policy Type: Active / Temporarily Blocked / Blocked / Pending Activation debit card; Global Access card vs standard debit card distinguished via BIN-PAN; Currency / FCY Criteria: IDR; replacement fee in IDR for FCY debit cards as well</t>
        </is>
      </c>
      <c r="J280" s="13" t="inlineStr">
        <is>
          <t>1. Open Debit Card (all product codes per NGBO BIN-PAN mapping).
2. Navigate to Step 23 — 1.3.2.1 Linked Accounts.
3. Perform the action or trigger described by: Step 23 — view / add / remove linked accounts (max 8); set default account (IDR accounts only; S2U required for default change); Available Accounts filtered by BIN-PAN NGBO mapping; GAA card shows only GAA accounts; non-GAA card excludes GAA accounts; Confirmation → S2U → Acknowledgement (Linked Accounts Updated / Unsuccessful / Auth Failed).
4. Observe the page, validation, navigation, and resulting state.</t>
        </is>
      </c>
      <c r="K280" s="13" t="inlineStr">
        <is>
          <t>Step 23 — 1.3.2.1 Linked Accounts behaves according to the mapped requirement (Step 23 — view / add / remove linked accounts (max 8); set default account (IDR accounts only; S2U required for default change); Available Accounts filtered by BIN-PAN NGBO mapping; GAA card shows only GAA accounts; non-GAA card excludes GAA accounts; Confirmation → S2U → Acknowledgement (Linked Accounts Updated / Unsuccessful / Auth Failed)); data, controls, navigation, and status are accurate and consistent.</t>
        </is>
      </c>
      <c r="L280" s="13" t="inlineStr">
        <is>
          <t>S2U required for: Card Activation, Reset Card PIN, Block Card, Unblock Card, Replace Card, Card Details (view masked card details drawer), Change Linked Accounts</t>
        </is>
      </c>
      <c r="M280" s="13"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80" s="13" t="inlineStr">
        <is>
          <t>Acct Dashboard Non-Financing!A32:I32</t>
        </is>
      </c>
      <c r="O280" s="13" t="inlineStr">
        <is>
          <t>Not Run</t>
        </is>
      </c>
      <c r="P280" s="13" t="n"/>
      <c r="Q280" s="13" t="n"/>
      <c r="R280" s="14" t="inlineStr">
        <is>
          <t>Conditional coverage required.</t>
        </is>
      </c>
      <c r="S280" s="19" t="inlineStr">
        <is>
          <t>Debit Card API Design</t>
        </is>
      </c>
      <c r="T280" s="19" t="inlineStr">
        <is>
          <t>Debit card block</t>
        </is>
      </c>
      <c r="U280" s="19" t="inlineStr">
        <is>
          <t>POST</t>
        </is>
      </c>
      <c r="V280" s="19" t="inlineStr">
        <is>
          <t>/v1/external/cards/block</t>
        </is>
      </c>
      <c r="W280" s="19" t="inlineStr">
        <is>
          <t>dep-card</t>
        </is>
      </c>
      <c r="X280" s="19" t="inlineStr">
        <is>
          <t>ECLIPSE_Account Dashboard_Debit_Card_DDD_API_Design_v1_Workshop (1).xlsx</t>
        </is>
      </c>
      <c r="Y280" s="19" t="inlineStr">
        <is>
          <t>1.3.2.3 Block &amp; Unblock Card</t>
        </is>
      </c>
      <c r="Z280" s="19" t="inlineStr">
        <is>
          <t>API_Specs_Index!A13:H13</t>
        </is>
      </c>
      <c r="AA280" s="22" t="inlineStr">
        <is>
          <t>API-020</t>
        </is>
      </c>
      <c r="AB280" s="19" t="inlineStr">
        <is>
          <t>Mapped to Debit card block because the test case terms align with the 1.3.2.3 Block &amp; Unblock Card journey in the applicable API specification.</t>
        </is>
      </c>
      <c r="AC280" s="19" t="inlineStr">
        <is>
          <t>High</t>
        </is>
      </c>
      <c r="AD280" s="19" t="inlineStr">
        <is>
          <t>Pending ESB Spec</t>
        </is>
      </c>
    </row>
    <row r="281" ht="409.6" customHeight="1" s="2">
      <c r="A281" s="15" t="inlineStr">
        <is>
          <t>TC-B1-0280</t>
        </is>
      </c>
      <c r="B281" s="16" t="inlineStr">
        <is>
          <t>TS-B1-233</t>
        </is>
      </c>
      <c r="C281" s="16" t="inlineStr">
        <is>
          <t>Acct Dashboard Non-Financing</t>
        </is>
      </c>
      <c r="D281" s="16" t="inlineStr">
        <is>
          <t>Dashboard — Cards</t>
        </is>
      </c>
      <c r="E281" s="16" t="inlineStr">
        <is>
          <t>Validate Step 24 — 1.3.2.2 Reset Card PIN for Debit Card (all product codes per NGBO BIN-PAN mapping)</t>
        </is>
      </c>
      <c r="F281" s="16" t="inlineStr">
        <is>
          <t>Negative</t>
        </is>
      </c>
      <c r="G281" s="16" t="inlineStr">
        <is>
          <t>High</t>
        </is>
      </c>
      <c r="H281" s="16" t="inlineStr">
        <is>
          <t>Eligible user and product are available. User has reached the preceding journey step.</t>
        </is>
      </c>
      <c r="I281" s="16" t="inlineStr">
        <is>
          <t>Account / Card / Policy Type: Active / Temporarily Blocked / Blocked / Pending Activation debit card; Global Access card vs standard debit card distinguished via BIN-PAN; Currency / FCY Criteria: IDR; replacement fee in IDR for FCY debit cards as well</t>
        </is>
      </c>
      <c r="J281" s="16" t="inlineStr">
        <is>
          <t>1. Open Debit Card (all product codes per NGBO BIN-PAN mapping).
2. Navigate to Step 24 — 1.3.2.2 Reset Card PIN.
3. Perform the action or trigger described by: Step 24 — New PIN + Confirm PIN (6-digit, PIN rules); S2U → Acknowledgement (Card PIN Updated / Request Unsuccessful / Auth Failed); max 3 resets per day (NGBO-configurable).
4. Observe the page, validation, navigation, and resulting state.</t>
        </is>
      </c>
      <c r="K281" s="16" t="inlineStr">
        <is>
          <t>Step 24 — 1.3.2.2 Reset Card PIN behaves according to the mapped requirement (Step 24 — New PIN + Confirm PIN (6-digit, PIN rules); S2U → Acknowledgement (Card PIN Updated / Request Unsuccessful / Auth Failed); max 3 resets per day (NGBO-configurable)); data, controls, navigation, and status are accurate and consistent.</t>
        </is>
      </c>
      <c r="L281" s="16" t="inlineStr">
        <is>
          <t>S2U required for: Card Activation, Reset Card PIN, Block Card, Unblock Card, Replace Card, Card Details (view masked card details drawer), Change Linked Accounts</t>
        </is>
      </c>
      <c r="M281" s="16"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81" s="16" t="inlineStr">
        <is>
          <t>Acct Dashboard Non-Financing!A33:I33</t>
        </is>
      </c>
      <c r="O281" s="16" t="inlineStr">
        <is>
          <t>Not Run</t>
        </is>
      </c>
      <c r="P281" s="16" t="n"/>
      <c r="Q281" s="16" t="n"/>
      <c r="R281" s="17" t="n"/>
      <c r="S281" s="19" t="inlineStr">
        <is>
          <t>Debit Card API Design</t>
        </is>
      </c>
      <c r="T281" s="19" t="inlineStr">
        <is>
          <t>Debit card block</t>
        </is>
      </c>
      <c r="U281" s="19" t="inlineStr">
        <is>
          <t>POST</t>
        </is>
      </c>
      <c r="V281" s="19" t="inlineStr">
        <is>
          <t>/v1/external/cards/block</t>
        </is>
      </c>
      <c r="W281" s="19" t="inlineStr">
        <is>
          <t>dep-card</t>
        </is>
      </c>
      <c r="X281" s="19" t="inlineStr">
        <is>
          <t>ECLIPSE_Account Dashboard_Debit_Card_DDD_API_Design_v1_Workshop (1).xlsx</t>
        </is>
      </c>
      <c r="Y281" s="19" t="inlineStr">
        <is>
          <t>1.3.2.3 Block &amp; Unblock Card</t>
        </is>
      </c>
      <c r="Z281" s="19" t="inlineStr">
        <is>
          <t>API_Specs_Index!A13:H13</t>
        </is>
      </c>
      <c r="AA281" s="22" t="inlineStr">
        <is>
          <t>API-020</t>
        </is>
      </c>
      <c r="AB281" s="19" t="inlineStr">
        <is>
          <t>Mapped to Debit card block because the test case terms align with the 1.3.2.3 Block &amp; Unblock Card journey in the applicable API specification.</t>
        </is>
      </c>
      <c r="AC281" s="19" t="inlineStr">
        <is>
          <t>High</t>
        </is>
      </c>
      <c r="AD281" s="19" t="inlineStr">
        <is>
          <t>Pending ESB Spec</t>
        </is>
      </c>
    </row>
    <row r="282" ht="409.6" customHeight="1" s="2">
      <c r="A282" s="12" t="inlineStr">
        <is>
          <t>TC-B1-0281</t>
        </is>
      </c>
      <c r="B282" s="13" t="inlineStr">
        <is>
          <t>TS-B1-234</t>
        </is>
      </c>
      <c r="C282" s="13" t="inlineStr">
        <is>
          <t>Acct Dashboard Non-Financing</t>
        </is>
      </c>
      <c r="D282" s="13" t="inlineStr">
        <is>
          <t>Dashboard — Cards</t>
        </is>
      </c>
      <c r="E282" s="13" t="inlineStr">
        <is>
          <t>Validate Step 25 — 1.3.2.3 Block &amp; Unblock Card for Debit Card (all product codes per NGBO BIN-PAN mapping)</t>
        </is>
      </c>
      <c r="F282" s="13" t="inlineStr">
        <is>
          <t>Negative</t>
        </is>
      </c>
      <c r="G282" s="13" t="inlineStr">
        <is>
          <t>High</t>
        </is>
      </c>
      <c r="H282" s="13" t="inlineStr">
        <is>
          <t>Eligible user and product are available. User has reached the preceding journey step.</t>
        </is>
      </c>
      <c r="I282" s="13" t="inlineStr">
        <is>
          <t>Account / Card / Policy Type: Active / Temporarily Blocked / Blocked / Pending Activation debit card; Global Access card vs standard debit card distinguished via BIN-PAN; Currency / FCY Criteria: IDR; replacement fee in IDR for FCY debit cards as well</t>
        </is>
      </c>
      <c r="J282" s="13" t="inlineStr">
        <is>
          <t>1. Open Debit Card (all product codes per NGBO BIN-PAN mapping).
2. Navigate to Step 25 — 1.3.2.3 Block &amp; Unblock Card.
3. Perform the action or trigger described by: Step 25 — Temporarily Block: pop-up → S2U → Card Temporarily Blocked / Unsuccessful / Auth Failed; Unblock Card: direct S2U → Card Unblocked / Unsuccessful / Auth Failed; Blocked (bank-blocked) card: Temporarily Block greyed and disabled.
4. Observe the page, validation, navigation, and resulting state.</t>
        </is>
      </c>
      <c r="K282" s="13" t="inlineStr">
        <is>
          <t>Step 25 — 1.3.2.3 Block &amp; Unblock Card behaves according to the mapped requirement (Step 25 — Temporarily Block: pop-up → S2U → Card Temporarily Blocked / Unsuccessful / Auth Failed; Unblock Card: direct S2U → Card Unblocked / Unsuccessful / Auth Failed; Blocked (bank-blocked) card: Temporarily Block greyed and disabled); data, controls, navigation, and status are accurate and consistent.</t>
        </is>
      </c>
      <c r="L282" s="13" t="inlineStr">
        <is>
          <t>S2U required for: Card Activation, Reset Card PIN, Block Card, Unblock Card, Replace Card, Card Details (view masked card details drawer), Change Linked Accounts</t>
        </is>
      </c>
      <c r="M282" s="13"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82" s="13" t="inlineStr">
        <is>
          <t>Acct Dashboard Non-Financing!A34:I34</t>
        </is>
      </c>
      <c r="O282" s="13" t="inlineStr">
        <is>
          <t>Not Run</t>
        </is>
      </c>
      <c r="P282" s="13" t="n"/>
      <c r="Q282" s="13" t="n"/>
      <c r="R282" s="14" t="n"/>
      <c r="S282" s="19" t="inlineStr">
        <is>
          <t>Debit Card API Design</t>
        </is>
      </c>
      <c r="T282" s="19" t="inlineStr">
        <is>
          <t>Debit card block</t>
        </is>
      </c>
      <c r="U282" s="19" t="inlineStr">
        <is>
          <t>POST</t>
        </is>
      </c>
      <c r="V282" s="19" t="inlineStr">
        <is>
          <t>/v1/external/cards/block</t>
        </is>
      </c>
      <c r="W282" s="19" t="inlineStr">
        <is>
          <t>dep-card</t>
        </is>
      </c>
      <c r="X282" s="19" t="inlineStr">
        <is>
          <t>ECLIPSE_Account Dashboard_Debit_Card_DDD_API_Design_v1_Workshop (1).xlsx</t>
        </is>
      </c>
      <c r="Y282" s="19" t="inlineStr">
        <is>
          <t>1.3.2.3 Block &amp; Unblock Card</t>
        </is>
      </c>
      <c r="Z282" s="19" t="inlineStr">
        <is>
          <t>API_Specs_Index!A13:H13</t>
        </is>
      </c>
      <c r="AA282" s="22" t="inlineStr">
        <is>
          <t>API-020</t>
        </is>
      </c>
      <c r="AB282" s="19" t="inlineStr">
        <is>
          <t>Mapped to Debit card block because the test case terms align with the 1.3.2.3 Block &amp; Unblock Card journey in the applicable API specification.</t>
        </is>
      </c>
      <c r="AC282" s="19" t="inlineStr">
        <is>
          <t>High</t>
        </is>
      </c>
      <c r="AD282" s="19" t="inlineStr">
        <is>
          <t>Pending ESB Spec</t>
        </is>
      </c>
    </row>
    <row r="283" ht="409.6" customHeight="1" s="2">
      <c r="A283" s="15" t="inlineStr">
        <is>
          <t>TC-B1-0282</t>
        </is>
      </c>
      <c r="B283" s="16" t="inlineStr">
        <is>
          <t>TS-B1-235</t>
        </is>
      </c>
      <c r="C283" s="16" t="inlineStr">
        <is>
          <t>Acct Dashboard Non-Financing</t>
        </is>
      </c>
      <c r="D283" s="16" t="inlineStr">
        <is>
          <t>Dashboard — Cards</t>
        </is>
      </c>
      <c r="E283" s="16" t="inlineStr">
        <is>
          <t>Validate Step 26 — 1.3.2.4 Replace Card for Debit Card (all product codes per NGBO BIN-PAN mapping)</t>
        </is>
      </c>
      <c r="F283" s="16" t="inlineStr">
        <is>
          <t>Negative</t>
        </is>
      </c>
      <c r="G283" s="16" t="inlineStr">
        <is>
          <t>Medium</t>
        </is>
      </c>
      <c r="H283" s="16" t="inlineStr">
        <is>
          <t>Eligible user and product are available. Trigger the stated condition: Step 26 — Select Replacement Method (Deliver to address / Collect at branch) → Replace Card screen (disclaimer, mailing address) → Optional Change Mailing Address → Confirmation → S2U → Acknowledgement; charge rule: free if expiring within 3 months; replacement fee otherwise; Collect at branch: QR code generated (UUID v4, 24h expiry, invalidated on branch scan); card remains active until new card activated</t>
        </is>
      </c>
      <c r="I283" s="16" t="inlineStr">
        <is>
          <t>Account / Card / Policy Type: Active / Temporarily Blocked / Blocked / Pending Activation debit card; Global Access card vs standard debit card distinguished via BIN-PAN; Currency / FCY Criteria: IDR; replacement fee in IDR for FCY debit cards as well</t>
        </is>
      </c>
      <c r="J283" s="16" t="inlineStr">
        <is>
          <t>1. Open Debit Card (all product codes per NGBO BIN-PAN mapping).
2. Navigate to Step 26 — 1.3.2.4 Replace Card.
3. Perform the action or trigger described by: Step 26 — Select Replacement Method (Deliver to address / Collect at branch) → Replace Card screen (disclaimer, mailing address) → Optional Change Mailing Address → Confirmation → S2U → Acknowledgement; charge rule: free if expiring within 3 months; replacement fee otherwise; Collect at branch: QR code generated (UUID v4, 24h expiry, invalidated on branch scan); card remains active until new card activated.
4. Observe the page, validation, navigation, and resulting state.</t>
        </is>
      </c>
      <c r="K283" s="16" t="inlineStr">
        <is>
          <t>Step 26 — 1.3.2.4 Replace Card behaves according to the mapped requirement (Step 26 — Select Replacement Method (Deliver to address / Collect at branch) → Replace Card screen (disclaimer, mailing address) → Optional Change Mailing Address → Confirmation → S2U → Acknowledgement; charge rule: free if expiring within 3 months; replacement fee otherwise; Collect at branch: QR code generated (UUID v4, 24h expiry, invalidated on branch scan); card remains active until new card activated); data, controls, navigation, and status are accurate and consistent.</t>
        </is>
      </c>
      <c r="L283" s="16" t="inlineStr">
        <is>
          <t>S2U required for: Card Activation, Reset Card PIN, Block Card, Unblock Card, Replace Card, Card Details (view masked card details drawer), Change Linked Accounts</t>
        </is>
      </c>
      <c r="M283" s="16"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83" s="16" t="inlineStr">
        <is>
          <t>Acct Dashboard Non-Financing!A35:I35</t>
        </is>
      </c>
      <c r="O283" s="16" t="inlineStr">
        <is>
          <t>Not Run</t>
        </is>
      </c>
      <c r="P283" s="16" t="n"/>
      <c r="Q283" s="16" t="n"/>
      <c r="R283" s="17" t="inlineStr">
        <is>
          <t>Conditional coverage required.</t>
        </is>
      </c>
      <c r="S283" s="19" t="inlineStr">
        <is>
          <t>Debit Card API Design</t>
        </is>
      </c>
      <c r="T283" s="19" t="inlineStr">
        <is>
          <t>Debit card block</t>
        </is>
      </c>
      <c r="U283" s="19" t="inlineStr">
        <is>
          <t>POST</t>
        </is>
      </c>
      <c r="V283" s="19" t="inlineStr">
        <is>
          <t>/v1/external/cards/block</t>
        </is>
      </c>
      <c r="W283" s="19" t="inlineStr">
        <is>
          <t>dep-card</t>
        </is>
      </c>
      <c r="X283" s="19" t="inlineStr">
        <is>
          <t>ECLIPSE_Account Dashboard_Debit_Card_DDD_API_Design_v1_Workshop (1).xlsx</t>
        </is>
      </c>
      <c r="Y283" s="19" t="inlineStr">
        <is>
          <t>1.3.2.3 Block &amp; Unblock Card</t>
        </is>
      </c>
      <c r="Z283" s="19" t="inlineStr">
        <is>
          <t>API_Specs_Index!A13:H13</t>
        </is>
      </c>
      <c r="AA283" s="22" t="inlineStr">
        <is>
          <t>API-020</t>
        </is>
      </c>
      <c r="AB283" s="19" t="inlineStr">
        <is>
          <t>Mapped to Debit card block because the test case terms align with the 1.3.2.3 Block &amp; Unblock Card journey in the applicable API specification.</t>
        </is>
      </c>
      <c r="AC283" s="19" t="inlineStr">
        <is>
          <t>High</t>
        </is>
      </c>
      <c r="AD283" s="19" t="inlineStr">
        <is>
          <t>Pending ESB Spec</t>
        </is>
      </c>
    </row>
    <row r="284" ht="409.6" customHeight="1" s="2">
      <c r="A284" s="12" t="inlineStr">
        <is>
          <t>TC-B1-0283</t>
        </is>
      </c>
      <c r="B284" s="13" t="inlineStr">
        <is>
          <t>TS-B1-236</t>
        </is>
      </c>
      <c r="C284" s="13" t="inlineStr">
        <is>
          <t>Acct Dashboard Non-Financing</t>
        </is>
      </c>
      <c r="D284" s="13" t="inlineStr">
        <is>
          <t>Dashboard — Cards</t>
        </is>
      </c>
      <c r="E284" s="13" t="inlineStr">
        <is>
          <t>Validate ViewAllTrans — Transaction History Display Rule for Debit Card (all product codes per NGBO BIN-PAN mapping)</t>
        </is>
      </c>
      <c r="F284" s="13" t="inlineStr">
        <is>
          <t>UI / Functional</t>
        </is>
      </c>
      <c r="G284" s="13" t="inlineStr">
        <is>
          <t>Medium</t>
        </is>
      </c>
      <c r="H284" s="13" t="inlineStr">
        <is>
          <t>Eligible user and product are available. Trigger the stated condition: Not applicable</t>
        </is>
      </c>
      <c r="I284" s="13" t="inlineStr">
        <is>
          <t>Account / Card / Policy Type: Active / Temporarily Blocked / Blocked / Pending Activation debit card; Global Access card vs standard debit card distinguished via BIN-PAN; Currency / FCY Criteria: IDR; replacement fee in IDR for FCY debit cards as well</t>
        </is>
      </c>
      <c r="J284" s="13" t="inlineStr">
        <is>
          <t>1. Open Debit Card (all product codes per NGBO BIN-PAN mapping).
2. Navigate to ViewAllTrans — Transaction History Display Rule.
3. Perform the action or trigger described by: Not applicable.
4. Observe the page, validation, navigation, and resulting state.</t>
        </is>
      </c>
      <c r="K284" s="13" t="inlineStr">
        <is>
          <t>ViewAllTrans — Transaction History Display Rule behaves according to the mapped requirement (Not applicable); data, controls, navigation, and status are accurate and consistent.</t>
        </is>
      </c>
      <c r="L284" s="13" t="inlineStr">
        <is>
          <t>S2U required for: Card Activation, Reset Card PIN, Block Card, Unblock Card, Replace Card, Card Details (view masked card details drawer), Change Linked Accounts</t>
        </is>
      </c>
      <c r="M284" s="13"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84" s="13" t="inlineStr">
        <is>
          <t>Acct Dashboard Non-Financing!A40:I40</t>
        </is>
      </c>
      <c r="O284" s="13" t="inlineStr">
        <is>
          <t>Not Run</t>
        </is>
      </c>
      <c r="P284" s="13" t="n"/>
      <c r="Q284" s="13" t="n"/>
      <c r="R284" s="14" t="inlineStr">
        <is>
          <t>Conditional coverage required.</t>
        </is>
      </c>
      <c r="S284" s="19" t="inlineStr">
        <is>
          <t>Debit Card API Design</t>
        </is>
      </c>
      <c r="T284" s="19" t="inlineStr">
        <is>
          <t>Debit card block</t>
        </is>
      </c>
      <c r="U284" s="19" t="inlineStr">
        <is>
          <t>POST</t>
        </is>
      </c>
      <c r="V284" s="19" t="inlineStr">
        <is>
          <t>/v1/external/cards/block</t>
        </is>
      </c>
      <c r="W284" s="19" t="inlineStr">
        <is>
          <t>dep-card</t>
        </is>
      </c>
      <c r="X284" s="19" t="inlineStr">
        <is>
          <t>ECLIPSE_Account Dashboard_Debit_Card_DDD_API_Design_v1_Workshop (1).xlsx</t>
        </is>
      </c>
      <c r="Y284" s="19" t="inlineStr">
        <is>
          <t>1.3.2.3 Block &amp; Unblock Card</t>
        </is>
      </c>
      <c r="Z284" s="19" t="inlineStr">
        <is>
          <t>API_Specs_Index!A13:H13</t>
        </is>
      </c>
      <c r="AA284" s="22" t="inlineStr">
        <is>
          <t>API-020</t>
        </is>
      </c>
      <c r="AB284" s="19" t="inlineStr">
        <is>
          <t>Mapped to Debit card block because the test case terms align with the 1.3.2.3 Block &amp; Unblock Card journey in the applicable API specification.</t>
        </is>
      </c>
      <c r="AC284" s="19" t="inlineStr">
        <is>
          <t>High</t>
        </is>
      </c>
      <c r="AD284" s="19" t="inlineStr">
        <is>
          <t>Pending ESB Spec</t>
        </is>
      </c>
    </row>
    <row r="285" ht="409.6" customHeight="1" s="2">
      <c r="A285" s="15" t="inlineStr">
        <is>
          <t>TC-B1-0284</t>
        </is>
      </c>
      <c r="B285" s="16" t="inlineStr">
        <is>
          <t>TS-B1-237</t>
        </is>
      </c>
      <c r="C285" s="16" t="inlineStr">
        <is>
          <t>Acct Dashboard Non-Financing</t>
        </is>
      </c>
      <c r="D285" s="16" t="inlineStr">
        <is>
          <t>Dashboard — Cards</t>
        </is>
      </c>
      <c r="E285" s="16" t="inlineStr">
        <is>
          <t>Validate Sorting / Display Order for Debit Card (all product codes per NGBO BIN-PAN mapping)</t>
        </is>
      </c>
      <c r="F285" s="16" t="inlineStr">
        <is>
          <t>UI / Functional</t>
        </is>
      </c>
      <c r="G285" s="16" t="inlineStr">
        <is>
          <t>Medium</t>
        </is>
      </c>
      <c r="H285" s="16" t="inlineStr">
        <is>
          <t>Eligible user and product are available. User has reached the preceding journey step.</t>
        </is>
      </c>
      <c r="I285" s="16" t="inlineStr">
        <is>
          <t>Account / Card / Policy Type: Active / Temporarily Blocked / Blocked / Pending Activation debit card; Global Access card vs standard debit card distinguished via BIN-PAN; Currency / FCY Criteria: IDR; replacement fee in IDR for FCY debit cards as well</t>
        </is>
      </c>
      <c r="J285" s="16" t="inlineStr">
        <is>
          <t>1. Open Debit Card (all product codes per NGBO BIN-PAN mapping).
2. Navigate to Sorting / Display Order.
3. Perform the action or trigger described by: Debit cards sorted per Common worksheet (refer to Common FSD).
4. Observe the page, validation, navigation, and resulting state.</t>
        </is>
      </c>
      <c r="K285" s="16" t="inlineStr">
        <is>
          <t>Sorting / Display Order behaves according to the mapped requirement (Debit cards sorted per Common worksheet (refer to Common FSD)); data, controls, navigation, and status are accurate and consistent.</t>
        </is>
      </c>
      <c r="L285" s="16" t="inlineStr">
        <is>
          <t>S2U required for: Card Activation, Reset Card PIN, Block Card, Unblock Card, Replace Card, Card Details (view masked card details drawer), Change Linked Accounts</t>
        </is>
      </c>
      <c r="M285" s="16"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85" s="16" t="inlineStr">
        <is>
          <t>Acct Dashboard Non-Financing!A41:I41</t>
        </is>
      </c>
      <c r="O285" s="16" t="inlineStr">
        <is>
          <t>Not Run</t>
        </is>
      </c>
      <c r="P285" s="16" t="n"/>
      <c r="Q285" s="16" t="n"/>
      <c r="R285" s="17" t="n"/>
      <c r="S285" s="19" t="inlineStr">
        <is>
          <t>Debit Card API Design</t>
        </is>
      </c>
      <c r="T285" s="19" t="inlineStr">
        <is>
          <t>Debit card block</t>
        </is>
      </c>
      <c r="U285" s="19" t="inlineStr">
        <is>
          <t>POST</t>
        </is>
      </c>
      <c r="V285" s="19" t="inlineStr">
        <is>
          <t>/v1/external/cards/block</t>
        </is>
      </c>
      <c r="W285" s="19" t="inlineStr">
        <is>
          <t>dep-card</t>
        </is>
      </c>
      <c r="X285" s="19" t="inlineStr">
        <is>
          <t>ECLIPSE_Account Dashboard_Debit_Card_DDD_API_Design_v1_Workshop (1).xlsx</t>
        </is>
      </c>
      <c r="Y285" s="19" t="inlineStr">
        <is>
          <t>1.3.2.3 Block &amp; Unblock Card</t>
        </is>
      </c>
      <c r="Z285" s="19" t="inlineStr">
        <is>
          <t>API_Specs_Index!A13:H13</t>
        </is>
      </c>
      <c r="AA285" s="22" t="inlineStr">
        <is>
          <t>API-020</t>
        </is>
      </c>
      <c r="AB285" s="19" t="inlineStr">
        <is>
          <t>Mapped to Debit card block because the test case terms align with the 1.3.2.3 Block &amp; Unblock Card journey in the applicable API specification.</t>
        </is>
      </c>
      <c r="AC285" s="19" t="inlineStr">
        <is>
          <t>High</t>
        </is>
      </c>
      <c r="AD285" s="19" t="inlineStr">
        <is>
          <t>Pending ESB Spec</t>
        </is>
      </c>
    </row>
    <row r="286" ht="409.6" customHeight="1" s="2">
      <c r="A286" s="12" t="inlineStr">
        <is>
          <t>TC-B1-0285</t>
        </is>
      </c>
      <c r="B286" s="13" t="inlineStr">
        <is>
          <t>TS-B1-238</t>
        </is>
      </c>
      <c r="C286" s="13" t="inlineStr">
        <is>
          <t>Acct Dashboard Non-Financing</t>
        </is>
      </c>
      <c r="D286" s="13" t="inlineStr">
        <is>
          <t>Dashboard — Cards</t>
        </is>
      </c>
      <c r="E286" s="13" t="inlineStr">
        <is>
          <t>Validate Joint-AND Account Restrictions for Debit Card (all product codes per NGBO BIN-PAN mapping)</t>
        </is>
      </c>
      <c r="F286" s="13" t="inlineStr">
        <is>
          <t>Functional</t>
        </is>
      </c>
      <c r="G286" s="13" t="inlineStr">
        <is>
          <t>Medium</t>
        </is>
      </c>
      <c r="H286" s="13" t="inlineStr">
        <is>
          <t>Eligible user and product are available. Trigger the stated condition: Not applicable at card level</t>
        </is>
      </c>
      <c r="I286" s="13" t="inlineStr">
        <is>
          <t>Account / Card / Policy Type: Active / Temporarily Blocked / Blocked / Pending Activation debit card; Global Access card vs standard debit card distinguished via BIN-PAN; Currency / FCY Criteria: IDR; replacement fee in IDR for FCY debit cards as well</t>
        </is>
      </c>
      <c r="J286" s="13" t="inlineStr">
        <is>
          <t>1. Open Debit Card (all product codes per NGBO BIN-PAN mapping).
2. Navigate to Joint-AND Account Restrictions.
3. Perform the action or trigger described by: Not applicable at card level.
4. Observe the page, validation, navigation, and resulting state.</t>
        </is>
      </c>
      <c r="K286" s="13" t="inlineStr">
        <is>
          <t>Joint-AND Account Restrictions behaves according to the mapped requirement (Not applicable at card level); data, controls, navigation, and status are accurate and consistent.</t>
        </is>
      </c>
      <c r="L286" s="13" t="inlineStr">
        <is>
          <t>S2U required for: Card Activation, Reset Card PIN, Block Card, Unblock Card, Replace Card, Card Details (view masked card details drawer), Change Linked Accounts</t>
        </is>
      </c>
      <c r="M286" s="13"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86" s="13" t="inlineStr">
        <is>
          <t>Acct Dashboard Non-Financing!A42:I42</t>
        </is>
      </c>
      <c r="O286" s="13" t="inlineStr">
        <is>
          <t>Not Run</t>
        </is>
      </c>
      <c r="P286" s="13" t="n"/>
      <c r="Q286" s="13" t="n"/>
      <c r="R286" s="14" t="inlineStr">
        <is>
          <t>Conditional coverage required.</t>
        </is>
      </c>
      <c r="S286" s="19" t="inlineStr">
        <is>
          <t>Debit Card API Design</t>
        </is>
      </c>
      <c r="T286" s="19" t="inlineStr">
        <is>
          <t>Debit card block</t>
        </is>
      </c>
      <c r="U286" s="19" t="inlineStr">
        <is>
          <t>POST</t>
        </is>
      </c>
      <c r="V286" s="19" t="inlineStr">
        <is>
          <t>/v1/external/cards/block</t>
        </is>
      </c>
      <c r="W286" s="19" t="inlineStr">
        <is>
          <t>dep-card</t>
        </is>
      </c>
      <c r="X286" s="19" t="inlineStr">
        <is>
          <t>ECLIPSE_Account Dashboard_Debit_Card_DDD_API_Design_v1_Workshop (1).xlsx</t>
        </is>
      </c>
      <c r="Y286" s="19" t="inlineStr">
        <is>
          <t>1.3.2.3 Block &amp; Unblock Card</t>
        </is>
      </c>
      <c r="Z286" s="19" t="inlineStr">
        <is>
          <t>API_Specs_Index!A13:H13</t>
        </is>
      </c>
      <c r="AA286" s="22" t="inlineStr">
        <is>
          <t>API-020</t>
        </is>
      </c>
      <c r="AB286" s="19" t="inlineStr">
        <is>
          <t>Mapped to Debit card block because the test case terms align with the 1.3.2.3 Block &amp; Unblock Card journey in the applicable API specification.</t>
        </is>
      </c>
      <c r="AC286" s="19" t="inlineStr">
        <is>
          <t>High</t>
        </is>
      </c>
      <c r="AD286" s="19" t="inlineStr">
        <is>
          <t>Pending ESB Spec</t>
        </is>
      </c>
    </row>
    <row r="287" ht="409.6" customHeight="1" s="2">
      <c r="A287" s="15" t="inlineStr">
        <is>
          <t>TC-B1-0286</t>
        </is>
      </c>
      <c r="B287" s="16" t="inlineStr">
        <is>
          <t>TS-B1-239</t>
        </is>
      </c>
      <c r="C287" s="16" t="inlineStr">
        <is>
          <t>Acct Dashboard Non-Financing</t>
        </is>
      </c>
      <c r="D287" s="16" t="inlineStr">
        <is>
          <t>Dashboard — Cards</t>
        </is>
      </c>
      <c r="E287" s="16" t="inlineStr">
        <is>
          <t>Validate Business Profile / IBO Disclaimer for Debit Card (all product codes per NGBO BIN-PAN mapping)</t>
        </is>
      </c>
      <c r="F287" s="16" t="inlineStr">
        <is>
          <t>UI / Functional</t>
        </is>
      </c>
      <c r="G287" s="16" t="inlineStr">
        <is>
          <t>Medium</t>
        </is>
      </c>
      <c r="H287" s="16" t="inlineStr">
        <is>
          <t>Eligible user and product are available. Trigger the stated condition: Disclaimer box displayed if business profile set up; upon IBO: only personal cards displayed</t>
        </is>
      </c>
      <c r="I287" s="16" t="inlineStr">
        <is>
          <t>Account / Card / Policy Type: Active / Temporarily Blocked / Blocked / Pending Activation debit card; Global Access card vs standard debit card distinguished via BIN-PAN; Currency / FCY Criteria: IDR; replacement fee in IDR for FCY debit cards as well</t>
        </is>
      </c>
      <c r="J287" s="16" t="inlineStr">
        <is>
          <t>1. Open Debit Card (all product codes per NGBO BIN-PAN mapping).
2. Navigate to Business Profile / IBO Disclaimer.
3. Perform the action or trigger described by: Disclaimer box displayed if business profile set up; upon IBO: only personal cards displayed.
4. Observe the page, validation, navigation, and resulting state.</t>
        </is>
      </c>
      <c r="K287" s="16" t="inlineStr">
        <is>
          <t>Business Profile / IBO Disclaimer behaves according to the mapped requirement (Disclaimer box displayed if business profile set up; upon IBO: only personal cards displayed); data, controls, navigation, and status are accurate and consistent.</t>
        </is>
      </c>
      <c r="L287" s="16" t="inlineStr">
        <is>
          <t>S2U required for: Card Activation, Reset Card PIN, Block Card, Unblock Card, Replace Card, Card Details (view masked card details drawer), Change Linked Accounts</t>
        </is>
      </c>
      <c r="M287" s="16"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87" s="16" t="inlineStr">
        <is>
          <t>Acct Dashboard Non-Financing!A43:I43</t>
        </is>
      </c>
      <c r="O287" s="16" t="inlineStr">
        <is>
          <t>Not Run</t>
        </is>
      </c>
      <c r="P287" s="16" t="n"/>
      <c r="Q287" s="16" t="n"/>
      <c r="R287" s="17" t="inlineStr">
        <is>
          <t>Conditional coverage required.</t>
        </is>
      </c>
      <c r="S287" s="19" t="inlineStr">
        <is>
          <t>Debit Card API Design</t>
        </is>
      </c>
      <c r="T287" s="19" t="inlineStr">
        <is>
          <t>Debit card block</t>
        </is>
      </c>
      <c r="U287" s="19" t="inlineStr">
        <is>
          <t>POST</t>
        </is>
      </c>
      <c r="V287" s="19" t="inlineStr">
        <is>
          <t>/v1/external/cards/block</t>
        </is>
      </c>
      <c r="W287" s="19" t="inlineStr">
        <is>
          <t>dep-card</t>
        </is>
      </c>
      <c r="X287" s="19" t="inlineStr">
        <is>
          <t>ECLIPSE_Account Dashboard_Debit_Card_DDD_API_Design_v1_Workshop (1).xlsx</t>
        </is>
      </c>
      <c r="Y287" s="19" t="inlineStr">
        <is>
          <t>1.3.2.3 Block &amp; Unblock Card</t>
        </is>
      </c>
      <c r="Z287" s="19" t="inlineStr">
        <is>
          <t>API_Specs_Index!A13:H13</t>
        </is>
      </c>
      <c r="AA287" s="22" t="inlineStr">
        <is>
          <t>API-020</t>
        </is>
      </c>
      <c r="AB287" s="19" t="inlineStr">
        <is>
          <t>Mapped to Debit card block because the test case terms align with the 1.3.2.3 Block &amp; Unblock Card journey in the applicable API specification.</t>
        </is>
      </c>
      <c r="AC287" s="19" t="inlineStr">
        <is>
          <t>High</t>
        </is>
      </c>
      <c r="AD287" s="19" t="inlineStr">
        <is>
          <t>Pending ESB Spec</t>
        </is>
      </c>
    </row>
    <row r="288" ht="409.6" customHeight="1" s="2">
      <c r="A288" s="12" t="inlineStr">
        <is>
          <t>TC-B1-0287</t>
        </is>
      </c>
      <c r="B288" s="13" t="inlineStr">
        <is>
          <t>TS-B1-240</t>
        </is>
      </c>
      <c r="C288" s="13" t="inlineStr">
        <is>
          <t>Acct Dashboard Non-Financing</t>
        </is>
      </c>
      <c r="D288" s="13" t="inlineStr">
        <is>
          <t>Dashboard — Cards</t>
        </is>
      </c>
      <c r="E288" s="13" t="inlineStr">
        <is>
          <t>Validate Notification Triggers for Debit Card (all product codes per NGBO BIN-PAN mapping)</t>
        </is>
      </c>
      <c r="F288" s="13" t="inlineStr">
        <is>
          <t>Functional</t>
        </is>
      </c>
      <c r="G288" s="13" t="inlineStr">
        <is>
          <t>High</t>
        </is>
      </c>
      <c r="H288" s="13" t="inlineStr">
        <is>
          <t>Eligible user and product are available. Trigger the stated condition: Card Activation: SMS + Email + PN (success only, no failure notification); Reset Card PIN: success → SMS + Email + PN; failure → Email + PN; Block/Unblock Card: success → SMS + Email + PN; failure → Email only; Replace Card: SMS + Email + PN; Linked Accounts: Email + PN</t>
        </is>
      </c>
      <c r="I288" s="13" t="inlineStr">
        <is>
          <t>Account / Card / Policy Type: Active / Temporarily Blocked / Blocked / Pending Activation debit card; Global Access card vs standard debit card distinguished via BIN-PAN; Currency / FCY Criteria: IDR; replacement fee in IDR for FCY debit cards as well</t>
        </is>
      </c>
      <c r="J288" s="13" t="inlineStr">
        <is>
          <t>1. Open Debit Card (all product codes per NGBO BIN-PAN mapping).
2. Navigate to Notification Triggers.
3. Perform the action or trigger described by: Card Activation: SMS + Email + PN (success only, no failure notification); Reset Card PIN: success → SMS + Email + PN; failure → Email + PN; Block/Unblock Card: success → SMS + Email + PN; failure → Email only; Replace Card: SMS + Email + PN; Linked Accounts: Email + PN.
4. Observe the page, validation, navigation, and resulting state.</t>
        </is>
      </c>
      <c r="K288" s="13" t="inlineStr">
        <is>
          <t>Notification Triggers behaves according to the mapped requirement (Card Activation: SMS + Email + PN (success only, no failure notification); Reset Card PIN: success → SMS + Email + PN; failure → Email + PN; Block/Unblock Card: success → SMS + Email + PN; failure → Email only; Replace Card: SMS + Email + PN; Linked Accounts: Email + PN); data, controls, navigation, and status are accurate and consistent.</t>
        </is>
      </c>
      <c r="L288" s="13" t="inlineStr">
        <is>
          <t>S2U required for: Card Activation, Reset Card PIN, Block Card, Unblock Card, Replace Card, Card Details (view masked card details drawer), Change Linked Accounts</t>
        </is>
      </c>
      <c r="M288" s="13"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88" s="13" t="inlineStr">
        <is>
          <t>Acct Dashboard Non-Financing!A44:I44</t>
        </is>
      </c>
      <c r="O288" s="13" t="inlineStr">
        <is>
          <t>Not Run</t>
        </is>
      </c>
      <c r="P288" s="13" t="n"/>
      <c r="Q288" s="13" t="n"/>
      <c r="R288" s="14" t="inlineStr">
        <is>
          <t>Conditional coverage required.</t>
        </is>
      </c>
      <c r="S288" s="19" t="inlineStr">
        <is>
          <t>Debit Card API Design</t>
        </is>
      </c>
      <c r="T288" s="19" t="inlineStr">
        <is>
          <t>Debit card block</t>
        </is>
      </c>
      <c r="U288" s="19" t="inlineStr">
        <is>
          <t>POST</t>
        </is>
      </c>
      <c r="V288" s="19" t="inlineStr">
        <is>
          <t>/v1/external/cards/block</t>
        </is>
      </c>
      <c r="W288" s="19" t="inlineStr">
        <is>
          <t>dep-card</t>
        </is>
      </c>
      <c r="X288" s="19" t="inlineStr">
        <is>
          <t>ECLIPSE_Account Dashboard_Debit_Card_DDD_API_Design_v1_Workshop (1).xlsx</t>
        </is>
      </c>
      <c r="Y288" s="19" t="inlineStr">
        <is>
          <t>1.3.2.3 Block &amp; Unblock Card</t>
        </is>
      </c>
      <c r="Z288" s="19" t="inlineStr">
        <is>
          <t>API_Specs_Index!A13:H13</t>
        </is>
      </c>
      <c r="AA288" s="22" t="inlineStr">
        <is>
          <t>API-020</t>
        </is>
      </c>
      <c r="AB288" s="19" t="inlineStr">
        <is>
          <t>Mapped to Debit card block because the test case terms align with the 1.3.2.3 Block &amp; Unblock Card journey in the applicable API specification.</t>
        </is>
      </c>
      <c r="AC288" s="19" t="inlineStr">
        <is>
          <t>High</t>
        </is>
      </c>
      <c r="AD288" s="19" t="inlineStr">
        <is>
          <t>Pending ESB Spec</t>
        </is>
      </c>
    </row>
    <row r="289" ht="409.6" customHeight="1" s="2">
      <c r="A289" s="15" t="inlineStr">
        <is>
          <t>TC-B1-0288</t>
        </is>
      </c>
      <c r="B289" s="16" t="inlineStr">
        <is>
          <t>TS-B1-241</t>
        </is>
      </c>
      <c r="C289" s="16" t="inlineStr">
        <is>
          <t>Acct Dashboard Non-Financing</t>
        </is>
      </c>
      <c r="D289" s="16" t="inlineStr">
        <is>
          <t>Dashboard — Cards</t>
        </is>
      </c>
      <c r="E289" s="16" t="inlineStr">
        <is>
          <t>Validate External FSD References for Debit Card (all product codes per NGBO BIN-PAN mapping)</t>
        </is>
      </c>
      <c r="F289" s="16" t="inlineStr">
        <is>
          <t>Security</t>
        </is>
      </c>
      <c r="G289" s="16" t="inlineStr">
        <is>
          <t>High</t>
        </is>
      </c>
      <c r="H289" s="16" t="inlineStr">
        <is>
          <t>Eligible user and product are available. User has reached the preceding journey step.</t>
        </is>
      </c>
      <c r="I289" s="16" t="inlineStr">
        <is>
          <t>Account / Card / Policy Type: Active / Temporarily Blocked / Blocked / Pending Activation debit card; Global Access card vs standard debit card distinguished via BIN-PAN; Currency / FCY Criteria: IDR; replacement fee in IDR for FCY debit cards as well</t>
        </is>
      </c>
      <c r="J289" s="16" t="inlineStr">
        <is>
          <t>1. Open Debit Card (all product codes per NGBO BIN-PAN mapping).
2. Navigate to External FSD References.
3. Perform the action or trigger described by: Card Activation declaration: refer to NGBO; Apply Debit Card: refer to Apply STP Non Financing FSD; Card Replacement — QR branch collection: refer to Apply NF FSD; S2U: refer to A&amp;A FSD; Authorisation Failed: refer to Common FSD; Masking: refer to Common FSD; CTA Share &amp; Done: refer to Common FSD; Edit Function: refer to Common FSD.
4. Observe the page, validation, navigation, and resulting state.</t>
        </is>
      </c>
      <c r="K289" s="16" t="inlineStr">
        <is>
          <t>External FSD References behaves according to the mapped requirement (Card Activation declaration: refer to NGBO; Apply Debit Card: refer to Apply STP Non Financing FSD; Card Replacement — QR branch collection: refer to Apply NF FSD; S2U: refer to A&amp;A FSD; Authorisation Failed: refer to Common FSD; Masking: refer to Common FSD; CTA Share &amp; Done: refer to Common FSD; Edit Function: refer to Common FSD); data, controls, navigation, and status are accurate and consistent.</t>
        </is>
      </c>
      <c r="L289" s="16" t="inlineStr">
        <is>
          <t>S2U required for: Card Activation, Reset Card PIN, Block Card, Unblock Card, Replace Card, Card Details (view masked card details drawer), Change Linked Accounts</t>
        </is>
      </c>
      <c r="M289" s="16"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89" s="16" t="inlineStr">
        <is>
          <t>Acct Dashboard Non-Financing!A45:I45</t>
        </is>
      </c>
      <c r="O289" s="16" t="inlineStr">
        <is>
          <t>Not Run</t>
        </is>
      </c>
      <c r="P289" s="16" t="n"/>
      <c r="Q289" s="16" t="n"/>
      <c r="R289" s="17" t="n"/>
      <c r="S289" s="19" t="inlineStr">
        <is>
          <t>Debit Card API Design</t>
        </is>
      </c>
      <c r="T289" s="19" t="inlineStr">
        <is>
          <t>Debit card block</t>
        </is>
      </c>
      <c r="U289" s="19" t="inlineStr">
        <is>
          <t>POST</t>
        </is>
      </c>
      <c r="V289" s="19" t="inlineStr">
        <is>
          <t>/v1/external/cards/block</t>
        </is>
      </c>
      <c r="W289" s="19" t="inlineStr">
        <is>
          <t>dep-card</t>
        </is>
      </c>
      <c r="X289" s="19" t="inlineStr">
        <is>
          <t>ECLIPSE_Account Dashboard_Debit_Card_DDD_API_Design_v1_Workshop (1).xlsx</t>
        </is>
      </c>
      <c r="Y289" s="19" t="inlineStr">
        <is>
          <t>1.3.2.3 Block &amp; Unblock Card</t>
        </is>
      </c>
      <c r="Z289" s="19" t="inlineStr">
        <is>
          <t>API_Specs_Index!A13:H13</t>
        </is>
      </c>
      <c r="AA289" s="22" t="inlineStr">
        <is>
          <t>API-020</t>
        </is>
      </c>
      <c r="AB289" s="19" t="inlineStr">
        <is>
          <t>Mapped to Debit card block because the test case terms align with the 1.3.2.3 Block &amp; Unblock Card journey in the applicable API specification.</t>
        </is>
      </c>
      <c r="AC289" s="19" t="inlineStr">
        <is>
          <t>High</t>
        </is>
      </c>
      <c r="AD289" s="19" t="inlineStr">
        <is>
          <t>Pending ESB Spec</t>
        </is>
      </c>
    </row>
    <row r="290" ht="409.6" customHeight="1" s="2">
      <c r="A290" s="12" t="inlineStr">
        <is>
          <t>TC-B1-0289</t>
        </is>
      </c>
      <c r="B290" s="13" t="inlineStr">
        <is>
          <t>TS-B1-242</t>
        </is>
      </c>
      <c r="C290" s="13" t="inlineStr">
        <is>
          <t>Acct Dashboard Non-Financing</t>
        </is>
      </c>
      <c r="D290" s="13" t="inlineStr">
        <is>
          <t>Dashboard — Cards</t>
        </is>
      </c>
      <c r="E290" s="13" t="inlineStr">
        <is>
          <t>Validate successful final state for Debit Card (all product codes per NGBO BIN-PAN mapping)</t>
        </is>
      </c>
      <c r="F290" s="13" t="inlineStr">
        <is>
          <t>Positive</t>
        </is>
      </c>
      <c r="G290" s="13" t="inlineStr">
        <is>
          <t>High</t>
        </is>
      </c>
      <c r="H290" s="13" t="inlineStr">
        <is>
          <t>All required inputs and services are valid. Expected statuses: 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I290" s="13" t="inlineStr">
        <is>
          <t>Account / Card / Policy Type: Active / Temporarily Blocked / Blocked / Pending Activation debit card; Global Access card vs standard debit card distinguished via BIN-PAN; Currency / FCY Criteria: IDR; replacement fee in IDR for FCY debit cards as well</t>
        </is>
      </c>
      <c r="J290" s="13" t="inlineStr">
        <is>
          <t>1. Complete the end-to-end journey with valid data.
2. Submit/confirm the final action.
3. Verify result, receipt/notification where applicable, and persisted state.</t>
        </is>
      </c>
      <c r="K290" s="13" t="inlineStr">
        <is>
          <t>A valid success status from the requirement is shown. The transaction or change is applied once, persisted, and reflected on refresh.</t>
        </is>
      </c>
      <c r="L290" s="13" t="inlineStr">
        <is>
          <t>S2U required for: Card Activation, Reset Card PIN, Block Card, Unblock Card, Replace Card, Card Details (view masked card details drawer), Change Linked Accounts</t>
        </is>
      </c>
      <c r="M290" s="13"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90" s="13" t="inlineStr">
        <is>
          <t>Acct Dashboard Non-Financing!I1:I45</t>
        </is>
      </c>
      <c r="O290" s="13" t="inlineStr">
        <is>
          <t>Not Run</t>
        </is>
      </c>
      <c r="P290" s="13" t="n"/>
      <c r="Q290" s="13" t="n"/>
      <c r="R290" s="14" t="n"/>
      <c r="S290" s="19" t="inlineStr">
        <is>
          <t>Debit Card API Design</t>
        </is>
      </c>
      <c r="T290" s="19" t="inlineStr">
        <is>
          <t>Debit card block</t>
        </is>
      </c>
      <c r="U290" s="19" t="inlineStr">
        <is>
          <t>POST</t>
        </is>
      </c>
      <c r="V290" s="19" t="inlineStr">
        <is>
          <t>/v1/external/cards/block</t>
        </is>
      </c>
      <c r="W290" s="19" t="inlineStr">
        <is>
          <t>dep-card</t>
        </is>
      </c>
      <c r="X290" s="19" t="inlineStr">
        <is>
          <t>ECLIPSE_Account Dashboard_Debit_Card_DDD_API_Design_v1_Workshop (1).xlsx</t>
        </is>
      </c>
      <c r="Y290" s="19" t="inlineStr">
        <is>
          <t>1.3.2.3 Block &amp; Unblock Card</t>
        </is>
      </c>
      <c r="Z290" s="19" t="inlineStr">
        <is>
          <t>API_Specs_Index!A13:H13</t>
        </is>
      </c>
      <c r="AA290" s="22" t="inlineStr">
        <is>
          <t>API-020</t>
        </is>
      </c>
      <c r="AB290" s="19" t="inlineStr">
        <is>
          <t>Mapped to Debit card block because the test case terms align with the 1.3.2.3 Block &amp; Unblock Card journey in the applicable API specification.</t>
        </is>
      </c>
      <c r="AC290" s="19" t="inlineStr">
        <is>
          <t>High</t>
        </is>
      </c>
      <c r="AD290" s="19" t="inlineStr">
        <is>
          <t>Pending ESB Spec</t>
        </is>
      </c>
    </row>
    <row r="291" ht="409.6" customHeight="1" s="2">
      <c r="A291" s="15" t="inlineStr">
        <is>
          <t>TC-B1-0290</t>
        </is>
      </c>
      <c r="B291" s="16" t="inlineStr">
        <is>
          <t>TS-B1-242</t>
        </is>
      </c>
      <c r="C291" s="16" t="inlineStr">
        <is>
          <t>Acct Dashboard Non-Financing</t>
        </is>
      </c>
      <c r="D291" s="16" t="inlineStr">
        <is>
          <t>Dashboard — Cards</t>
        </is>
      </c>
      <c r="E291" s="16" t="inlineStr">
        <is>
          <t>Validate service failure and retry for Debit Card (all product codes per NGBO BIN-PAN mapping)</t>
        </is>
      </c>
      <c r="F291" s="16" t="inlineStr">
        <is>
          <t>Negative</t>
        </is>
      </c>
      <c r="G291" s="16" t="inlineStr">
        <is>
          <t>High</t>
        </is>
      </c>
      <c r="H291" s="16" t="inlineStr">
        <is>
          <t>Journey is available; simulate a controlled downstream timeout or unsuccessful response. Expected statuses: 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I291" s="16" t="inlineStr">
        <is>
          <t>Account / Card / Policy Type: Active / Temporarily Blocked / Blocked / Pending Activation debit card; Global Access card vs standard debit card distinguished via BIN-PAN; Currency / FCY Criteria: IDR; replacement fee in IDR for FCY debit cards as well</t>
        </is>
      </c>
      <c r="J291" s="16" t="inlineStr">
        <is>
          <t>1. Progress to the final action.
2. Trigger a timeout, unavailable service, or unsuccessful response.
3. Verify the error message and retry behavior.
4. Retry after service recovery.</t>
        </is>
      </c>
      <c r="K291" s="16" t="inlineStr">
        <is>
          <t>No duplicate action occurs. The configured unsuccessful/processing state is shown, retry is safe, and final status becomes consistent after recovery.</t>
        </is>
      </c>
      <c r="L291" s="16" t="inlineStr">
        <is>
          <t>S2U required for: Card Activation, Reset Card PIN, Block Card, Unblock Card, Replace Card, Card Details (view masked card details drawer), Change Linked Accounts</t>
        </is>
      </c>
      <c r="M291" s="16"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N291" s="16" t="inlineStr">
        <is>
          <t>Acct Dashboard Non-Financing!I1:I45</t>
        </is>
      </c>
      <c r="O291" s="16" t="inlineStr">
        <is>
          <t>Not Run</t>
        </is>
      </c>
      <c r="P291" s="16" t="n"/>
      <c r="Q291" s="16" t="n"/>
      <c r="R291" s="17" t="n"/>
      <c r="S291" s="19" t="inlineStr">
        <is>
          <t>Debit Card API Design</t>
        </is>
      </c>
      <c r="T291" s="19" t="inlineStr">
        <is>
          <t>Debit card block</t>
        </is>
      </c>
      <c r="U291" s="19" t="inlineStr">
        <is>
          <t>POST</t>
        </is>
      </c>
      <c r="V291" s="19" t="inlineStr">
        <is>
          <t>/v1/external/cards/block</t>
        </is>
      </c>
      <c r="W291" s="19" t="inlineStr">
        <is>
          <t>dep-card</t>
        </is>
      </c>
      <c r="X291" s="19" t="inlineStr">
        <is>
          <t>ECLIPSE_Account Dashboard_Debit_Card_DDD_API_Design_v1_Workshop (1).xlsx</t>
        </is>
      </c>
      <c r="Y291" s="19" t="inlineStr">
        <is>
          <t>1.3.2.3 Block &amp; Unblock Card</t>
        </is>
      </c>
      <c r="Z291" s="19" t="inlineStr">
        <is>
          <t>API_Specs_Index!A13:H13</t>
        </is>
      </c>
      <c r="AA291" s="22" t="inlineStr">
        <is>
          <t>API-020</t>
        </is>
      </c>
      <c r="AB291" s="19" t="inlineStr">
        <is>
          <t>Mapped to Debit card block because the test case terms align with the 1.3.2.3 Block &amp; Unblock Card journey in the applicable API specification.</t>
        </is>
      </c>
      <c r="AC291" s="19" t="inlineStr">
        <is>
          <t>High</t>
        </is>
      </c>
      <c r="AD291" s="19" t="inlineStr">
        <is>
          <t>Pending ESB Spec</t>
        </is>
      </c>
    </row>
    <row r="292" ht="409.6" customHeight="1" s="2">
      <c r="A292" s="12" t="inlineStr">
        <is>
          <t>TC-B1-0291</t>
        </is>
      </c>
      <c r="B292" s="13" t="inlineStr">
        <is>
          <t>TS-B1-243</t>
        </is>
      </c>
      <c r="C292" s="13" t="inlineStr">
        <is>
          <t>Acct Dashboard Non-Financing</t>
        </is>
      </c>
      <c r="D292" s="13" t="inlineStr">
        <is>
          <t>Dashboard — Insurance</t>
        </is>
      </c>
      <c r="E292" s="13" t="inlineStr">
        <is>
          <t>Open Health insurance; Life with Unit Link; Life Traditional (Takaful inclusive) from valid entry point</t>
        </is>
      </c>
      <c r="F292" s="13" t="inlineStr">
        <is>
          <t>Positive</t>
        </is>
      </c>
      <c r="G292" s="13" t="inlineStr">
        <is>
          <t>Medium</t>
        </is>
      </c>
      <c r="H292" s="13" t="inlineStr">
        <is>
          <t>Eligible user: L3 post-login; policy holder</t>
        </is>
      </c>
      <c r="I292" s="13" t="inlineStr">
        <is>
          <t>Account / Card / Policy Type: Health policy; Life Unit Link policy; Life Traditional policy; Active / Lapsed / other statuses per Common status mapping; Currency / FCY Criteria: IDR; FCY conversion rate from NGBO where applicable for investment values</t>
        </is>
      </c>
      <c r="J292" s="13" t="inlineStr">
        <is>
          <t>1. Sign in at the required access level.
2. Navigate using: Account Dashboard Landing → Insurance/Takaful tab → policy card.
3. Select Health insurance; Life with Unit Link; Life Traditional (Takaful inclusive).</t>
        </is>
      </c>
      <c r="K292" s="13" t="inlineStr">
        <is>
          <t>The correct Dashboard — Insurance page opens and relevant product information is displayed without error.</t>
        </is>
      </c>
      <c r="L292" s="13" t="inlineStr">
        <is>
          <t>L3 direct access; no S2U for view; refer to respective sub-FSD for any transactional actions</t>
        </is>
      </c>
      <c r="M292" s="13" t="inlineStr">
        <is>
          <t>Policy details displayed; no transactional final status in this FSD; refer to respective insurance sub-FSD</t>
        </is>
      </c>
      <c r="N292" s="13" t="inlineStr">
        <is>
          <t>Acct Dashboard Non-Financing!J1:J45</t>
        </is>
      </c>
      <c r="O292" s="13" t="inlineStr">
        <is>
          <t>Not Run</t>
        </is>
      </c>
      <c r="P292" s="13" t="n"/>
      <c r="Q292" s="13" t="n"/>
      <c r="R292" s="14" t="n"/>
      <c r="S292" s="19" t="inlineStr">
        <is>
          <t>Insurance API Design</t>
        </is>
      </c>
      <c r="T292" s="19" t="inlineStr">
        <is>
          <t>Insurance dashboard</t>
        </is>
      </c>
      <c r="U292" s="19" t="inlineStr">
        <is>
          <t>GET</t>
        </is>
      </c>
      <c r="V292" s="19" t="inlineStr">
        <is>
          <t>/v1/external/accounts?accountGroup={accountGroup}</t>
        </is>
      </c>
      <c r="W292" s="19" t="inlineStr">
        <is>
          <t>dep-dashboard</t>
        </is>
      </c>
      <c r="X292" s="19" t="inlineStr">
        <is>
          <t>ECLIPSE_Account Dashboard_Insurance_DDD_API_Design_v1_Workshop.xlsx</t>
        </is>
      </c>
      <c r="Y292" s="19" t="inlineStr">
        <is>
          <t>1.4 Insurance - Dashboard</t>
        </is>
      </c>
      <c r="Z292" s="19" t="inlineStr">
        <is>
          <t>API_Specs_Index!A2:H2</t>
        </is>
      </c>
      <c r="AA292" s="22" t="inlineStr">
        <is>
          <t>API-022</t>
        </is>
      </c>
      <c r="AB292" s="19" t="inlineStr">
        <is>
          <t>Mapped to Insurance dashboard because the test case terms align with the 1.4 Insurance - Dashboard journey in the applicable API specification.</t>
        </is>
      </c>
      <c r="AC292" s="19" t="inlineStr">
        <is>
          <t>High</t>
        </is>
      </c>
      <c r="AD292"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row r="293" ht="409.6" customHeight="1" s="2">
      <c r="A293" s="15" t="inlineStr">
        <is>
          <t>TC-B1-0292</t>
        </is>
      </c>
      <c r="B293" s="16" t="inlineStr">
        <is>
          <t>TS-B1-243</t>
        </is>
      </c>
      <c r="C293" s="16" t="inlineStr">
        <is>
          <t>Acct Dashboard Non-Financing</t>
        </is>
      </c>
      <c r="D293" s="16" t="inlineStr">
        <is>
          <t>Dashboard — Insurance</t>
        </is>
      </c>
      <c r="E293" s="16" t="inlineStr">
        <is>
          <t>Validate ineligible or unavailable state for Health insurance; Life with Unit Link; Life Traditional (Takaful inclusive)</t>
        </is>
      </c>
      <c r="F293" s="16" t="inlineStr">
        <is>
          <t>Negative</t>
        </is>
      </c>
      <c r="G293" s="16" t="inlineStr">
        <is>
          <t>High</t>
        </is>
      </c>
      <c r="H293" s="16" t="inlineStr">
        <is>
          <t>User or product does not meet one configured eligibility condition. Eligible baseline: L3 post-login; policy holder</t>
        </is>
      </c>
      <c r="I293" s="16" t="inlineStr">
        <is>
          <t>Account / Card / Policy Type: Health policy; Life Unit Link policy; Life Traditional policy; Active / Lapsed / other statuses per Common status mapping; Currency / FCY Criteria: IDR; FCY conversion rate from NGBO where applicable for investment values</t>
        </is>
      </c>
      <c r="J293" s="16" t="inlineStr">
        <is>
          <t>1. Prepare an ineligible, unsupported, blocked, or unavailable test profile.
2. Navigate using: Account Dashboard Landing → Insurance/Takaful tab → policy card.
3. Attempt to open Health insurance; Life with Unit Link; Life Traditional (Takaful inclusive).</t>
        </is>
      </c>
      <c r="K293" s="16" t="inlineStr">
        <is>
          <t>Access is prevented or the feature is hidden/disabled. A clear message is shown and no unauthorised data or action is exposed.</t>
        </is>
      </c>
      <c r="L293" s="16" t="inlineStr">
        <is>
          <t>L3 direct access; no S2U for view; refer to respective sub-FSD for any transactional actions</t>
        </is>
      </c>
      <c r="M293" s="16" t="inlineStr">
        <is>
          <t>Policy details displayed; no transactional final status in this FSD; refer to respective insurance sub-FSD</t>
        </is>
      </c>
      <c r="N293" s="16" t="inlineStr">
        <is>
          <t>Acct Dashboard Non-Financing!J1:J45</t>
        </is>
      </c>
      <c r="O293" s="16" t="inlineStr">
        <is>
          <t>Not Run</t>
        </is>
      </c>
      <c r="P293" s="16" t="n"/>
      <c r="Q293" s="16" t="n"/>
      <c r="R293" s="17" t="n"/>
      <c r="S293" s="19" t="inlineStr">
        <is>
          <t>Insurance API Design</t>
        </is>
      </c>
      <c r="T293" s="19" t="inlineStr">
        <is>
          <t>Insurance dashboard</t>
        </is>
      </c>
      <c r="U293" s="19" t="inlineStr">
        <is>
          <t>GET</t>
        </is>
      </c>
      <c r="V293" s="19" t="inlineStr">
        <is>
          <t>/v1/external/accounts?accountGroup={accountGroup}</t>
        </is>
      </c>
      <c r="W293" s="19" t="inlineStr">
        <is>
          <t>dep-dashboard</t>
        </is>
      </c>
      <c r="X293" s="19" t="inlineStr">
        <is>
          <t>ECLIPSE_Account Dashboard_Insurance_DDD_API_Design_v1_Workshop.xlsx</t>
        </is>
      </c>
      <c r="Y293" s="19" t="inlineStr">
        <is>
          <t>1.4 Insurance - Dashboard</t>
        </is>
      </c>
      <c r="Z293" s="19" t="inlineStr">
        <is>
          <t>API_Specs_Index!A2:H2</t>
        </is>
      </c>
      <c r="AA293" s="22" t="inlineStr">
        <is>
          <t>API-022</t>
        </is>
      </c>
      <c r="AB293" s="19" t="inlineStr">
        <is>
          <t>Mapped to Insurance dashboard because the test case terms align with the 1.4 Insurance - Dashboard journey in the applicable API specification.</t>
        </is>
      </c>
      <c r="AC293" s="19" t="inlineStr">
        <is>
          <t>High</t>
        </is>
      </c>
      <c r="AD293"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row r="294" ht="409.6" customHeight="1" s="2">
      <c r="A294" s="12" t="inlineStr">
        <is>
          <t>TC-B1-0293</t>
        </is>
      </c>
      <c r="B294" s="13" t="inlineStr">
        <is>
          <t>TS-B1-244</t>
        </is>
      </c>
      <c r="C294" s="13" t="inlineStr">
        <is>
          <t>Acct Dashboard Non-Financing</t>
        </is>
      </c>
      <c r="D294" s="13" t="inlineStr">
        <is>
          <t>Dashboard — Insurance</t>
        </is>
      </c>
      <c r="E294" s="13" t="inlineStr">
        <is>
          <t>Complete required authentication for Health insurance; Life with Unit Link; Life Traditional (Takaful inclusive)</t>
        </is>
      </c>
      <c r="F294" s="13" t="inlineStr">
        <is>
          <t>Security</t>
        </is>
      </c>
      <c r="G294" s="13" t="inlineStr">
        <is>
          <t>High</t>
        </is>
      </c>
      <c r="H294" s="13" t="inlineStr">
        <is>
          <t>Eligible user; authentication method is active. Requirement: L3 direct access; no S2U for view; refer to respective sub-FSD for any transactional actions</t>
        </is>
      </c>
      <c r="I294" s="13" t="inlineStr">
        <is>
          <t>Account / Card / Policy Type: Health policy; Life Unit Link policy; Life Traditional policy; Active / Lapsed / other statuses per Common status mapping; Currency / FCY Criteria: IDR; FCY conversion rate from NGBO where applicable for investment values</t>
        </is>
      </c>
      <c r="J294" s="13" t="inlineStr">
        <is>
          <t>1. Start the protected action.
2. Complete the configured authentication with valid credentials.
3. Continue the journey.</t>
        </is>
      </c>
      <c r="K294" s="13" t="inlineStr">
        <is>
          <t>Authentication succeeds, the protected action continues once, and the user returns to the correct journey context.</t>
        </is>
      </c>
      <c r="L294" s="13" t="inlineStr">
        <is>
          <t>L3 direct access; no S2U for view; refer to respective sub-FSD for any transactional actions</t>
        </is>
      </c>
      <c r="M294" s="13" t="inlineStr">
        <is>
          <t>Policy details displayed; no transactional final status in this FSD; refer to respective insurance sub-FSD</t>
        </is>
      </c>
      <c r="N294" s="13" t="inlineStr">
        <is>
          <t>Acct Dashboard Non-Financing!J1:J45</t>
        </is>
      </c>
      <c r="O294" s="13" t="inlineStr">
        <is>
          <t>Not Run</t>
        </is>
      </c>
      <c r="P294" s="13" t="n"/>
      <c r="Q294" s="13" t="n"/>
      <c r="R294" s="14" t="n"/>
      <c r="S294" s="19" t="inlineStr">
        <is>
          <t>Insurance API Design</t>
        </is>
      </c>
      <c r="T294" s="19" t="inlineStr">
        <is>
          <t>Insurance dashboard</t>
        </is>
      </c>
      <c r="U294" s="19" t="inlineStr">
        <is>
          <t>GET</t>
        </is>
      </c>
      <c r="V294" s="19" t="inlineStr">
        <is>
          <t>/v1/external/accounts?accountGroup={accountGroup}</t>
        </is>
      </c>
      <c r="W294" s="19" t="inlineStr">
        <is>
          <t>dep-dashboard</t>
        </is>
      </c>
      <c r="X294" s="19" t="inlineStr">
        <is>
          <t>ECLIPSE_Account Dashboard_Insurance_DDD_API_Design_v1_Workshop.xlsx</t>
        </is>
      </c>
      <c r="Y294" s="19" t="inlineStr">
        <is>
          <t>1.4 Insurance - Dashboard</t>
        </is>
      </c>
      <c r="Z294" s="19" t="inlineStr">
        <is>
          <t>API_Specs_Index!A2:H2</t>
        </is>
      </c>
      <c r="AA294" s="22" t="inlineStr">
        <is>
          <t>API-022</t>
        </is>
      </c>
      <c r="AB294" s="19" t="inlineStr">
        <is>
          <t>Mapped to Insurance dashboard because the test case terms align with the 1.4 Insurance - Dashboard journey in the applicable API specification.</t>
        </is>
      </c>
      <c r="AC294" s="19" t="inlineStr">
        <is>
          <t>High</t>
        </is>
      </c>
      <c r="AD294"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row r="295" ht="409.6" customHeight="1" s="2">
      <c r="A295" s="15" t="inlineStr">
        <is>
          <t>TC-B1-0294</t>
        </is>
      </c>
      <c r="B295" s="16" t="inlineStr">
        <is>
          <t>TS-B1-244</t>
        </is>
      </c>
      <c r="C295" s="16" t="inlineStr">
        <is>
          <t>Acct Dashboard Non-Financing</t>
        </is>
      </c>
      <c r="D295" s="16" t="inlineStr">
        <is>
          <t>Dashboard — Insurance</t>
        </is>
      </c>
      <c r="E295" s="16" t="inlineStr">
        <is>
          <t>Reject invalid, cancelled, or expired authentication for Health insurance; Life with Unit Link; Life Traditional (Takaful inclusive)</t>
        </is>
      </c>
      <c r="F295" s="16" t="inlineStr">
        <is>
          <t>Negative / Security</t>
        </is>
      </c>
      <c r="G295" s="16" t="inlineStr">
        <is>
          <t>High</t>
        </is>
      </c>
      <c r="H295" s="16" t="inlineStr">
        <is>
          <t>Eligible user; protected action requires authentication. Requirement: L3 direct access; no S2U for view; refer to respective sub-FSD for any transactional actions</t>
        </is>
      </c>
      <c r="I295" s="16" t="inlineStr">
        <is>
          <t>Account / Card / Policy Type: Health policy; Life Unit Link policy; Life Traditional policy; Active / Lapsed / other statuses per Common status mapping; Currency / FCY Criteria: IDR; FCY conversion rate from NGBO where applicable for investment values</t>
        </is>
      </c>
      <c r="J295" s="16" t="inlineStr">
        <is>
          <t>1. Start the protected action.
2. Enter invalid credentials, cancel, or allow the challenge to expire.
3. Observe the result.</t>
        </is>
      </c>
      <c r="K295" s="16" t="inlineStr">
        <is>
          <t>The action is not performed. The configured failure/lockout message is shown, sensitive data remains protected, and retry behavior follows the requirement.</t>
        </is>
      </c>
      <c r="L295" s="16" t="inlineStr">
        <is>
          <t>L3 direct access; no S2U for view; refer to respective sub-FSD for any transactional actions</t>
        </is>
      </c>
      <c r="M295" s="16" t="inlineStr">
        <is>
          <t>Policy details displayed; no transactional final status in this FSD; refer to respective insurance sub-FSD</t>
        </is>
      </c>
      <c r="N295" s="16" t="inlineStr">
        <is>
          <t>Acct Dashboard Non-Financing!J1:J45</t>
        </is>
      </c>
      <c r="O295" s="16" t="inlineStr">
        <is>
          <t>Not Run</t>
        </is>
      </c>
      <c r="P295" s="16" t="n"/>
      <c r="Q295" s="16" t="n"/>
      <c r="R295" s="17" t="n"/>
      <c r="S295" s="19" t="inlineStr">
        <is>
          <t>Insurance API Design</t>
        </is>
      </c>
      <c r="T295" s="19" t="inlineStr">
        <is>
          <t>Insurance dashboard</t>
        </is>
      </c>
      <c r="U295" s="19" t="inlineStr">
        <is>
          <t>GET</t>
        </is>
      </c>
      <c r="V295" s="19" t="inlineStr">
        <is>
          <t>/v1/external/accounts?accountGroup={accountGroup}</t>
        </is>
      </c>
      <c r="W295" s="19" t="inlineStr">
        <is>
          <t>dep-dashboard</t>
        </is>
      </c>
      <c r="X295" s="19" t="inlineStr">
        <is>
          <t>ECLIPSE_Account Dashboard_Insurance_DDD_API_Design_v1_Workshop.xlsx</t>
        </is>
      </c>
      <c r="Y295" s="19" t="inlineStr">
        <is>
          <t>1.4 Insurance - Dashboard</t>
        </is>
      </c>
      <c r="Z295" s="19" t="inlineStr">
        <is>
          <t>API_Specs_Index!A2:H2</t>
        </is>
      </c>
      <c r="AA295" s="22" t="inlineStr">
        <is>
          <t>API-022</t>
        </is>
      </c>
      <c r="AB295" s="19" t="inlineStr">
        <is>
          <t>Mapped to Insurance dashboard because the test case terms align with the 1.4 Insurance - Dashboard journey in the applicable API specification.</t>
        </is>
      </c>
      <c r="AC295" s="19" t="inlineStr">
        <is>
          <t>High</t>
        </is>
      </c>
      <c r="AD295"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row r="296" ht="409.6" customHeight="1" s="2">
      <c r="A296" s="12" t="inlineStr">
        <is>
          <t>TC-B1-0295</t>
        </is>
      </c>
      <c r="B296" s="13" t="inlineStr">
        <is>
          <t>TS-B1-245</t>
        </is>
      </c>
      <c r="C296" s="13" t="inlineStr">
        <is>
          <t>Acct Dashboard Non-Financing</t>
        </is>
      </c>
      <c r="D296" s="13" t="inlineStr">
        <is>
          <t>Dashboard — Insurance</t>
        </is>
      </c>
      <c r="E296" s="13" t="inlineStr">
        <is>
          <t>Validate Step 1 — 1.1 Account Dashboard Landing for Health insurance; Life with Unit Link; Life Traditional (Takaful inclusive)</t>
        </is>
      </c>
      <c r="F296" s="13" t="inlineStr">
        <is>
          <t>UI / Functional</t>
        </is>
      </c>
      <c r="G296" s="13" t="inlineStr">
        <is>
          <t>Medium</t>
        </is>
      </c>
      <c r="H296" s="13" t="inlineStr">
        <is>
          <t>Eligible user and product are available. User has reached the preceding journey step.</t>
        </is>
      </c>
      <c r="I296" s="13" t="inlineStr">
        <is>
          <t>Account / Card / Policy Type: Health policy; Life Unit Link policy; Life Traditional policy; Active / Lapsed / other statuses per Common status mapping; Currency / FCY Criteria: IDR; FCY conversion rate from NGBO where applicable for investment values</t>
        </is>
      </c>
      <c r="J296" s="13" t="inlineStr">
        <is>
          <t>1. Open Health insurance; Life with Unit Link; Life Traditional (Takaful inclusive).
2. Navigate to Step 1 — 1.1 Account Dashboard Landing.
3. Perform the action or trigger described by: Step 1 — Insurance/Takaful tab selected.
4. Observe the page, validation, navigation, and resulting state.</t>
        </is>
      </c>
      <c r="K296" s="13" t="inlineStr">
        <is>
          <t>Step 1 — 1.1 Account Dashboard Landing behaves according to the mapped requirement (Step 1 — Insurance/Takaful tab selected); data, controls, navigation, and status are accurate and consistent.</t>
        </is>
      </c>
      <c r="L296" s="13" t="inlineStr">
        <is>
          <t>L3 direct access; no S2U for view; refer to respective sub-FSD for any transactional actions</t>
        </is>
      </c>
      <c r="M296" s="13" t="inlineStr">
        <is>
          <t>Policy details displayed; no transactional final status in this FSD; refer to respective insurance sub-FSD</t>
        </is>
      </c>
      <c r="N296" s="13" t="inlineStr">
        <is>
          <t>Acct Dashboard Non-Financing!A10:J10</t>
        </is>
      </c>
      <c r="O296" s="13" t="inlineStr">
        <is>
          <t>Not Run</t>
        </is>
      </c>
      <c r="P296" s="13" t="n"/>
      <c r="Q296" s="13" t="n"/>
      <c r="R296" s="14" t="n"/>
      <c r="S296" s="19" t="inlineStr">
        <is>
          <t>Insurance API Design</t>
        </is>
      </c>
      <c r="T296" s="19" t="inlineStr">
        <is>
          <t>Insurance dashboard</t>
        </is>
      </c>
      <c r="U296" s="19" t="inlineStr">
        <is>
          <t>GET</t>
        </is>
      </c>
      <c r="V296" s="19" t="inlineStr">
        <is>
          <t>/v1/external/accounts?accountGroup={accountGroup}</t>
        </is>
      </c>
      <c r="W296" s="19" t="inlineStr">
        <is>
          <t>dep-dashboard</t>
        </is>
      </c>
      <c r="X296" s="19" t="inlineStr">
        <is>
          <t>ECLIPSE_Account Dashboard_Insurance_DDD_API_Design_v1_Workshop.xlsx</t>
        </is>
      </c>
      <c r="Y296" s="19" t="inlineStr">
        <is>
          <t>1.4 Insurance - Dashboard</t>
        </is>
      </c>
      <c r="Z296" s="19" t="inlineStr">
        <is>
          <t>API_Specs_Index!A2:H2</t>
        </is>
      </c>
      <c r="AA296" s="22" t="inlineStr">
        <is>
          <t>API-022</t>
        </is>
      </c>
      <c r="AB296" s="19" t="inlineStr">
        <is>
          <t>Mapped to Insurance dashboard because the test case terms align with the 1.4 Insurance - Dashboard journey in the applicable API specification.</t>
        </is>
      </c>
      <c r="AC296" s="19" t="inlineStr">
        <is>
          <t>High</t>
        </is>
      </c>
      <c r="AD296"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row r="297" ht="409.6" customHeight="1" s="2">
      <c r="A297" s="15" t="inlineStr">
        <is>
          <t>TC-B1-0296</t>
        </is>
      </c>
      <c r="B297" s="16" t="inlineStr">
        <is>
          <t>TS-B1-246</t>
        </is>
      </c>
      <c r="C297" s="16" t="inlineStr">
        <is>
          <t>Acct Dashboard Non-Financing</t>
        </is>
      </c>
      <c r="D297" s="16" t="inlineStr">
        <is>
          <t>Dashboard — Insurance</t>
        </is>
      </c>
      <c r="E297" s="16" t="inlineStr">
        <is>
          <t>Validate Step 27 — 1.4 Insurance Dashboard for Health insurance; Life with Unit Link; Life Traditional (Takaful inclusive)</t>
        </is>
      </c>
      <c r="F297" s="16" t="inlineStr">
        <is>
          <t>UI / Functional</t>
        </is>
      </c>
      <c r="G297" s="16" t="inlineStr">
        <is>
          <t>Medium</t>
        </is>
      </c>
      <c r="H297" s="16" t="inlineStr">
        <is>
          <t>Eligible user and product are available. Trigger the stated condition: Step 27 — Insurance/Takaful tab; policy cards (product name, nickname defaulting to policyholder name, policy number, status label, type label Traditional/Unit Link); Total Investment-linked Value displayed only if Unit Link products present (with/without '≈' per IDR/FCY); Eye Icon to mask/unmask investment values; upsell banner</t>
        </is>
      </c>
      <c r="I297" s="16" t="inlineStr">
        <is>
          <t>Account / Card / Policy Type: Health policy; Life Unit Link policy; Life Traditional policy; Active / Lapsed / other statuses per Common status mapping; Currency / FCY Criteria: IDR; FCY conversion rate from NGBO where applicable for investment values</t>
        </is>
      </c>
      <c r="J297" s="16" t="inlineStr">
        <is>
          <t>1. Open Health insurance; Life with Unit Link; Life Traditional (Takaful inclusive).
2. Navigate to Step 27 — 1.4 Insurance Dashboard.
3. Perform the action or trigger described by: Step 27 — Insurance/Takaful tab; policy cards (product name, nickname defaulting to policyholder name, policy number, status label, type label Traditional/Unit Link); Total Investment-linked Value displayed only if Unit Link products present (with/without '≈' per IDR/FCY); Eye Icon to mask/unmask investment values; upsell banner.
4. Observe the page, validation, navigation, and resulting state.</t>
        </is>
      </c>
      <c r="K297" s="16" t="inlineStr">
        <is>
          <t>Step 27 — 1.4 Insurance Dashboard behaves according to the mapped requirement (Step 27 — Insurance/Takaful tab; policy cards (product name, nickname defaulting to policyholder name, policy number, status label, type label Traditional/Unit Link); Total Investment-linked Value displayed only if Unit Link products present (with/without '≈' per IDR/FCY); Eye Icon to mask/unmask investment values; upsell banner); data, controls, navigation, and status are accurate and consistent.</t>
        </is>
      </c>
      <c r="L297" s="16" t="inlineStr">
        <is>
          <t>L3 direct access; no S2U for view; refer to respective sub-FSD for any transactional actions</t>
        </is>
      </c>
      <c r="M297" s="16" t="inlineStr">
        <is>
          <t>Policy details displayed; no transactional final status in this FSD; refer to respective insurance sub-FSD</t>
        </is>
      </c>
      <c r="N297" s="16" t="inlineStr">
        <is>
          <t>Acct Dashboard Non-Financing!A36:J36</t>
        </is>
      </c>
      <c r="O297" s="16" t="inlineStr">
        <is>
          <t>Not Run</t>
        </is>
      </c>
      <c r="P297" s="16" t="n"/>
      <c r="Q297" s="16" t="n"/>
      <c r="R297" s="17" t="inlineStr">
        <is>
          <t>Conditional coverage required.</t>
        </is>
      </c>
      <c r="S297" s="19" t="inlineStr">
        <is>
          <t>Insurance API Design</t>
        </is>
      </c>
      <c r="T297" s="19" t="inlineStr">
        <is>
          <t>Insurance dashboard</t>
        </is>
      </c>
      <c r="U297" s="19" t="inlineStr">
        <is>
          <t>GET</t>
        </is>
      </c>
      <c r="V297" s="19" t="inlineStr">
        <is>
          <t>/v1/external/accounts?accountGroup={accountGroup}</t>
        </is>
      </c>
      <c r="W297" s="19" t="inlineStr">
        <is>
          <t>dep-dashboard</t>
        </is>
      </c>
      <c r="X297" s="19" t="inlineStr">
        <is>
          <t>ECLIPSE_Account Dashboard_Insurance_DDD_API_Design_v1_Workshop.xlsx</t>
        </is>
      </c>
      <c r="Y297" s="19" t="inlineStr">
        <is>
          <t>1.4 Insurance - Dashboard</t>
        </is>
      </c>
      <c r="Z297" s="19" t="inlineStr">
        <is>
          <t>API_Specs_Index!A2:H2</t>
        </is>
      </c>
      <c r="AA297" s="22" t="inlineStr">
        <is>
          <t>API-022</t>
        </is>
      </c>
      <c r="AB297" s="19" t="inlineStr">
        <is>
          <t>Mapped to Insurance dashboard because the test case terms align with the 1.4 Insurance - Dashboard journey in the applicable API specification.</t>
        </is>
      </c>
      <c r="AC297" s="19" t="inlineStr">
        <is>
          <t>High</t>
        </is>
      </c>
      <c r="AD297"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row r="298" ht="409.6" customHeight="1" s="2">
      <c r="A298" s="12" t="inlineStr">
        <is>
          <t>TC-B1-0297</t>
        </is>
      </c>
      <c r="B298" s="13" t="inlineStr">
        <is>
          <t>TS-B1-247</t>
        </is>
      </c>
      <c r="C298" s="13" t="inlineStr">
        <is>
          <t>Acct Dashboard Non-Financing</t>
        </is>
      </c>
      <c r="D298" s="13" t="inlineStr">
        <is>
          <t>Dashboard — Insurance</t>
        </is>
      </c>
      <c r="E298" s="13" t="inlineStr">
        <is>
          <t>Validate Step 28 — 1.4.1 Health for Health insurance; Life with Unit Link; Life Traditional (Takaful inclusive)</t>
        </is>
      </c>
      <c r="F298" s="13" t="inlineStr">
        <is>
          <t>UI / Functional</t>
        </is>
      </c>
      <c r="G298" s="13" t="inlineStr">
        <is>
          <t>High</t>
        </is>
      </c>
      <c r="H298" s="13" t="inlineStr">
        <is>
          <t>Eligible user and product are available. Trigger the stated condition: Conditional Step 28 — for Health policies; Summary / Manage tabs; policy identification, coverage period, premium details (sum assured, basic premium, payment frequency), next payment date, claim procedure (PDF viewer / in-app webview), product and service information summary; Policy Status Guide drawer; Edit Nickname (Manage tab)</t>
        </is>
      </c>
      <c r="I298" s="13" t="inlineStr">
        <is>
          <t>Account / Card / Policy Type: Health policy; Life Unit Link policy; Life Traditional policy; Active / Lapsed / other statuses per Common status mapping; Currency / FCY Criteria: IDR; FCY conversion rate from NGBO where applicable for investment values</t>
        </is>
      </c>
      <c r="J298" s="13" t="inlineStr">
        <is>
          <t>1. Open Health insurance; Life with Unit Link; Life Traditional (Takaful inclusive).
2. Navigate to Step 28 — 1.4.1 Health.
3. Perform the action or trigger described by: Conditional Step 28 — for Health policies; Summary / Manage tabs; policy identification, coverage period, premium details (sum assured, basic premium, payment frequency), next payment date, claim procedure (PDF viewer / in-app webview), product and service information summary; Policy Status Guide drawer; Edit Nickname (Manage tab).
4. Observe the page, validation, navigation, and resulting state.</t>
        </is>
      </c>
      <c r="K298" s="13" t="inlineStr">
        <is>
          <t>Step 28 — 1.4.1 Health behaves according to the mapped requirement (Conditional Step 28 — for Health policies; Summary / Manage tabs; policy identification, coverage period, premium details (sum assured, basic premium, payment frequency), next payment date, claim procedure (PDF viewer / in-app webview), product and service information summary; Policy Status Guide drawer; Edit Nickname (Manage tab)); data, controls, navigation, and status are accurate and consistent.</t>
        </is>
      </c>
      <c r="L298" s="13" t="inlineStr">
        <is>
          <t>L3 direct access; no S2U for view; refer to respective sub-FSD for any transactional actions</t>
        </is>
      </c>
      <c r="M298" s="13" t="inlineStr">
        <is>
          <t>Policy details displayed; no transactional final status in this FSD; refer to respective insurance sub-FSD</t>
        </is>
      </c>
      <c r="N298" s="13" t="inlineStr">
        <is>
          <t>Acct Dashboard Non-Financing!A37:J37</t>
        </is>
      </c>
      <c r="O298" s="13" t="inlineStr">
        <is>
          <t>Not Run</t>
        </is>
      </c>
      <c r="P298" s="13" t="n"/>
      <c r="Q298" s="13" t="n"/>
      <c r="R298" s="14" t="inlineStr">
        <is>
          <t>Conditional coverage required.</t>
        </is>
      </c>
      <c r="S298" s="19" t="inlineStr">
        <is>
          <t>Insurance API Design</t>
        </is>
      </c>
      <c r="T298" s="19" t="inlineStr">
        <is>
          <t>Insurance dashboard</t>
        </is>
      </c>
      <c r="U298" s="19" t="inlineStr">
        <is>
          <t>GET</t>
        </is>
      </c>
      <c r="V298" s="19" t="inlineStr">
        <is>
          <t>/v1/external/accounts?accountGroup={accountGroup}</t>
        </is>
      </c>
      <c r="W298" s="19" t="inlineStr">
        <is>
          <t>dep-dashboard</t>
        </is>
      </c>
      <c r="X298" s="19" t="inlineStr">
        <is>
          <t>ECLIPSE_Account Dashboard_Insurance_DDD_API_Design_v1_Workshop.xlsx</t>
        </is>
      </c>
      <c r="Y298" s="19" t="inlineStr">
        <is>
          <t>1.4 Insurance - Dashboard</t>
        </is>
      </c>
      <c r="Z298" s="19" t="inlineStr">
        <is>
          <t>API_Specs_Index!A2:H2</t>
        </is>
      </c>
      <c r="AA298" s="22" t="inlineStr">
        <is>
          <t>API-022</t>
        </is>
      </c>
      <c r="AB298" s="19" t="inlineStr">
        <is>
          <t>Mapped to Insurance dashboard because the test case terms align with the 1.4 Insurance - Dashboard journey in the applicable API specification.</t>
        </is>
      </c>
      <c r="AC298" s="19" t="inlineStr">
        <is>
          <t>High</t>
        </is>
      </c>
      <c r="AD298"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row r="299" ht="409.6" customHeight="1" s="2">
      <c r="A299" s="15" t="inlineStr">
        <is>
          <t>TC-B1-0298</t>
        </is>
      </c>
      <c r="B299" s="16" t="inlineStr">
        <is>
          <t>TS-B1-248</t>
        </is>
      </c>
      <c r="C299" s="16" t="inlineStr">
        <is>
          <t>Acct Dashboard Non-Financing</t>
        </is>
      </c>
      <c r="D299" s="16" t="inlineStr">
        <is>
          <t>Dashboard — Insurance</t>
        </is>
      </c>
      <c r="E299" s="16" t="inlineStr">
        <is>
          <t>Validate Step 29 — 1.4.2 Life with UnitLink for Health insurance; Life with Unit Link; Life Traditional (Takaful inclusive)</t>
        </is>
      </c>
      <c r="F299" s="16" t="inlineStr">
        <is>
          <t>UI / Functional</t>
        </is>
      </c>
      <c r="G299" s="16" t="inlineStr">
        <is>
          <t>High</t>
        </is>
      </c>
      <c r="H299" s="16" t="inlineStr">
        <is>
          <t>Eligible user and product are available. Trigger the stated condition: Conditional Step 29 — for Life Unit Link policies; Summary / Manage tabs; Fund Holdings section (Show all n &gt;; fund name, units, NAV as of today, investment value per fund; max 2 shown on main screen); policy identification, coverage period, premium details, total premium paid, next/last payment dates, claim procedure, product info summary; Edit Nickname (Manage tab)</t>
        </is>
      </c>
      <c r="I299" s="16" t="inlineStr">
        <is>
          <t>Account / Card / Policy Type: Health policy; Life Unit Link policy; Life Traditional policy; Active / Lapsed / other statuses per Common status mapping; Currency / FCY Criteria: IDR; FCY conversion rate from NGBO where applicable for investment values</t>
        </is>
      </c>
      <c r="J299" s="16" t="inlineStr">
        <is>
          <t>1. Open Health insurance; Life with Unit Link; Life Traditional (Takaful inclusive).
2. Navigate to Step 29 — 1.4.2 Life with UnitLink.
3. Perform the action or trigger described by: Conditional Step 29 — for Life Unit Link policies; Summary / Manage tabs; Fund Holdings section (Show all n &gt;; fund name, units, NAV as of today, investment value per fund; max 2 shown on main screen); policy identification, coverage period, premium details, total premium paid, next/last payment dates, claim procedure, product info summary; Edit Nickname (Manage tab).
4. Observe the page, validation, navigation, and resulting state.</t>
        </is>
      </c>
      <c r="K299" s="16" t="inlineStr">
        <is>
          <t>Step 29 — 1.4.2 Life with UnitLink behaves according to the mapped requirement (Conditional Step 29 — for Life Unit Link policies; Summary / Manage tabs; Fund Holdings section (Show all n &gt;; fund name, units, NAV as of today, investment value per fund; max 2 shown on main screen); policy identification, coverage period, premium details, total premium paid, next/last payment dates, claim procedure, product info summary; Edit Nickname (Manage tab)); data, controls, navigation, and status are accurate and consistent.</t>
        </is>
      </c>
      <c r="L299" s="16" t="inlineStr">
        <is>
          <t>L3 direct access; no S2U for view; refer to respective sub-FSD for any transactional actions</t>
        </is>
      </c>
      <c r="M299" s="16" t="inlineStr">
        <is>
          <t>Policy details displayed; no transactional final status in this FSD; refer to respective insurance sub-FSD</t>
        </is>
      </c>
      <c r="N299" s="16" t="inlineStr">
        <is>
          <t>Acct Dashboard Non-Financing!A38:J38</t>
        </is>
      </c>
      <c r="O299" s="16" t="inlineStr">
        <is>
          <t>Not Run</t>
        </is>
      </c>
      <c r="P299" s="16" t="n"/>
      <c r="Q299" s="16" t="n"/>
      <c r="R299" s="17" t="inlineStr">
        <is>
          <t>Conditional coverage required.</t>
        </is>
      </c>
      <c r="S299" s="19" t="inlineStr">
        <is>
          <t>Insurance API Design</t>
        </is>
      </c>
      <c r="T299" s="19" t="inlineStr">
        <is>
          <t>Insurance dashboard</t>
        </is>
      </c>
      <c r="U299" s="19" t="inlineStr">
        <is>
          <t>GET</t>
        </is>
      </c>
      <c r="V299" s="19" t="inlineStr">
        <is>
          <t>/v1/external/accounts?accountGroup={accountGroup}</t>
        </is>
      </c>
      <c r="W299" s="19" t="inlineStr">
        <is>
          <t>dep-dashboard</t>
        </is>
      </c>
      <c r="X299" s="19" t="inlineStr">
        <is>
          <t>ECLIPSE_Account Dashboard_Insurance_DDD_API_Design_v1_Workshop.xlsx</t>
        </is>
      </c>
      <c r="Y299" s="19" t="inlineStr">
        <is>
          <t>1.4 Insurance - Dashboard</t>
        </is>
      </c>
      <c r="Z299" s="19" t="inlineStr">
        <is>
          <t>API_Specs_Index!A2:H2</t>
        </is>
      </c>
      <c r="AA299" s="22" t="inlineStr">
        <is>
          <t>API-022</t>
        </is>
      </c>
      <c r="AB299" s="19" t="inlineStr">
        <is>
          <t>Mapped to Insurance dashboard because the test case terms align with the 1.4 Insurance - Dashboard journey in the applicable API specification.</t>
        </is>
      </c>
      <c r="AC299" s="19" t="inlineStr">
        <is>
          <t>High</t>
        </is>
      </c>
      <c r="AD299"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row r="300" ht="409.6" customHeight="1" s="2">
      <c r="A300" s="12" t="inlineStr">
        <is>
          <t>TC-B1-0299</t>
        </is>
      </c>
      <c r="B300" s="13" t="inlineStr">
        <is>
          <t>TS-B1-249</t>
        </is>
      </c>
      <c r="C300" s="13" t="inlineStr">
        <is>
          <t>Acct Dashboard Non-Financing</t>
        </is>
      </c>
      <c r="D300" s="13" t="inlineStr">
        <is>
          <t>Dashboard — Insurance</t>
        </is>
      </c>
      <c r="E300" s="13" t="inlineStr">
        <is>
          <t>Validate Step 30 — 1.4.3 Life Traditional for Health insurance; Life with Unit Link; Life Traditional (Takaful inclusive)</t>
        </is>
      </c>
      <c r="F300" s="13" t="inlineStr">
        <is>
          <t>UI / Functional</t>
        </is>
      </c>
      <c r="G300" s="13" t="inlineStr">
        <is>
          <t>High</t>
        </is>
      </c>
      <c r="H300" s="13" t="inlineStr">
        <is>
          <t>Eligible user and product are available. Trigger the stated condition: Conditional Step 30 — for Life Traditional policies; Summary / Manage tabs; policy identification, coverage period, premium details, total premium paid, next/last payment dates, claim procedure, product info summary; Edit Nickname (Manage tab); no fund holdings section</t>
        </is>
      </c>
      <c r="I300" s="13" t="inlineStr">
        <is>
          <t>Account / Card / Policy Type: Health policy; Life Unit Link policy; Life Traditional policy; Active / Lapsed / other statuses per Common status mapping; Currency / FCY Criteria: IDR; FCY conversion rate from NGBO where applicable for investment values</t>
        </is>
      </c>
      <c r="J300" s="13" t="inlineStr">
        <is>
          <t>1. Open Health insurance; Life with Unit Link; Life Traditional (Takaful inclusive).
2. Navigate to Step 30 — 1.4.3 Life Traditional.
3. Perform the action or trigger described by: Conditional Step 30 — for Life Traditional policies; Summary / Manage tabs; policy identification, coverage period, premium details, total premium paid, next/last payment dates, claim procedure, product info summary; Edit Nickname (Manage tab); no fund holdings section.
4. Observe the page, validation, navigation, and resulting state.</t>
        </is>
      </c>
      <c r="K300" s="13" t="inlineStr">
        <is>
          <t>Step 30 — 1.4.3 Life Traditional behaves according to the mapped requirement (Conditional Step 30 — for Life Traditional policies; Summary / Manage tabs; policy identification, coverage period, premium details, total premium paid, next/last payment dates, claim procedure, product info summary; Edit Nickname (Manage tab); no fund holdings section); data, controls, navigation, and status are accurate and consistent.</t>
        </is>
      </c>
      <c r="L300" s="13" t="inlineStr">
        <is>
          <t>L3 direct access; no S2U for view; refer to respective sub-FSD for any transactional actions</t>
        </is>
      </c>
      <c r="M300" s="13" t="inlineStr">
        <is>
          <t>Policy details displayed; no transactional final status in this FSD; refer to respective insurance sub-FSD</t>
        </is>
      </c>
      <c r="N300" s="13" t="inlineStr">
        <is>
          <t>Acct Dashboard Non-Financing!A39:J39</t>
        </is>
      </c>
      <c r="O300" s="13" t="inlineStr">
        <is>
          <t>Not Run</t>
        </is>
      </c>
      <c r="P300" s="13" t="n"/>
      <c r="Q300" s="13" t="n"/>
      <c r="R300" s="14" t="inlineStr">
        <is>
          <t>Conditional coverage required.</t>
        </is>
      </c>
      <c r="S300" s="19" t="inlineStr">
        <is>
          <t>Insurance API Design</t>
        </is>
      </c>
      <c r="T300" s="19" t="inlineStr">
        <is>
          <t>Insurance dashboard</t>
        </is>
      </c>
      <c r="U300" s="19" t="inlineStr">
        <is>
          <t>GET</t>
        </is>
      </c>
      <c r="V300" s="19" t="inlineStr">
        <is>
          <t>/v1/external/accounts?accountGroup={accountGroup}</t>
        </is>
      </c>
      <c r="W300" s="19" t="inlineStr">
        <is>
          <t>dep-dashboard</t>
        </is>
      </c>
      <c r="X300" s="19" t="inlineStr">
        <is>
          <t>ECLIPSE_Account Dashboard_Insurance_DDD_API_Design_v1_Workshop.xlsx</t>
        </is>
      </c>
      <c r="Y300" s="19" t="inlineStr">
        <is>
          <t>1.4 Insurance - Dashboard</t>
        </is>
      </c>
      <c r="Z300" s="19" t="inlineStr">
        <is>
          <t>API_Specs_Index!A2:H2</t>
        </is>
      </c>
      <c r="AA300" s="22" t="inlineStr">
        <is>
          <t>API-022</t>
        </is>
      </c>
      <c r="AB300" s="19" t="inlineStr">
        <is>
          <t>Mapped to Insurance dashboard because the test case terms align with the 1.4 Insurance - Dashboard journey in the applicable API specification.</t>
        </is>
      </c>
      <c r="AC300" s="19" t="inlineStr">
        <is>
          <t>High</t>
        </is>
      </c>
      <c r="AD300"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row r="301" ht="409.6" customHeight="1" s="2">
      <c r="A301" s="15" t="inlineStr">
        <is>
          <t>TC-B1-0300</t>
        </is>
      </c>
      <c r="B301" s="16" t="inlineStr">
        <is>
          <t>TS-B1-250</t>
        </is>
      </c>
      <c r="C301" s="16" t="inlineStr">
        <is>
          <t>Acct Dashboard Non-Financing</t>
        </is>
      </c>
      <c r="D301" s="16" t="inlineStr">
        <is>
          <t>Dashboard — Insurance</t>
        </is>
      </c>
      <c r="E301" s="16" t="inlineStr">
        <is>
          <t>Validate ViewAllTrans — Transaction History Display Rule for Health insurance; Life with Unit Link; Life Traditional (Takaful inclusive)</t>
        </is>
      </c>
      <c r="F301" s="16" t="inlineStr">
        <is>
          <t>UI / Functional</t>
        </is>
      </c>
      <c r="G301" s="16" t="inlineStr">
        <is>
          <t>Medium</t>
        </is>
      </c>
      <c r="H301" s="16" t="inlineStr">
        <is>
          <t>Eligible user and product are available. Trigger the stated condition: Not applicable</t>
        </is>
      </c>
      <c r="I301" s="16" t="inlineStr">
        <is>
          <t>Account / Card / Policy Type: Health policy; Life Unit Link policy; Life Traditional policy; Active / Lapsed / other statuses per Common status mapping; Currency / FCY Criteria: IDR; FCY conversion rate from NGBO where applicable for investment values</t>
        </is>
      </c>
      <c r="J301" s="16" t="inlineStr">
        <is>
          <t>1. Open Health insurance; Life with Unit Link; Life Traditional (Takaful inclusive).
2. Navigate to ViewAllTrans — Transaction History Display Rule.
3. Perform the action or trigger described by: Not applicable.
4. Observe the page, validation, navigation, and resulting state.</t>
        </is>
      </c>
      <c r="K301" s="16" t="inlineStr">
        <is>
          <t>ViewAllTrans — Transaction History Display Rule behaves according to the mapped requirement (Not applicable); data, controls, navigation, and status are accurate and consistent.</t>
        </is>
      </c>
      <c r="L301" s="16" t="inlineStr">
        <is>
          <t>L3 direct access; no S2U for view; refer to respective sub-FSD for any transactional actions</t>
        </is>
      </c>
      <c r="M301" s="16" t="inlineStr">
        <is>
          <t>Policy details displayed; no transactional final status in this FSD; refer to respective insurance sub-FSD</t>
        </is>
      </c>
      <c r="N301" s="16" t="inlineStr">
        <is>
          <t>Acct Dashboard Non-Financing!A40:J40</t>
        </is>
      </c>
      <c r="O301" s="16" t="inlineStr">
        <is>
          <t>Not Run</t>
        </is>
      </c>
      <c r="P301" s="16" t="n"/>
      <c r="Q301" s="16" t="n"/>
      <c r="R301" s="17" t="inlineStr">
        <is>
          <t>Conditional coverage required.</t>
        </is>
      </c>
      <c r="S301" s="19" t="inlineStr">
        <is>
          <t>Insurance API Design</t>
        </is>
      </c>
      <c r="T301" s="19" t="inlineStr">
        <is>
          <t>Insurance dashboard</t>
        </is>
      </c>
      <c r="U301" s="19" t="inlineStr">
        <is>
          <t>GET</t>
        </is>
      </c>
      <c r="V301" s="19" t="inlineStr">
        <is>
          <t>/v1/external/accounts?accountGroup={accountGroup}</t>
        </is>
      </c>
      <c r="W301" s="19" t="inlineStr">
        <is>
          <t>dep-dashboard</t>
        </is>
      </c>
      <c r="X301" s="19" t="inlineStr">
        <is>
          <t>ECLIPSE_Account Dashboard_Insurance_DDD_API_Design_v1_Workshop.xlsx</t>
        </is>
      </c>
      <c r="Y301" s="19" t="inlineStr">
        <is>
          <t>1.4 Insurance - Dashboard</t>
        </is>
      </c>
      <c r="Z301" s="19" t="inlineStr">
        <is>
          <t>API_Specs_Index!A2:H2</t>
        </is>
      </c>
      <c r="AA301" s="22" t="inlineStr">
        <is>
          <t>API-022</t>
        </is>
      </c>
      <c r="AB301" s="19" t="inlineStr">
        <is>
          <t>Mapped to Insurance dashboard because the test case terms align with the 1.4 Insurance - Dashboard journey in the applicable API specification.</t>
        </is>
      </c>
      <c r="AC301" s="19" t="inlineStr">
        <is>
          <t>High</t>
        </is>
      </c>
      <c r="AD301"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row r="302" ht="409.6" customHeight="1" s="2">
      <c r="A302" s="12" t="inlineStr">
        <is>
          <t>TC-B1-0301</t>
        </is>
      </c>
      <c r="B302" s="13" t="inlineStr">
        <is>
          <t>TS-B1-251</t>
        </is>
      </c>
      <c r="C302" s="13" t="inlineStr">
        <is>
          <t>Acct Dashboard Non-Financing</t>
        </is>
      </c>
      <c r="D302" s="13" t="inlineStr">
        <is>
          <t>Dashboard — Insurance</t>
        </is>
      </c>
      <c r="E302" s="13" t="inlineStr">
        <is>
          <t>Validate Sorting / Display Order for Health insurance; Life with Unit Link; Life Traditional (Takaful inclusive)</t>
        </is>
      </c>
      <c r="F302" s="13" t="inlineStr">
        <is>
          <t>UI / Functional</t>
        </is>
      </c>
      <c r="G302" s="13" t="inlineStr">
        <is>
          <t>Medium</t>
        </is>
      </c>
      <c r="H302" s="13" t="inlineStr">
        <is>
          <t>Eligible user and product are available. User has reached the preceding journey step.</t>
        </is>
      </c>
      <c r="I302" s="13" t="inlineStr">
        <is>
          <t>Account / Card / Policy Type: Health policy; Life Unit Link policy; Life Traditional policy; Active / Lapsed / other statuses per Common status mapping; Currency / FCY Criteria: IDR; FCY conversion rate from NGBO where applicable for investment values</t>
        </is>
      </c>
      <c r="J302" s="13" t="inlineStr">
        <is>
          <t>1. Open Health insurance; Life with Unit Link; Life Traditional (Takaful inclusive).
2. Navigate to Sorting / Display Order.
3. Perform the action or trigger described by: Policies sorted per Insurance Dashboard rules — Needs PO/BA clarification (no explicit sort rule stated in this FSD).
4. Observe the page, validation, navigation, and resulting state.</t>
        </is>
      </c>
      <c r="K302" s="13" t="inlineStr">
        <is>
          <t>Sorting / Display Order behaves according to the mapped requirement (Policies sorted per Insurance Dashboard rules — Needs PO/BA clarification (no explicit sort rule stated in this FSD)); data, controls, navigation, and status are accurate and consistent.</t>
        </is>
      </c>
      <c r="L302" s="13" t="inlineStr">
        <is>
          <t>L3 direct access; no S2U for view; refer to respective sub-FSD for any transactional actions</t>
        </is>
      </c>
      <c r="M302" s="13" t="inlineStr">
        <is>
          <t>Policy details displayed; no transactional final status in this FSD; refer to respective insurance sub-FSD</t>
        </is>
      </c>
      <c r="N302" s="13" t="inlineStr">
        <is>
          <t>Acct Dashboard Non-Financing!A41:J41</t>
        </is>
      </c>
      <c r="O302" s="13" t="inlineStr">
        <is>
          <t>Not Run</t>
        </is>
      </c>
      <c r="P302" s="13" t="n"/>
      <c r="Q302" s="13" t="n"/>
      <c r="R302" s="14" t="n"/>
      <c r="S302" s="19" t="inlineStr">
        <is>
          <t>Insurance API Design</t>
        </is>
      </c>
      <c r="T302" s="19" t="inlineStr">
        <is>
          <t>Insurance dashboard</t>
        </is>
      </c>
      <c r="U302" s="19" t="inlineStr">
        <is>
          <t>GET</t>
        </is>
      </c>
      <c r="V302" s="19" t="inlineStr">
        <is>
          <t>/v1/external/accounts?accountGroup={accountGroup}</t>
        </is>
      </c>
      <c r="W302" s="19" t="inlineStr">
        <is>
          <t>dep-dashboard</t>
        </is>
      </c>
      <c r="X302" s="19" t="inlineStr">
        <is>
          <t>ECLIPSE_Account Dashboard_Insurance_DDD_API_Design_v1_Workshop.xlsx</t>
        </is>
      </c>
      <c r="Y302" s="19" t="inlineStr">
        <is>
          <t>1.4 Insurance - Dashboard</t>
        </is>
      </c>
      <c r="Z302" s="19" t="inlineStr">
        <is>
          <t>API_Specs_Index!A2:H2</t>
        </is>
      </c>
      <c r="AA302" s="22" t="inlineStr">
        <is>
          <t>API-022</t>
        </is>
      </c>
      <c r="AB302" s="19" t="inlineStr">
        <is>
          <t>Mapped to Insurance dashboard because the test case terms align with the 1.4 Insurance - Dashboard journey in the applicable API specification.</t>
        </is>
      </c>
      <c r="AC302" s="19" t="inlineStr">
        <is>
          <t>High</t>
        </is>
      </c>
      <c r="AD302"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row r="303" ht="409.6" customHeight="1" s="2">
      <c r="A303" s="15" t="inlineStr">
        <is>
          <t>TC-B1-0302</t>
        </is>
      </c>
      <c r="B303" s="16" t="inlineStr">
        <is>
          <t>TS-B1-252</t>
        </is>
      </c>
      <c r="C303" s="16" t="inlineStr">
        <is>
          <t>Acct Dashboard Non-Financing</t>
        </is>
      </c>
      <c r="D303" s="16" t="inlineStr">
        <is>
          <t>Dashboard — Insurance</t>
        </is>
      </c>
      <c r="E303" s="16" t="inlineStr">
        <is>
          <t>Validate Joint-AND Account Restrictions for Health insurance; Life with Unit Link; Life Traditional (Takaful inclusive)</t>
        </is>
      </c>
      <c r="F303" s="16" t="inlineStr">
        <is>
          <t>Functional</t>
        </is>
      </c>
      <c r="G303" s="16" t="inlineStr">
        <is>
          <t>Medium</t>
        </is>
      </c>
      <c r="H303" s="16" t="inlineStr">
        <is>
          <t>Eligible user and product are available. Trigger the stated condition: Not applicable</t>
        </is>
      </c>
      <c r="I303" s="16" t="inlineStr">
        <is>
          <t>Account / Card / Policy Type: Health policy; Life Unit Link policy; Life Traditional policy; Active / Lapsed / other statuses per Common status mapping; Currency / FCY Criteria: IDR; FCY conversion rate from NGBO where applicable for investment values</t>
        </is>
      </c>
      <c r="J303" s="16" t="inlineStr">
        <is>
          <t>1. Open Health insurance; Life with Unit Link; Life Traditional (Takaful inclusive).
2. Navigate to Joint-AND Account Restrictions.
3. Perform the action or trigger described by: Not applicable.
4. Observe the page, validation, navigation, and resulting state.</t>
        </is>
      </c>
      <c r="K303" s="16" t="inlineStr">
        <is>
          <t>Joint-AND Account Restrictions behaves according to the mapped requirement (Not applicable); data, controls, navigation, and status are accurate and consistent.</t>
        </is>
      </c>
      <c r="L303" s="16" t="inlineStr">
        <is>
          <t>L3 direct access; no S2U for view; refer to respective sub-FSD for any transactional actions</t>
        </is>
      </c>
      <c r="M303" s="16" t="inlineStr">
        <is>
          <t>Policy details displayed; no transactional final status in this FSD; refer to respective insurance sub-FSD</t>
        </is>
      </c>
      <c r="N303" s="16" t="inlineStr">
        <is>
          <t>Acct Dashboard Non-Financing!A42:J42</t>
        </is>
      </c>
      <c r="O303" s="16" t="inlineStr">
        <is>
          <t>Not Run</t>
        </is>
      </c>
      <c r="P303" s="16" t="n"/>
      <c r="Q303" s="16" t="n"/>
      <c r="R303" s="17" t="inlineStr">
        <is>
          <t>Conditional coverage required.</t>
        </is>
      </c>
      <c r="S303" s="19" t="inlineStr">
        <is>
          <t>Insurance API Design</t>
        </is>
      </c>
      <c r="T303" s="19" t="inlineStr">
        <is>
          <t>Insurance dashboard</t>
        </is>
      </c>
      <c r="U303" s="19" t="inlineStr">
        <is>
          <t>GET</t>
        </is>
      </c>
      <c r="V303" s="19" t="inlineStr">
        <is>
          <t>/v1/external/accounts?accountGroup={accountGroup}</t>
        </is>
      </c>
      <c r="W303" s="19" t="inlineStr">
        <is>
          <t>dep-dashboard</t>
        </is>
      </c>
      <c r="X303" s="19" t="inlineStr">
        <is>
          <t>ECLIPSE_Account Dashboard_Insurance_DDD_API_Design_v1_Workshop.xlsx</t>
        </is>
      </c>
      <c r="Y303" s="19" t="inlineStr">
        <is>
          <t>1.4 Insurance - Dashboard</t>
        </is>
      </c>
      <c r="Z303" s="19" t="inlineStr">
        <is>
          <t>API_Specs_Index!A2:H2</t>
        </is>
      </c>
      <c r="AA303" s="22" t="inlineStr">
        <is>
          <t>API-022</t>
        </is>
      </c>
      <c r="AB303" s="19" t="inlineStr">
        <is>
          <t>Mapped to Insurance dashboard because the test case terms align with the 1.4 Insurance - Dashboard journey in the applicable API specification.</t>
        </is>
      </c>
      <c r="AC303" s="19" t="inlineStr">
        <is>
          <t>High</t>
        </is>
      </c>
      <c r="AD303"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row r="304" ht="409.6" customHeight="1" s="2">
      <c r="A304" s="12" t="inlineStr">
        <is>
          <t>TC-B1-0303</t>
        </is>
      </c>
      <c r="B304" s="13" t="inlineStr">
        <is>
          <t>TS-B1-253</t>
        </is>
      </c>
      <c r="C304" s="13" t="inlineStr">
        <is>
          <t>Acct Dashboard Non-Financing</t>
        </is>
      </c>
      <c r="D304" s="13" t="inlineStr">
        <is>
          <t>Dashboard — Insurance</t>
        </is>
      </c>
      <c r="E304" s="13" t="inlineStr">
        <is>
          <t>Validate Business Profile / IBO Disclaimer for Health insurance; Life with Unit Link; Life Traditional (Takaful inclusive)</t>
        </is>
      </c>
      <c r="F304" s="13" t="inlineStr">
        <is>
          <t>Functional</t>
        </is>
      </c>
      <c r="G304" s="13" t="inlineStr">
        <is>
          <t>Medium</t>
        </is>
      </c>
      <c r="H304" s="13" t="inlineStr">
        <is>
          <t>Eligible user and product are available. Trigger the stated condition: Not applicable</t>
        </is>
      </c>
      <c r="I304" s="13" t="inlineStr">
        <is>
          <t>Account / Card / Policy Type: Health policy; Life Unit Link policy; Life Traditional policy; Active / Lapsed / other statuses per Common status mapping; Currency / FCY Criteria: IDR; FCY conversion rate from NGBO where applicable for investment values</t>
        </is>
      </c>
      <c r="J304" s="13" t="inlineStr">
        <is>
          <t>1. Open Health insurance; Life with Unit Link; Life Traditional (Takaful inclusive).
2. Navigate to Business Profile / IBO Disclaimer.
3. Perform the action or trigger described by: Not applicable.
4. Observe the page, validation, navigation, and resulting state.</t>
        </is>
      </c>
      <c r="K304" s="13" t="inlineStr">
        <is>
          <t>Business Profile / IBO Disclaimer behaves according to the mapped requirement (Not applicable); data, controls, navigation, and status are accurate and consistent.</t>
        </is>
      </c>
      <c r="L304" s="13" t="inlineStr">
        <is>
          <t>L3 direct access; no S2U for view; refer to respective sub-FSD for any transactional actions</t>
        </is>
      </c>
      <c r="M304" s="13" t="inlineStr">
        <is>
          <t>Policy details displayed; no transactional final status in this FSD; refer to respective insurance sub-FSD</t>
        </is>
      </c>
      <c r="N304" s="13" t="inlineStr">
        <is>
          <t>Acct Dashboard Non-Financing!A43:J43</t>
        </is>
      </c>
      <c r="O304" s="13" t="inlineStr">
        <is>
          <t>Not Run</t>
        </is>
      </c>
      <c r="P304" s="13" t="n"/>
      <c r="Q304" s="13" t="n"/>
      <c r="R304" s="14" t="inlineStr">
        <is>
          <t>Conditional coverage required.</t>
        </is>
      </c>
      <c r="S304" s="19" t="inlineStr">
        <is>
          <t>Insurance API Design</t>
        </is>
      </c>
      <c r="T304" s="19" t="inlineStr">
        <is>
          <t>Insurance dashboard</t>
        </is>
      </c>
      <c r="U304" s="19" t="inlineStr">
        <is>
          <t>GET</t>
        </is>
      </c>
      <c r="V304" s="19" t="inlineStr">
        <is>
          <t>/v1/external/accounts?accountGroup={accountGroup}</t>
        </is>
      </c>
      <c r="W304" s="19" t="inlineStr">
        <is>
          <t>dep-dashboard</t>
        </is>
      </c>
      <c r="X304" s="19" t="inlineStr">
        <is>
          <t>ECLIPSE_Account Dashboard_Insurance_DDD_API_Design_v1_Workshop.xlsx</t>
        </is>
      </c>
      <c r="Y304" s="19" t="inlineStr">
        <is>
          <t>1.4 Insurance - Dashboard</t>
        </is>
      </c>
      <c r="Z304" s="19" t="inlineStr">
        <is>
          <t>API_Specs_Index!A2:H2</t>
        </is>
      </c>
      <c r="AA304" s="22" t="inlineStr">
        <is>
          <t>API-022</t>
        </is>
      </c>
      <c r="AB304" s="19" t="inlineStr">
        <is>
          <t>Mapped to Insurance dashboard because the test case terms align with the 1.4 Insurance - Dashboard journey in the applicable API specification.</t>
        </is>
      </c>
      <c r="AC304" s="19" t="inlineStr">
        <is>
          <t>High</t>
        </is>
      </c>
      <c r="AD304"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row r="305" ht="409.6" customHeight="1" s="2">
      <c r="A305" s="15" t="inlineStr">
        <is>
          <t>TC-B1-0304</t>
        </is>
      </c>
      <c r="B305" s="16" t="inlineStr">
        <is>
          <t>TS-B1-254</t>
        </is>
      </c>
      <c r="C305" s="16" t="inlineStr">
        <is>
          <t>Acct Dashboard Non-Financing</t>
        </is>
      </c>
      <c r="D305" s="16" t="inlineStr">
        <is>
          <t>Dashboard — Insurance</t>
        </is>
      </c>
      <c r="E305" s="16" t="inlineStr">
        <is>
          <t>Validate External FSD References for Health insurance; Life with Unit Link; Life Traditional (Takaful inclusive)</t>
        </is>
      </c>
      <c r="F305" s="16" t="inlineStr">
        <is>
          <t>UI / Functional</t>
        </is>
      </c>
      <c r="G305" s="16" t="inlineStr">
        <is>
          <t>Medium</t>
        </is>
      </c>
      <c r="H305" s="16" t="inlineStr">
        <is>
          <t>Eligible user and product are available. User has reached the preceding journey step.</t>
        </is>
      </c>
      <c r="I305" s="16" t="inlineStr">
        <is>
          <t>Account / Card / Policy Type: Health policy; Life Unit Link policy; Life Traditional policy; Active / Lapsed / other statuses per Common status mapping; Currency / FCY Criteria: IDR; FCY conversion rate from NGBO where applicable for investment values</t>
        </is>
      </c>
      <c r="J305" s="16" t="inlineStr">
        <is>
          <t>1. Open Health insurance; Life with Unit Link; Life Traditional (Takaful inclusive).
2. Navigate to External FSD References.
3. Perform the action or trigger described by: Claim Procedure / Product Info Summary: managed via CMS (PDF or webview); refer to respective insurance sub-FSD for transactional actions; Policy Status mapping: refer to Common worksheet.
4. Observe the page, validation, navigation, and resulting state.</t>
        </is>
      </c>
      <c r="K305" s="16" t="inlineStr">
        <is>
          <t>External FSD References behaves according to the mapped requirement (Claim Procedure / Product Info Summary: managed via CMS (PDF or webview); refer to respective insurance sub-FSD for transactional actions; Policy Status mapping: refer to Common worksheet); data, controls, navigation, and status are accurate and consistent.</t>
        </is>
      </c>
      <c r="L305" s="16" t="inlineStr">
        <is>
          <t>L3 direct access; no S2U for view; refer to respective sub-FSD for any transactional actions</t>
        </is>
      </c>
      <c r="M305" s="16" t="inlineStr">
        <is>
          <t>Policy details displayed; no transactional final status in this FSD; refer to respective insurance sub-FSD</t>
        </is>
      </c>
      <c r="N305" s="16" t="inlineStr">
        <is>
          <t>Acct Dashboard Non-Financing!A45:J45</t>
        </is>
      </c>
      <c r="O305" s="16" t="inlineStr">
        <is>
          <t>Not Run</t>
        </is>
      </c>
      <c r="P305" s="16" t="n"/>
      <c r="Q305" s="16" t="n"/>
      <c r="R305" s="17" t="n"/>
      <c r="S305" s="19" t="inlineStr">
        <is>
          <t>Insurance API Design</t>
        </is>
      </c>
      <c r="T305" s="19" t="inlineStr">
        <is>
          <t>Insurance dashboard</t>
        </is>
      </c>
      <c r="U305" s="19" t="inlineStr">
        <is>
          <t>GET</t>
        </is>
      </c>
      <c r="V305" s="19" t="inlineStr">
        <is>
          <t>/v1/external/accounts?accountGroup={accountGroup}</t>
        </is>
      </c>
      <c r="W305" s="19" t="inlineStr">
        <is>
          <t>dep-dashboard</t>
        </is>
      </c>
      <c r="X305" s="19" t="inlineStr">
        <is>
          <t>ECLIPSE_Account Dashboard_Insurance_DDD_API_Design_v1_Workshop.xlsx</t>
        </is>
      </c>
      <c r="Y305" s="19" t="inlineStr">
        <is>
          <t>1.4 Insurance - Dashboard</t>
        </is>
      </c>
      <c r="Z305" s="19" t="inlineStr">
        <is>
          <t>API_Specs_Index!A2:H2</t>
        </is>
      </c>
      <c r="AA305" s="22" t="inlineStr">
        <is>
          <t>API-022</t>
        </is>
      </c>
      <c r="AB305" s="19" t="inlineStr">
        <is>
          <t>Mapped to Insurance dashboard because the test case terms align with the 1.4 Insurance - Dashboard journey in the applicable API specification.</t>
        </is>
      </c>
      <c r="AC305" s="19" t="inlineStr">
        <is>
          <t>High</t>
        </is>
      </c>
      <c r="AD305"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row r="306" ht="409.6" customHeight="1" s="2">
      <c r="A306" s="12" t="inlineStr">
        <is>
          <t>TC-B1-0305</t>
        </is>
      </c>
      <c r="B306" s="13" t="inlineStr">
        <is>
          <t>TS-B1-255</t>
        </is>
      </c>
      <c r="C306" s="13" t="inlineStr">
        <is>
          <t>Acct Dashboard Non-Financing</t>
        </is>
      </c>
      <c r="D306" s="13" t="inlineStr">
        <is>
          <t>Dashboard — Insurance</t>
        </is>
      </c>
      <c r="E306" s="13" t="inlineStr">
        <is>
          <t>Validate successful final state for Health insurance; Life with Unit Link; Life Traditional (Takaful inclusive)</t>
        </is>
      </c>
      <c r="F306" s="13" t="inlineStr">
        <is>
          <t>Positive</t>
        </is>
      </c>
      <c r="G306" s="13" t="inlineStr">
        <is>
          <t>High</t>
        </is>
      </c>
      <c r="H306" s="13" t="inlineStr">
        <is>
          <t>All required inputs and services are valid. Expected statuses: Policy details displayed; no transactional final status in this FSD; refer to respective insurance sub-FSD</t>
        </is>
      </c>
      <c r="I306" s="13" t="inlineStr">
        <is>
          <t>Account / Card / Policy Type: Health policy; Life Unit Link policy; Life Traditional policy; Active / Lapsed / other statuses per Common status mapping; Currency / FCY Criteria: IDR; FCY conversion rate from NGBO where applicable for investment values</t>
        </is>
      </c>
      <c r="J306" s="13" t="inlineStr">
        <is>
          <t>1. Complete the end-to-end journey with valid data.
2. Submit/confirm the final action.
3. Verify result, receipt/notification where applicable, and persisted state.</t>
        </is>
      </c>
      <c r="K306" s="13" t="inlineStr">
        <is>
          <t>A valid success status from the requirement is shown. The transaction or change is applied once, persisted, and reflected on refresh.</t>
        </is>
      </c>
      <c r="L306" s="13" t="inlineStr">
        <is>
          <t>L3 direct access; no S2U for view; refer to respective sub-FSD for any transactional actions</t>
        </is>
      </c>
      <c r="M306" s="13" t="inlineStr">
        <is>
          <t>Policy details displayed; no transactional final status in this FSD; refer to respective insurance sub-FSD</t>
        </is>
      </c>
      <c r="N306" s="13" t="inlineStr">
        <is>
          <t>Acct Dashboard Non-Financing!J1:J45</t>
        </is>
      </c>
      <c r="O306" s="13" t="inlineStr">
        <is>
          <t>Not Run</t>
        </is>
      </c>
      <c r="P306" s="13" t="n"/>
      <c r="Q306" s="13" t="n"/>
      <c r="R306" s="14" t="n"/>
      <c r="S306" s="19" t="inlineStr">
        <is>
          <t>Insurance API Design</t>
        </is>
      </c>
      <c r="T306" s="19" t="inlineStr">
        <is>
          <t>Insurance dashboard</t>
        </is>
      </c>
      <c r="U306" s="19" t="inlineStr">
        <is>
          <t>GET</t>
        </is>
      </c>
      <c r="V306" s="19" t="inlineStr">
        <is>
          <t>/v1/external/accounts?accountGroup={accountGroup}</t>
        </is>
      </c>
      <c r="W306" s="19" t="inlineStr">
        <is>
          <t>dep-dashboard</t>
        </is>
      </c>
      <c r="X306" s="19" t="inlineStr">
        <is>
          <t>ECLIPSE_Account Dashboard_Insurance_DDD_API_Design_v1_Workshop.xlsx</t>
        </is>
      </c>
      <c r="Y306" s="19" t="inlineStr">
        <is>
          <t>1.4 Insurance - Dashboard</t>
        </is>
      </c>
      <c r="Z306" s="19" t="inlineStr">
        <is>
          <t>API_Specs_Index!A2:H2</t>
        </is>
      </c>
      <c r="AA306" s="22" t="inlineStr">
        <is>
          <t>API-022</t>
        </is>
      </c>
      <c r="AB306" s="19" t="inlineStr">
        <is>
          <t>Mapped to Insurance dashboard because the test case terms align with the 1.4 Insurance - Dashboard journey in the applicable API specification.</t>
        </is>
      </c>
      <c r="AC306" s="19" t="inlineStr">
        <is>
          <t>High</t>
        </is>
      </c>
      <c r="AD306"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row r="307" ht="409.6" customHeight="1" s="2">
      <c r="A307" s="15" t="inlineStr">
        <is>
          <t>TC-B1-0306</t>
        </is>
      </c>
      <c r="B307" s="16" t="inlineStr">
        <is>
          <t>TS-B1-255</t>
        </is>
      </c>
      <c r="C307" s="16" t="inlineStr">
        <is>
          <t>Acct Dashboard Non-Financing</t>
        </is>
      </c>
      <c r="D307" s="16" t="inlineStr">
        <is>
          <t>Dashboard — Insurance</t>
        </is>
      </c>
      <c r="E307" s="16" t="inlineStr">
        <is>
          <t>Validate service failure and retry for Health insurance; Life with Unit Link; Life Traditional (Takaful inclusive)</t>
        </is>
      </c>
      <c r="F307" s="16" t="inlineStr">
        <is>
          <t>Negative</t>
        </is>
      </c>
      <c r="G307" s="16" t="inlineStr">
        <is>
          <t>High</t>
        </is>
      </c>
      <c r="H307" s="16" t="inlineStr">
        <is>
          <t>Journey is available; simulate a controlled downstream timeout or unsuccessful response. Expected statuses: Policy details displayed; no transactional final status in this FSD; refer to respective insurance sub-FSD</t>
        </is>
      </c>
      <c r="I307" s="16" t="inlineStr">
        <is>
          <t>Account / Card / Policy Type: Health policy; Life Unit Link policy; Life Traditional policy; Active / Lapsed / other statuses per Common status mapping; Currency / FCY Criteria: IDR; FCY conversion rate from NGBO where applicable for investment values</t>
        </is>
      </c>
      <c r="J307" s="16" t="inlineStr">
        <is>
          <t>1. Progress to the final action.
2. Trigger a timeout, unavailable service, or unsuccessful response.
3. Verify the error message and retry behavior.
4. Retry after service recovery.</t>
        </is>
      </c>
      <c r="K307" s="16" t="inlineStr">
        <is>
          <t>No duplicate action occurs. The configured unsuccessful/processing state is shown, retry is safe, and final status becomes consistent after recovery.</t>
        </is>
      </c>
      <c r="L307" s="16" t="inlineStr">
        <is>
          <t>L3 direct access; no S2U for view; refer to respective sub-FSD for any transactional actions</t>
        </is>
      </c>
      <c r="M307" s="16" t="inlineStr">
        <is>
          <t>Policy details displayed; no transactional final status in this FSD; refer to respective insurance sub-FSD</t>
        </is>
      </c>
      <c r="N307" s="16" t="inlineStr">
        <is>
          <t>Acct Dashboard Non-Financing!J1:J45</t>
        </is>
      </c>
      <c r="O307" s="16" t="inlineStr">
        <is>
          <t>Not Run</t>
        </is>
      </c>
      <c r="P307" s="16" t="n"/>
      <c r="Q307" s="16" t="n"/>
      <c r="R307" s="17" t="n"/>
      <c r="S307" s="19" t="inlineStr">
        <is>
          <t>Insurance API Design</t>
        </is>
      </c>
      <c r="T307" s="19" t="inlineStr">
        <is>
          <t>Insurance dashboard</t>
        </is>
      </c>
      <c r="U307" s="19" t="inlineStr">
        <is>
          <t>GET</t>
        </is>
      </c>
      <c r="V307" s="19" t="inlineStr">
        <is>
          <t>/v1/external/accounts?accountGroup={accountGroup}</t>
        </is>
      </c>
      <c r="W307" s="19" t="inlineStr">
        <is>
          <t>dep-dashboard</t>
        </is>
      </c>
      <c r="X307" s="19" t="inlineStr">
        <is>
          <t>ECLIPSE_Account Dashboard_Insurance_DDD_API_Design_v1_Workshop.xlsx</t>
        </is>
      </c>
      <c r="Y307" s="19" t="inlineStr">
        <is>
          <t>1.4 Insurance - Dashboard</t>
        </is>
      </c>
      <c r="Z307" s="19" t="inlineStr">
        <is>
          <t>API_Specs_Index!A2:H2</t>
        </is>
      </c>
      <c r="AA307" s="22" t="inlineStr">
        <is>
          <t>API-022</t>
        </is>
      </c>
      <c r="AB307" s="19" t="inlineStr">
        <is>
          <t>Mapped to Insurance dashboard because the test case terms align with the 1.4 Insurance - Dashboard journey in the applicable API specification.</t>
        </is>
      </c>
      <c r="AC307" s="19" t="inlineStr">
        <is>
          <t>High</t>
        </is>
      </c>
      <c r="AD307" s="19" t="inlineStr">
        <is>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is>
      </c>
    </row>
  </sheetData>
  <autoFilter ref="A1:AD307"/>
  <conditionalFormatting sqref="O2:O307">
    <cfRule type="expression" priority="1" dxfId="2">
      <formula>$O2="Pass"</formula>
    </cfRule>
    <cfRule type="expression" priority="2" dxfId="1">
      <formula>$O2="Fail"</formula>
    </cfRule>
    <cfRule type="expression" priority="3" dxfId="0">
      <formula>$O2="Blocked"</formula>
    </cfRule>
  </conditionalFormatting>
  <dataValidations count="1">
    <dataValidation sqref="O2:O307" showDropDown="0" showInputMessage="0" showErrorMessage="0" allowBlank="0" type="list">
      <formula1>"Not Run,Pass,Fail,Blocked,Not Applicable"</formula1>
    </dataValidation>
  </dataValidations>
  <hyperlinks>
    <hyperlink xmlns:r="http://schemas.openxmlformats.org/officeDocument/2006/relationships" ref="AA2" r:id="rId1"/>
    <hyperlink xmlns:r="http://schemas.openxmlformats.org/officeDocument/2006/relationships" ref="AA3" r:id="rId2"/>
    <hyperlink xmlns:r="http://schemas.openxmlformats.org/officeDocument/2006/relationships" ref="AA4" r:id="rId3"/>
    <hyperlink xmlns:r="http://schemas.openxmlformats.org/officeDocument/2006/relationships" ref="AA5" r:id="rId4"/>
    <hyperlink xmlns:r="http://schemas.openxmlformats.org/officeDocument/2006/relationships" ref="AA6" r:id="rId5"/>
    <hyperlink xmlns:r="http://schemas.openxmlformats.org/officeDocument/2006/relationships" ref="AA7" r:id="rId6"/>
    <hyperlink xmlns:r="http://schemas.openxmlformats.org/officeDocument/2006/relationships" ref="AA8" r:id="rId7"/>
    <hyperlink xmlns:r="http://schemas.openxmlformats.org/officeDocument/2006/relationships" ref="AA9" r:id="rId8"/>
    <hyperlink xmlns:r="http://schemas.openxmlformats.org/officeDocument/2006/relationships" ref="AA10" r:id="rId9"/>
    <hyperlink xmlns:r="http://schemas.openxmlformats.org/officeDocument/2006/relationships" ref="AA11" r:id="rId10"/>
    <hyperlink xmlns:r="http://schemas.openxmlformats.org/officeDocument/2006/relationships" ref="AA12" r:id="rId11"/>
    <hyperlink xmlns:r="http://schemas.openxmlformats.org/officeDocument/2006/relationships" ref="AA13" r:id="rId12"/>
    <hyperlink xmlns:r="http://schemas.openxmlformats.org/officeDocument/2006/relationships" ref="AA14" r:id="rId13"/>
    <hyperlink xmlns:r="http://schemas.openxmlformats.org/officeDocument/2006/relationships" ref="AA15" r:id="rId14"/>
    <hyperlink xmlns:r="http://schemas.openxmlformats.org/officeDocument/2006/relationships" ref="AA16" r:id="rId15"/>
    <hyperlink xmlns:r="http://schemas.openxmlformats.org/officeDocument/2006/relationships" ref="AA17" r:id="rId16"/>
    <hyperlink xmlns:r="http://schemas.openxmlformats.org/officeDocument/2006/relationships" ref="AA18" r:id="rId17"/>
    <hyperlink xmlns:r="http://schemas.openxmlformats.org/officeDocument/2006/relationships" ref="AA19" r:id="rId18"/>
    <hyperlink xmlns:r="http://schemas.openxmlformats.org/officeDocument/2006/relationships" ref="AA20" r:id="rId19"/>
    <hyperlink xmlns:r="http://schemas.openxmlformats.org/officeDocument/2006/relationships" ref="AA21" r:id="rId20"/>
    <hyperlink xmlns:r="http://schemas.openxmlformats.org/officeDocument/2006/relationships" ref="AA22" r:id="rId21"/>
    <hyperlink xmlns:r="http://schemas.openxmlformats.org/officeDocument/2006/relationships" ref="AA23" r:id="rId22"/>
    <hyperlink xmlns:r="http://schemas.openxmlformats.org/officeDocument/2006/relationships" ref="AA24" r:id="rId23"/>
    <hyperlink xmlns:r="http://schemas.openxmlformats.org/officeDocument/2006/relationships" ref="AA25" r:id="rId24"/>
    <hyperlink xmlns:r="http://schemas.openxmlformats.org/officeDocument/2006/relationships" ref="AA26" r:id="rId25"/>
    <hyperlink xmlns:r="http://schemas.openxmlformats.org/officeDocument/2006/relationships" ref="AA27" r:id="rId26"/>
    <hyperlink xmlns:r="http://schemas.openxmlformats.org/officeDocument/2006/relationships" ref="AA28" r:id="rId27"/>
    <hyperlink xmlns:r="http://schemas.openxmlformats.org/officeDocument/2006/relationships" ref="AA29" r:id="rId28"/>
    <hyperlink xmlns:r="http://schemas.openxmlformats.org/officeDocument/2006/relationships" ref="AA30" r:id="rId29"/>
    <hyperlink xmlns:r="http://schemas.openxmlformats.org/officeDocument/2006/relationships" ref="AA31" r:id="rId30"/>
    <hyperlink xmlns:r="http://schemas.openxmlformats.org/officeDocument/2006/relationships" ref="AA32" r:id="rId31"/>
    <hyperlink xmlns:r="http://schemas.openxmlformats.org/officeDocument/2006/relationships" ref="AA33" r:id="rId32"/>
    <hyperlink xmlns:r="http://schemas.openxmlformats.org/officeDocument/2006/relationships" ref="AA34" r:id="rId33"/>
    <hyperlink xmlns:r="http://schemas.openxmlformats.org/officeDocument/2006/relationships" ref="AA35" r:id="rId34"/>
    <hyperlink xmlns:r="http://schemas.openxmlformats.org/officeDocument/2006/relationships" ref="AA36" r:id="rId35"/>
    <hyperlink xmlns:r="http://schemas.openxmlformats.org/officeDocument/2006/relationships" ref="AA37" r:id="rId36"/>
    <hyperlink xmlns:r="http://schemas.openxmlformats.org/officeDocument/2006/relationships" ref="AA38" r:id="rId37"/>
    <hyperlink xmlns:r="http://schemas.openxmlformats.org/officeDocument/2006/relationships" ref="AA39" r:id="rId38"/>
    <hyperlink xmlns:r="http://schemas.openxmlformats.org/officeDocument/2006/relationships" ref="AA40" r:id="rId39"/>
    <hyperlink xmlns:r="http://schemas.openxmlformats.org/officeDocument/2006/relationships" ref="AA41" r:id="rId40"/>
    <hyperlink xmlns:r="http://schemas.openxmlformats.org/officeDocument/2006/relationships" ref="AA42" r:id="rId41"/>
    <hyperlink xmlns:r="http://schemas.openxmlformats.org/officeDocument/2006/relationships" ref="AA43" r:id="rId42"/>
    <hyperlink xmlns:r="http://schemas.openxmlformats.org/officeDocument/2006/relationships" ref="AA44" r:id="rId43"/>
    <hyperlink xmlns:r="http://schemas.openxmlformats.org/officeDocument/2006/relationships" ref="AA45" r:id="rId44"/>
    <hyperlink xmlns:r="http://schemas.openxmlformats.org/officeDocument/2006/relationships" ref="AA46" r:id="rId45"/>
    <hyperlink xmlns:r="http://schemas.openxmlformats.org/officeDocument/2006/relationships" ref="AA47" r:id="rId46"/>
    <hyperlink xmlns:r="http://schemas.openxmlformats.org/officeDocument/2006/relationships" ref="AA48" r:id="rId47"/>
    <hyperlink xmlns:r="http://schemas.openxmlformats.org/officeDocument/2006/relationships" ref="AA49" r:id="rId48"/>
    <hyperlink xmlns:r="http://schemas.openxmlformats.org/officeDocument/2006/relationships" ref="AA50" r:id="rId49"/>
    <hyperlink xmlns:r="http://schemas.openxmlformats.org/officeDocument/2006/relationships" ref="AA51" r:id="rId50"/>
    <hyperlink xmlns:r="http://schemas.openxmlformats.org/officeDocument/2006/relationships" ref="AA52" r:id="rId51"/>
    <hyperlink xmlns:r="http://schemas.openxmlformats.org/officeDocument/2006/relationships" ref="AA53" r:id="rId52"/>
    <hyperlink xmlns:r="http://schemas.openxmlformats.org/officeDocument/2006/relationships" ref="AA54" r:id="rId53"/>
    <hyperlink xmlns:r="http://schemas.openxmlformats.org/officeDocument/2006/relationships" ref="AA55" r:id="rId54"/>
    <hyperlink xmlns:r="http://schemas.openxmlformats.org/officeDocument/2006/relationships" ref="AA56" r:id="rId55"/>
    <hyperlink xmlns:r="http://schemas.openxmlformats.org/officeDocument/2006/relationships" ref="AA57" r:id="rId56"/>
    <hyperlink xmlns:r="http://schemas.openxmlformats.org/officeDocument/2006/relationships" ref="AA58" r:id="rId57"/>
    <hyperlink xmlns:r="http://schemas.openxmlformats.org/officeDocument/2006/relationships" ref="AA59" r:id="rId58"/>
    <hyperlink xmlns:r="http://schemas.openxmlformats.org/officeDocument/2006/relationships" ref="AA60" r:id="rId59"/>
    <hyperlink xmlns:r="http://schemas.openxmlformats.org/officeDocument/2006/relationships" ref="AA61" r:id="rId60"/>
    <hyperlink xmlns:r="http://schemas.openxmlformats.org/officeDocument/2006/relationships" ref="AA62" r:id="rId61"/>
    <hyperlink xmlns:r="http://schemas.openxmlformats.org/officeDocument/2006/relationships" ref="AA63" r:id="rId62"/>
    <hyperlink xmlns:r="http://schemas.openxmlformats.org/officeDocument/2006/relationships" ref="AA64" r:id="rId63"/>
    <hyperlink xmlns:r="http://schemas.openxmlformats.org/officeDocument/2006/relationships" ref="AA65" r:id="rId64"/>
    <hyperlink xmlns:r="http://schemas.openxmlformats.org/officeDocument/2006/relationships" ref="AA66" r:id="rId65"/>
    <hyperlink xmlns:r="http://schemas.openxmlformats.org/officeDocument/2006/relationships" ref="AA67" r:id="rId66"/>
    <hyperlink xmlns:r="http://schemas.openxmlformats.org/officeDocument/2006/relationships" ref="AA68" r:id="rId67"/>
    <hyperlink xmlns:r="http://schemas.openxmlformats.org/officeDocument/2006/relationships" ref="AA69" r:id="rId68"/>
    <hyperlink xmlns:r="http://schemas.openxmlformats.org/officeDocument/2006/relationships" ref="AA70" r:id="rId69"/>
    <hyperlink xmlns:r="http://schemas.openxmlformats.org/officeDocument/2006/relationships" ref="AA71" r:id="rId70"/>
    <hyperlink xmlns:r="http://schemas.openxmlformats.org/officeDocument/2006/relationships" ref="AA72" r:id="rId71"/>
    <hyperlink xmlns:r="http://schemas.openxmlformats.org/officeDocument/2006/relationships" ref="AA73" r:id="rId72"/>
    <hyperlink xmlns:r="http://schemas.openxmlformats.org/officeDocument/2006/relationships" ref="AA74" r:id="rId73"/>
    <hyperlink xmlns:r="http://schemas.openxmlformats.org/officeDocument/2006/relationships" ref="AA75" r:id="rId74"/>
    <hyperlink xmlns:r="http://schemas.openxmlformats.org/officeDocument/2006/relationships" ref="AA76" r:id="rId75"/>
    <hyperlink xmlns:r="http://schemas.openxmlformats.org/officeDocument/2006/relationships" ref="AA77" r:id="rId76"/>
    <hyperlink xmlns:r="http://schemas.openxmlformats.org/officeDocument/2006/relationships" ref="AA78" r:id="rId77"/>
    <hyperlink xmlns:r="http://schemas.openxmlformats.org/officeDocument/2006/relationships" ref="AA79" r:id="rId78"/>
    <hyperlink xmlns:r="http://schemas.openxmlformats.org/officeDocument/2006/relationships" ref="AA80" r:id="rId79"/>
    <hyperlink xmlns:r="http://schemas.openxmlformats.org/officeDocument/2006/relationships" ref="AA81" r:id="rId80"/>
    <hyperlink xmlns:r="http://schemas.openxmlformats.org/officeDocument/2006/relationships" ref="AA82" r:id="rId81"/>
    <hyperlink xmlns:r="http://schemas.openxmlformats.org/officeDocument/2006/relationships" ref="AA83" r:id="rId82"/>
    <hyperlink xmlns:r="http://schemas.openxmlformats.org/officeDocument/2006/relationships" ref="AA84" r:id="rId83"/>
    <hyperlink xmlns:r="http://schemas.openxmlformats.org/officeDocument/2006/relationships" ref="AA85" r:id="rId84"/>
    <hyperlink xmlns:r="http://schemas.openxmlformats.org/officeDocument/2006/relationships" ref="AA86" r:id="rId85"/>
    <hyperlink xmlns:r="http://schemas.openxmlformats.org/officeDocument/2006/relationships" ref="AA87" r:id="rId86"/>
    <hyperlink xmlns:r="http://schemas.openxmlformats.org/officeDocument/2006/relationships" ref="AA88" r:id="rId87"/>
    <hyperlink xmlns:r="http://schemas.openxmlformats.org/officeDocument/2006/relationships" ref="AA89" r:id="rId88"/>
    <hyperlink xmlns:r="http://schemas.openxmlformats.org/officeDocument/2006/relationships" ref="AA90" r:id="rId89"/>
    <hyperlink xmlns:r="http://schemas.openxmlformats.org/officeDocument/2006/relationships" ref="AA91" r:id="rId90"/>
    <hyperlink xmlns:r="http://schemas.openxmlformats.org/officeDocument/2006/relationships" ref="AA92" r:id="rId91"/>
    <hyperlink xmlns:r="http://schemas.openxmlformats.org/officeDocument/2006/relationships" ref="AA93" r:id="rId92"/>
    <hyperlink xmlns:r="http://schemas.openxmlformats.org/officeDocument/2006/relationships" ref="AA94" r:id="rId93"/>
    <hyperlink xmlns:r="http://schemas.openxmlformats.org/officeDocument/2006/relationships" ref="AA95" r:id="rId94"/>
    <hyperlink xmlns:r="http://schemas.openxmlformats.org/officeDocument/2006/relationships" ref="AA96" r:id="rId95"/>
    <hyperlink xmlns:r="http://schemas.openxmlformats.org/officeDocument/2006/relationships" ref="AA97" r:id="rId96"/>
    <hyperlink xmlns:r="http://schemas.openxmlformats.org/officeDocument/2006/relationships" ref="AA98" r:id="rId97"/>
    <hyperlink xmlns:r="http://schemas.openxmlformats.org/officeDocument/2006/relationships" ref="AA99" r:id="rId98"/>
    <hyperlink xmlns:r="http://schemas.openxmlformats.org/officeDocument/2006/relationships" ref="AA100" r:id="rId99"/>
    <hyperlink xmlns:r="http://schemas.openxmlformats.org/officeDocument/2006/relationships" ref="AA101" r:id="rId100"/>
    <hyperlink xmlns:r="http://schemas.openxmlformats.org/officeDocument/2006/relationships" ref="AA102" r:id="rId101"/>
    <hyperlink xmlns:r="http://schemas.openxmlformats.org/officeDocument/2006/relationships" ref="AA103" r:id="rId102"/>
    <hyperlink xmlns:r="http://schemas.openxmlformats.org/officeDocument/2006/relationships" ref="AA104" r:id="rId103"/>
    <hyperlink xmlns:r="http://schemas.openxmlformats.org/officeDocument/2006/relationships" ref="AA105" r:id="rId104"/>
    <hyperlink xmlns:r="http://schemas.openxmlformats.org/officeDocument/2006/relationships" ref="AA106" r:id="rId105"/>
    <hyperlink xmlns:r="http://schemas.openxmlformats.org/officeDocument/2006/relationships" ref="AA107" r:id="rId106"/>
    <hyperlink xmlns:r="http://schemas.openxmlformats.org/officeDocument/2006/relationships" ref="AA108" r:id="rId107"/>
    <hyperlink xmlns:r="http://schemas.openxmlformats.org/officeDocument/2006/relationships" ref="AA109" r:id="rId108"/>
    <hyperlink xmlns:r="http://schemas.openxmlformats.org/officeDocument/2006/relationships" ref="AA110" r:id="rId109"/>
    <hyperlink xmlns:r="http://schemas.openxmlformats.org/officeDocument/2006/relationships" ref="AA111" r:id="rId110"/>
    <hyperlink xmlns:r="http://schemas.openxmlformats.org/officeDocument/2006/relationships" ref="AA112" r:id="rId111"/>
    <hyperlink xmlns:r="http://schemas.openxmlformats.org/officeDocument/2006/relationships" ref="AA113" r:id="rId112"/>
    <hyperlink xmlns:r="http://schemas.openxmlformats.org/officeDocument/2006/relationships" ref="AA114" r:id="rId113"/>
    <hyperlink xmlns:r="http://schemas.openxmlformats.org/officeDocument/2006/relationships" ref="AA115" r:id="rId114"/>
    <hyperlink xmlns:r="http://schemas.openxmlformats.org/officeDocument/2006/relationships" ref="AA116" r:id="rId115"/>
    <hyperlink xmlns:r="http://schemas.openxmlformats.org/officeDocument/2006/relationships" ref="AA117" r:id="rId116"/>
    <hyperlink xmlns:r="http://schemas.openxmlformats.org/officeDocument/2006/relationships" ref="AA118" r:id="rId117"/>
    <hyperlink xmlns:r="http://schemas.openxmlformats.org/officeDocument/2006/relationships" ref="AA119" r:id="rId118"/>
    <hyperlink xmlns:r="http://schemas.openxmlformats.org/officeDocument/2006/relationships" ref="AA120" r:id="rId119"/>
    <hyperlink xmlns:r="http://schemas.openxmlformats.org/officeDocument/2006/relationships" ref="AA121" r:id="rId120"/>
    <hyperlink xmlns:r="http://schemas.openxmlformats.org/officeDocument/2006/relationships" ref="AA122" r:id="rId121"/>
    <hyperlink xmlns:r="http://schemas.openxmlformats.org/officeDocument/2006/relationships" ref="AA123" r:id="rId122"/>
    <hyperlink xmlns:r="http://schemas.openxmlformats.org/officeDocument/2006/relationships" ref="AA124" r:id="rId123"/>
    <hyperlink xmlns:r="http://schemas.openxmlformats.org/officeDocument/2006/relationships" ref="AA125" r:id="rId124"/>
    <hyperlink xmlns:r="http://schemas.openxmlformats.org/officeDocument/2006/relationships" ref="AA126" r:id="rId125"/>
    <hyperlink xmlns:r="http://schemas.openxmlformats.org/officeDocument/2006/relationships" ref="AA127" r:id="rId126"/>
    <hyperlink xmlns:r="http://schemas.openxmlformats.org/officeDocument/2006/relationships" ref="AA128" r:id="rId127"/>
    <hyperlink xmlns:r="http://schemas.openxmlformats.org/officeDocument/2006/relationships" ref="AA129" r:id="rId128"/>
    <hyperlink xmlns:r="http://schemas.openxmlformats.org/officeDocument/2006/relationships" ref="AA130" r:id="rId129"/>
    <hyperlink xmlns:r="http://schemas.openxmlformats.org/officeDocument/2006/relationships" ref="AA131" r:id="rId130"/>
    <hyperlink xmlns:r="http://schemas.openxmlformats.org/officeDocument/2006/relationships" ref="AA132" r:id="rId131"/>
    <hyperlink xmlns:r="http://schemas.openxmlformats.org/officeDocument/2006/relationships" ref="AA133" r:id="rId132"/>
    <hyperlink xmlns:r="http://schemas.openxmlformats.org/officeDocument/2006/relationships" ref="AA134" r:id="rId133"/>
    <hyperlink xmlns:r="http://schemas.openxmlformats.org/officeDocument/2006/relationships" ref="AA135" r:id="rId134"/>
    <hyperlink xmlns:r="http://schemas.openxmlformats.org/officeDocument/2006/relationships" ref="AA136" r:id="rId135"/>
    <hyperlink xmlns:r="http://schemas.openxmlformats.org/officeDocument/2006/relationships" ref="AA137" r:id="rId136"/>
    <hyperlink xmlns:r="http://schemas.openxmlformats.org/officeDocument/2006/relationships" ref="AA138" r:id="rId137"/>
    <hyperlink xmlns:r="http://schemas.openxmlformats.org/officeDocument/2006/relationships" ref="AA139" r:id="rId138"/>
    <hyperlink xmlns:r="http://schemas.openxmlformats.org/officeDocument/2006/relationships" ref="AA140" r:id="rId139"/>
    <hyperlink xmlns:r="http://schemas.openxmlformats.org/officeDocument/2006/relationships" ref="AA141" r:id="rId140"/>
    <hyperlink xmlns:r="http://schemas.openxmlformats.org/officeDocument/2006/relationships" ref="AA142" r:id="rId141"/>
    <hyperlink xmlns:r="http://schemas.openxmlformats.org/officeDocument/2006/relationships" ref="AA143" r:id="rId142"/>
    <hyperlink xmlns:r="http://schemas.openxmlformats.org/officeDocument/2006/relationships" ref="AA144" r:id="rId143"/>
    <hyperlink xmlns:r="http://schemas.openxmlformats.org/officeDocument/2006/relationships" ref="AA145" r:id="rId144"/>
    <hyperlink xmlns:r="http://schemas.openxmlformats.org/officeDocument/2006/relationships" ref="AA146" r:id="rId145"/>
    <hyperlink xmlns:r="http://schemas.openxmlformats.org/officeDocument/2006/relationships" ref="AA147" r:id="rId146"/>
    <hyperlink xmlns:r="http://schemas.openxmlformats.org/officeDocument/2006/relationships" ref="AA148" r:id="rId147"/>
    <hyperlink xmlns:r="http://schemas.openxmlformats.org/officeDocument/2006/relationships" ref="AA149" r:id="rId148"/>
    <hyperlink xmlns:r="http://schemas.openxmlformats.org/officeDocument/2006/relationships" ref="AA150" r:id="rId149"/>
    <hyperlink xmlns:r="http://schemas.openxmlformats.org/officeDocument/2006/relationships" ref="AA151" r:id="rId150"/>
    <hyperlink xmlns:r="http://schemas.openxmlformats.org/officeDocument/2006/relationships" ref="AA152" r:id="rId151"/>
    <hyperlink xmlns:r="http://schemas.openxmlformats.org/officeDocument/2006/relationships" ref="AA153" r:id="rId152"/>
    <hyperlink xmlns:r="http://schemas.openxmlformats.org/officeDocument/2006/relationships" ref="AA154" r:id="rId153"/>
    <hyperlink xmlns:r="http://schemas.openxmlformats.org/officeDocument/2006/relationships" ref="AA155" r:id="rId154"/>
    <hyperlink xmlns:r="http://schemas.openxmlformats.org/officeDocument/2006/relationships" ref="AA156" r:id="rId155"/>
    <hyperlink xmlns:r="http://schemas.openxmlformats.org/officeDocument/2006/relationships" ref="AA157" r:id="rId156"/>
    <hyperlink xmlns:r="http://schemas.openxmlformats.org/officeDocument/2006/relationships" ref="AA158" r:id="rId157"/>
    <hyperlink xmlns:r="http://schemas.openxmlformats.org/officeDocument/2006/relationships" ref="AA159" r:id="rId158"/>
    <hyperlink xmlns:r="http://schemas.openxmlformats.org/officeDocument/2006/relationships" ref="AA160" r:id="rId159"/>
    <hyperlink xmlns:r="http://schemas.openxmlformats.org/officeDocument/2006/relationships" ref="AA161" r:id="rId160"/>
    <hyperlink xmlns:r="http://schemas.openxmlformats.org/officeDocument/2006/relationships" ref="AA162" r:id="rId161"/>
    <hyperlink xmlns:r="http://schemas.openxmlformats.org/officeDocument/2006/relationships" ref="AA163" r:id="rId162"/>
    <hyperlink xmlns:r="http://schemas.openxmlformats.org/officeDocument/2006/relationships" ref="AA164" r:id="rId163"/>
    <hyperlink xmlns:r="http://schemas.openxmlformats.org/officeDocument/2006/relationships" ref="AA165" r:id="rId164"/>
    <hyperlink xmlns:r="http://schemas.openxmlformats.org/officeDocument/2006/relationships" ref="AA166" r:id="rId165"/>
    <hyperlink xmlns:r="http://schemas.openxmlformats.org/officeDocument/2006/relationships" ref="AA167" r:id="rId166"/>
    <hyperlink xmlns:r="http://schemas.openxmlformats.org/officeDocument/2006/relationships" ref="AA168" r:id="rId167"/>
    <hyperlink xmlns:r="http://schemas.openxmlformats.org/officeDocument/2006/relationships" ref="AA169" r:id="rId168"/>
    <hyperlink xmlns:r="http://schemas.openxmlformats.org/officeDocument/2006/relationships" ref="AA170" r:id="rId169"/>
    <hyperlink xmlns:r="http://schemas.openxmlformats.org/officeDocument/2006/relationships" ref="AA171" r:id="rId170"/>
    <hyperlink xmlns:r="http://schemas.openxmlformats.org/officeDocument/2006/relationships" ref="AA172" r:id="rId171"/>
    <hyperlink xmlns:r="http://schemas.openxmlformats.org/officeDocument/2006/relationships" ref="AA173" r:id="rId172"/>
    <hyperlink xmlns:r="http://schemas.openxmlformats.org/officeDocument/2006/relationships" ref="AA174" r:id="rId173"/>
    <hyperlink xmlns:r="http://schemas.openxmlformats.org/officeDocument/2006/relationships" ref="AA175" r:id="rId174"/>
    <hyperlink xmlns:r="http://schemas.openxmlformats.org/officeDocument/2006/relationships" ref="AA176" r:id="rId175"/>
    <hyperlink xmlns:r="http://schemas.openxmlformats.org/officeDocument/2006/relationships" ref="AA177" r:id="rId176"/>
    <hyperlink xmlns:r="http://schemas.openxmlformats.org/officeDocument/2006/relationships" ref="AA178" r:id="rId177"/>
    <hyperlink xmlns:r="http://schemas.openxmlformats.org/officeDocument/2006/relationships" ref="AA179" r:id="rId178"/>
    <hyperlink xmlns:r="http://schemas.openxmlformats.org/officeDocument/2006/relationships" ref="AA180" r:id="rId179"/>
    <hyperlink xmlns:r="http://schemas.openxmlformats.org/officeDocument/2006/relationships" ref="AA181" r:id="rId180"/>
    <hyperlink xmlns:r="http://schemas.openxmlformats.org/officeDocument/2006/relationships" ref="AA182" r:id="rId181"/>
    <hyperlink xmlns:r="http://schemas.openxmlformats.org/officeDocument/2006/relationships" ref="AA183" r:id="rId182"/>
    <hyperlink xmlns:r="http://schemas.openxmlformats.org/officeDocument/2006/relationships" ref="AA184" r:id="rId183"/>
    <hyperlink xmlns:r="http://schemas.openxmlformats.org/officeDocument/2006/relationships" ref="AA185" r:id="rId184"/>
    <hyperlink xmlns:r="http://schemas.openxmlformats.org/officeDocument/2006/relationships" ref="AA186" r:id="rId185"/>
    <hyperlink xmlns:r="http://schemas.openxmlformats.org/officeDocument/2006/relationships" ref="AA187" r:id="rId186"/>
    <hyperlink xmlns:r="http://schemas.openxmlformats.org/officeDocument/2006/relationships" ref="AA188" r:id="rId187"/>
    <hyperlink xmlns:r="http://schemas.openxmlformats.org/officeDocument/2006/relationships" ref="AA189" r:id="rId188"/>
    <hyperlink xmlns:r="http://schemas.openxmlformats.org/officeDocument/2006/relationships" ref="AA190" r:id="rId189"/>
    <hyperlink xmlns:r="http://schemas.openxmlformats.org/officeDocument/2006/relationships" ref="AA191" r:id="rId190"/>
    <hyperlink xmlns:r="http://schemas.openxmlformats.org/officeDocument/2006/relationships" ref="AA192" r:id="rId191"/>
    <hyperlink xmlns:r="http://schemas.openxmlformats.org/officeDocument/2006/relationships" ref="AA193" r:id="rId192"/>
    <hyperlink xmlns:r="http://schemas.openxmlformats.org/officeDocument/2006/relationships" ref="AA194" r:id="rId193"/>
    <hyperlink xmlns:r="http://schemas.openxmlformats.org/officeDocument/2006/relationships" ref="AA195" r:id="rId194"/>
    <hyperlink xmlns:r="http://schemas.openxmlformats.org/officeDocument/2006/relationships" ref="AA196" r:id="rId195"/>
    <hyperlink xmlns:r="http://schemas.openxmlformats.org/officeDocument/2006/relationships" ref="AA197" r:id="rId196"/>
    <hyperlink xmlns:r="http://schemas.openxmlformats.org/officeDocument/2006/relationships" ref="AA198" r:id="rId197"/>
    <hyperlink xmlns:r="http://schemas.openxmlformats.org/officeDocument/2006/relationships" ref="AA199" r:id="rId198"/>
    <hyperlink xmlns:r="http://schemas.openxmlformats.org/officeDocument/2006/relationships" ref="AA200" r:id="rId199"/>
    <hyperlink xmlns:r="http://schemas.openxmlformats.org/officeDocument/2006/relationships" ref="AA201" r:id="rId200"/>
    <hyperlink xmlns:r="http://schemas.openxmlformats.org/officeDocument/2006/relationships" ref="AA202" r:id="rId201"/>
    <hyperlink xmlns:r="http://schemas.openxmlformats.org/officeDocument/2006/relationships" ref="AA203" r:id="rId202"/>
    <hyperlink xmlns:r="http://schemas.openxmlformats.org/officeDocument/2006/relationships" ref="AA204" r:id="rId203"/>
    <hyperlink xmlns:r="http://schemas.openxmlformats.org/officeDocument/2006/relationships" ref="AA205" r:id="rId204"/>
    <hyperlink xmlns:r="http://schemas.openxmlformats.org/officeDocument/2006/relationships" ref="AA206" r:id="rId205"/>
    <hyperlink xmlns:r="http://schemas.openxmlformats.org/officeDocument/2006/relationships" ref="AA207" r:id="rId206"/>
    <hyperlink xmlns:r="http://schemas.openxmlformats.org/officeDocument/2006/relationships" ref="AA208" r:id="rId207"/>
    <hyperlink xmlns:r="http://schemas.openxmlformats.org/officeDocument/2006/relationships" ref="AA209" r:id="rId208"/>
    <hyperlink xmlns:r="http://schemas.openxmlformats.org/officeDocument/2006/relationships" ref="AA210" r:id="rId209"/>
    <hyperlink xmlns:r="http://schemas.openxmlformats.org/officeDocument/2006/relationships" ref="AA211" r:id="rId210"/>
    <hyperlink xmlns:r="http://schemas.openxmlformats.org/officeDocument/2006/relationships" ref="AA212" r:id="rId211"/>
    <hyperlink xmlns:r="http://schemas.openxmlformats.org/officeDocument/2006/relationships" ref="AA213" r:id="rId212"/>
    <hyperlink xmlns:r="http://schemas.openxmlformats.org/officeDocument/2006/relationships" ref="AA214" r:id="rId213"/>
    <hyperlink xmlns:r="http://schemas.openxmlformats.org/officeDocument/2006/relationships" ref="AA215" r:id="rId214"/>
    <hyperlink xmlns:r="http://schemas.openxmlformats.org/officeDocument/2006/relationships" ref="AA216" r:id="rId215"/>
    <hyperlink xmlns:r="http://schemas.openxmlformats.org/officeDocument/2006/relationships" ref="AA217" r:id="rId216"/>
    <hyperlink xmlns:r="http://schemas.openxmlformats.org/officeDocument/2006/relationships" ref="AA218" r:id="rId217"/>
    <hyperlink xmlns:r="http://schemas.openxmlformats.org/officeDocument/2006/relationships" ref="AA219" r:id="rId218"/>
    <hyperlink xmlns:r="http://schemas.openxmlformats.org/officeDocument/2006/relationships" ref="AA220" r:id="rId219"/>
    <hyperlink xmlns:r="http://schemas.openxmlformats.org/officeDocument/2006/relationships" ref="AA221" r:id="rId220"/>
    <hyperlink xmlns:r="http://schemas.openxmlformats.org/officeDocument/2006/relationships" ref="AA222" r:id="rId221"/>
    <hyperlink xmlns:r="http://schemas.openxmlformats.org/officeDocument/2006/relationships" ref="AA223" r:id="rId222"/>
    <hyperlink xmlns:r="http://schemas.openxmlformats.org/officeDocument/2006/relationships" ref="AA224" r:id="rId223"/>
    <hyperlink xmlns:r="http://schemas.openxmlformats.org/officeDocument/2006/relationships" ref="AA225" r:id="rId224"/>
    <hyperlink xmlns:r="http://schemas.openxmlformats.org/officeDocument/2006/relationships" ref="AA226" r:id="rId225"/>
    <hyperlink xmlns:r="http://schemas.openxmlformats.org/officeDocument/2006/relationships" ref="AA227" r:id="rId226"/>
    <hyperlink xmlns:r="http://schemas.openxmlformats.org/officeDocument/2006/relationships" ref="AA228" r:id="rId227"/>
    <hyperlink xmlns:r="http://schemas.openxmlformats.org/officeDocument/2006/relationships" ref="AA229" r:id="rId228"/>
    <hyperlink xmlns:r="http://schemas.openxmlformats.org/officeDocument/2006/relationships" ref="AA230" r:id="rId229"/>
    <hyperlink xmlns:r="http://schemas.openxmlformats.org/officeDocument/2006/relationships" ref="AA231" r:id="rId230"/>
    <hyperlink xmlns:r="http://schemas.openxmlformats.org/officeDocument/2006/relationships" ref="AA232" r:id="rId231"/>
    <hyperlink xmlns:r="http://schemas.openxmlformats.org/officeDocument/2006/relationships" ref="AA233" r:id="rId232"/>
    <hyperlink xmlns:r="http://schemas.openxmlformats.org/officeDocument/2006/relationships" ref="AA234" r:id="rId233"/>
    <hyperlink xmlns:r="http://schemas.openxmlformats.org/officeDocument/2006/relationships" ref="AA235" r:id="rId234"/>
    <hyperlink xmlns:r="http://schemas.openxmlformats.org/officeDocument/2006/relationships" ref="AA236" r:id="rId235"/>
    <hyperlink xmlns:r="http://schemas.openxmlformats.org/officeDocument/2006/relationships" ref="AA237" r:id="rId236"/>
    <hyperlink xmlns:r="http://schemas.openxmlformats.org/officeDocument/2006/relationships" ref="AA238" r:id="rId237"/>
    <hyperlink xmlns:r="http://schemas.openxmlformats.org/officeDocument/2006/relationships" ref="AA239" r:id="rId238"/>
    <hyperlink xmlns:r="http://schemas.openxmlformats.org/officeDocument/2006/relationships" ref="AA240" r:id="rId239"/>
    <hyperlink xmlns:r="http://schemas.openxmlformats.org/officeDocument/2006/relationships" ref="AA241" r:id="rId240"/>
    <hyperlink xmlns:r="http://schemas.openxmlformats.org/officeDocument/2006/relationships" ref="AA242" r:id="rId241"/>
    <hyperlink xmlns:r="http://schemas.openxmlformats.org/officeDocument/2006/relationships" ref="AA243" r:id="rId242"/>
    <hyperlink xmlns:r="http://schemas.openxmlformats.org/officeDocument/2006/relationships" ref="AA244" r:id="rId243"/>
    <hyperlink xmlns:r="http://schemas.openxmlformats.org/officeDocument/2006/relationships" ref="AA245" r:id="rId244"/>
    <hyperlink xmlns:r="http://schemas.openxmlformats.org/officeDocument/2006/relationships" ref="AA246" r:id="rId245"/>
    <hyperlink xmlns:r="http://schemas.openxmlformats.org/officeDocument/2006/relationships" ref="AA247" r:id="rId246"/>
    <hyperlink xmlns:r="http://schemas.openxmlformats.org/officeDocument/2006/relationships" ref="AA248" r:id="rId247"/>
    <hyperlink xmlns:r="http://schemas.openxmlformats.org/officeDocument/2006/relationships" ref="AA249" r:id="rId248"/>
    <hyperlink xmlns:r="http://schemas.openxmlformats.org/officeDocument/2006/relationships" ref="AA250" r:id="rId249"/>
    <hyperlink xmlns:r="http://schemas.openxmlformats.org/officeDocument/2006/relationships" ref="AA251" r:id="rId250"/>
    <hyperlink xmlns:r="http://schemas.openxmlformats.org/officeDocument/2006/relationships" ref="AA252" r:id="rId251"/>
    <hyperlink xmlns:r="http://schemas.openxmlformats.org/officeDocument/2006/relationships" ref="AA253" r:id="rId252"/>
    <hyperlink xmlns:r="http://schemas.openxmlformats.org/officeDocument/2006/relationships" ref="AA254" r:id="rId253"/>
    <hyperlink xmlns:r="http://schemas.openxmlformats.org/officeDocument/2006/relationships" ref="AA255" r:id="rId254"/>
    <hyperlink xmlns:r="http://schemas.openxmlformats.org/officeDocument/2006/relationships" ref="AA256" r:id="rId255"/>
    <hyperlink xmlns:r="http://schemas.openxmlformats.org/officeDocument/2006/relationships" ref="AA257" r:id="rId256"/>
    <hyperlink xmlns:r="http://schemas.openxmlformats.org/officeDocument/2006/relationships" ref="AA258" r:id="rId257"/>
    <hyperlink xmlns:r="http://schemas.openxmlformats.org/officeDocument/2006/relationships" ref="AA259" r:id="rId258"/>
    <hyperlink xmlns:r="http://schemas.openxmlformats.org/officeDocument/2006/relationships" ref="AA260" r:id="rId259"/>
    <hyperlink xmlns:r="http://schemas.openxmlformats.org/officeDocument/2006/relationships" ref="AA261" r:id="rId260"/>
    <hyperlink xmlns:r="http://schemas.openxmlformats.org/officeDocument/2006/relationships" ref="AA262" r:id="rId261"/>
    <hyperlink xmlns:r="http://schemas.openxmlformats.org/officeDocument/2006/relationships" ref="AA263" r:id="rId262"/>
    <hyperlink xmlns:r="http://schemas.openxmlformats.org/officeDocument/2006/relationships" ref="AA264" r:id="rId263"/>
    <hyperlink xmlns:r="http://schemas.openxmlformats.org/officeDocument/2006/relationships" ref="AA265" r:id="rId264"/>
    <hyperlink xmlns:r="http://schemas.openxmlformats.org/officeDocument/2006/relationships" ref="AA266" r:id="rId265"/>
    <hyperlink xmlns:r="http://schemas.openxmlformats.org/officeDocument/2006/relationships" ref="AA267" r:id="rId266"/>
    <hyperlink xmlns:r="http://schemas.openxmlformats.org/officeDocument/2006/relationships" ref="AA268" r:id="rId267"/>
    <hyperlink xmlns:r="http://schemas.openxmlformats.org/officeDocument/2006/relationships" ref="AA269" r:id="rId268"/>
    <hyperlink xmlns:r="http://schemas.openxmlformats.org/officeDocument/2006/relationships" ref="AA270" r:id="rId269"/>
    <hyperlink xmlns:r="http://schemas.openxmlformats.org/officeDocument/2006/relationships" ref="AA271" r:id="rId270"/>
    <hyperlink xmlns:r="http://schemas.openxmlformats.org/officeDocument/2006/relationships" ref="AA272" r:id="rId271"/>
    <hyperlink xmlns:r="http://schemas.openxmlformats.org/officeDocument/2006/relationships" ref="AA273" r:id="rId272"/>
    <hyperlink xmlns:r="http://schemas.openxmlformats.org/officeDocument/2006/relationships" ref="AA274" r:id="rId273"/>
    <hyperlink xmlns:r="http://schemas.openxmlformats.org/officeDocument/2006/relationships" ref="AA275" r:id="rId274"/>
    <hyperlink xmlns:r="http://schemas.openxmlformats.org/officeDocument/2006/relationships" ref="AA276" r:id="rId275"/>
    <hyperlink xmlns:r="http://schemas.openxmlformats.org/officeDocument/2006/relationships" ref="AA277" r:id="rId276"/>
    <hyperlink xmlns:r="http://schemas.openxmlformats.org/officeDocument/2006/relationships" ref="AA278" r:id="rId277"/>
    <hyperlink xmlns:r="http://schemas.openxmlformats.org/officeDocument/2006/relationships" ref="AA279" r:id="rId278"/>
    <hyperlink xmlns:r="http://schemas.openxmlformats.org/officeDocument/2006/relationships" ref="AA280" r:id="rId279"/>
    <hyperlink xmlns:r="http://schemas.openxmlformats.org/officeDocument/2006/relationships" ref="AA281" r:id="rId280"/>
    <hyperlink xmlns:r="http://schemas.openxmlformats.org/officeDocument/2006/relationships" ref="AA282" r:id="rId281"/>
    <hyperlink xmlns:r="http://schemas.openxmlformats.org/officeDocument/2006/relationships" ref="AA283" r:id="rId282"/>
    <hyperlink xmlns:r="http://schemas.openxmlformats.org/officeDocument/2006/relationships" ref="AA284" r:id="rId283"/>
    <hyperlink xmlns:r="http://schemas.openxmlformats.org/officeDocument/2006/relationships" ref="AA285" r:id="rId284"/>
    <hyperlink xmlns:r="http://schemas.openxmlformats.org/officeDocument/2006/relationships" ref="AA286" r:id="rId285"/>
    <hyperlink xmlns:r="http://schemas.openxmlformats.org/officeDocument/2006/relationships" ref="AA287" r:id="rId286"/>
    <hyperlink xmlns:r="http://schemas.openxmlformats.org/officeDocument/2006/relationships" ref="AA288" r:id="rId287"/>
    <hyperlink xmlns:r="http://schemas.openxmlformats.org/officeDocument/2006/relationships" ref="AA289" r:id="rId288"/>
    <hyperlink xmlns:r="http://schemas.openxmlformats.org/officeDocument/2006/relationships" ref="AA290" r:id="rId289"/>
    <hyperlink xmlns:r="http://schemas.openxmlformats.org/officeDocument/2006/relationships" ref="AA291" r:id="rId290"/>
    <hyperlink xmlns:r="http://schemas.openxmlformats.org/officeDocument/2006/relationships" ref="AA292" r:id="rId291"/>
    <hyperlink xmlns:r="http://schemas.openxmlformats.org/officeDocument/2006/relationships" ref="AA293" r:id="rId292"/>
    <hyperlink xmlns:r="http://schemas.openxmlformats.org/officeDocument/2006/relationships" ref="AA294" r:id="rId293"/>
    <hyperlink xmlns:r="http://schemas.openxmlformats.org/officeDocument/2006/relationships" ref="AA295" r:id="rId294"/>
    <hyperlink xmlns:r="http://schemas.openxmlformats.org/officeDocument/2006/relationships" ref="AA296" r:id="rId295"/>
    <hyperlink xmlns:r="http://schemas.openxmlformats.org/officeDocument/2006/relationships" ref="AA297" r:id="rId296"/>
    <hyperlink xmlns:r="http://schemas.openxmlformats.org/officeDocument/2006/relationships" ref="AA298" r:id="rId297"/>
    <hyperlink xmlns:r="http://schemas.openxmlformats.org/officeDocument/2006/relationships" ref="AA299" r:id="rId298"/>
    <hyperlink xmlns:r="http://schemas.openxmlformats.org/officeDocument/2006/relationships" ref="AA300" r:id="rId299"/>
    <hyperlink xmlns:r="http://schemas.openxmlformats.org/officeDocument/2006/relationships" ref="AA301" r:id="rId300"/>
    <hyperlink xmlns:r="http://schemas.openxmlformats.org/officeDocument/2006/relationships" ref="AA302" r:id="rId301"/>
    <hyperlink xmlns:r="http://schemas.openxmlformats.org/officeDocument/2006/relationships" ref="AA303" r:id="rId302"/>
    <hyperlink xmlns:r="http://schemas.openxmlformats.org/officeDocument/2006/relationships" ref="AA304" r:id="rId303"/>
    <hyperlink xmlns:r="http://schemas.openxmlformats.org/officeDocument/2006/relationships" ref="AA305" r:id="rId304"/>
    <hyperlink xmlns:r="http://schemas.openxmlformats.org/officeDocument/2006/relationships" ref="AA306" r:id="rId305"/>
    <hyperlink xmlns:r="http://schemas.openxmlformats.org/officeDocument/2006/relationships" ref="AA307" r:id="rId30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62"/>
  <sheetViews>
    <sheetView workbookViewId="0">
      <selection activeCell="A1" sqref="A1:I62"/>
    </sheetView>
  </sheetViews>
  <sheetFormatPr baseColWidth="8" defaultRowHeight="13.8"/>
  <sheetData>
    <row r="1" ht="28.8" customHeight="1" s="2">
      <c r="A1" s="18" t="inlineStr">
        <is>
          <t>Journey / Criteria</t>
        </is>
      </c>
      <c r="B1" s="18" t="n">
        <v>1</v>
      </c>
      <c r="C1" s="18" t="n">
        <v>2</v>
      </c>
      <c r="D1" s="18" t="n">
        <v>3</v>
      </c>
      <c r="E1" s="18" t="n">
        <v>4</v>
      </c>
      <c r="F1" s="18" t="n">
        <v>5</v>
      </c>
      <c r="G1" s="18" t="n">
        <v>6</v>
      </c>
      <c r="H1" s="18" t="n">
        <v>7</v>
      </c>
      <c r="I1" s="18" t="n">
        <v>8</v>
      </c>
    </row>
    <row r="2" ht="96.59999999999999" customHeight="1" s="2">
      <c r="A2" s="19" t="inlineStr">
        <is>
          <t>Epic / Journey Type</t>
        </is>
      </c>
      <c r="B2" s="19" t="inlineStr">
        <is>
          <t>Dashboard - Loan</t>
        </is>
      </c>
      <c r="C2" s="19" t="inlineStr">
        <is>
          <t>Dashboard - Loan</t>
        </is>
      </c>
      <c r="D2" s="19" t="inlineStr">
        <is>
          <t>Dashboard - Loan</t>
        </is>
      </c>
      <c r="E2" s="19" t="inlineStr">
        <is>
          <t>Dashboard - Loan</t>
        </is>
      </c>
      <c r="F2" s="19" t="inlineStr">
        <is>
          <t>Dashboard - Loan</t>
        </is>
      </c>
      <c r="G2" s="19" t="inlineStr">
        <is>
          <t>Dashboard - Loan</t>
        </is>
      </c>
      <c r="H2" s="19" t="inlineStr">
        <is>
          <t>Dashboard - Credit Card / Card Management</t>
        </is>
      </c>
      <c r="I2" s="19" t="inlineStr">
        <is>
          <t>Dashboard - Credit Card / Card Management</t>
        </is>
      </c>
    </row>
    <row r="3" ht="55.2" customHeight="1" s="2">
      <c r="A3" s="19" t="inlineStr">
        <is>
          <t>Product / Service Type</t>
        </is>
      </c>
      <c r="B3" s="19" t="inlineStr">
        <is>
          <t>Personal Loan (Conventional)</t>
        </is>
      </c>
      <c r="C3" s="19" t="inlineStr">
        <is>
          <t>Personal Loan (Shariah)</t>
        </is>
      </c>
      <c r="D3" s="19" t="inlineStr">
        <is>
          <t>Auto Loan (Conventional)</t>
        </is>
      </c>
      <c r="E3" s="19" t="inlineStr">
        <is>
          <t>Auto Loan (Shariah)</t>
        </is>
      </c>
      <c r="F3" s="19" t="inlineStr">
        <is>
          <t>Mortgage Loan (Conventional)</t>
        </is>
      </c>
      <c r="G3" s="19" t="inlineStr">
        <is>
          <t>Mortgage Loan (Shariah)</t>
        </is>
      </c>
      <c r="H3" s="19" t="inlineStr">
        <is>
          <t>Credit Card (Visa/Mastercard)</t>
        </is>
      </c>
      <c r="I3" s="19" t="inlineStr">
        <is>
          <t>Credit Card (JCB)</t>
        </is>
      </c>
    </row>
    <row r="4" ht="55.2" customHeight="1" s="2">
      <c r="A4" s="19" t="inlineStr">
        <is>
          <t>Entry Point</t>
        </is>
      </c>
      <c r="B4" s="19" t="inlineStr">
        <is>
          <t>Loan Dashboard - Landing</t>
        </is>
      </c>
      <c r="C4" s="19" t="inlineStr">
        <is>
          <t>Loan Dashboard - Landing</t>
        </is>
      </c>
      <c r="D4" s="19" t="inlineStr">
        <is>
          <t>Loan Dashboard - Landing</t>
        </is>
      </c>
      <c r="E4" s="19" t="inlineStr">
        <is>
          <t>Loan Dashboard - Landing</t>
        </is>
      </c>
      <c r="F4" s="19" t="inlineStr">
        <is>
          <t>Loan Dashboard - Landing</t>
        </is>
      </c>
      <c r="G4" s="19" t="inlineStr">
        <is>
          <t>Loan Dashboard - Landing</t>
        </is>
      </c>
      <c r="H4" s="19" t="inlineStr">
        <is>
          <t>CC Dashboard - Landing</t>
        </is>
      </c>
      <c r="I4" s="19" t="inlineStr">
        <is>
          <t>CC Dashboard - Landing</t>
        </is>
      </c>
    </row>
    <row r="5" ht="82.8" customHeight="1" s="2">
      <c r="A5" s="19" t="inlineStr">
        <is>
          <t>Customer / User Type</t>
        </is>
      </c>
      <c r="B5" s="19" t="inlineStr">
        <is>
          <t>Loan account holder</t>
        </is>
      </c>
      <c r="C5" s="19" t="inlineStr">
        <is>
          <t>Loan account holder</t>
        </is>
      </c>
      <c r="D5" s="19" t="inlineStr">
        <is>
          <t>Loan account holder</t>
        </is>
      </c>
      <c r="E5" s="19" t="inlineStr">
        <is>
          <t>Loan account holder</t>
        </is>
      </c>
      <c r="F5" s="19" t="inlineStr">
        <is>
          <t>Loan account holder</t>
        </is>
      </c>
      <c r="G5" s="19" t="inlineStr">
        <is>
          <t>Loan account holder</t>
        </is>
      </c>
      <c r="H5" s="19" t="inlineStr">
        <is>
          <t>Principal cardholder and supplementary context</t>
        </is>
      </c>
      <c r="I5" s="19" t="inlineStr">
        <is>
          <t>Principal cardholder and supplementary context</t>
        </is>
      </c>
    </row>
    <row r="6" ht="69" customHeight="1" s="2">
      <c r="A6" s="19" t="inlineStr">
        <is>
          <t>Channel / Mode</t>
        </is>
      </c>
      <c r="B6" s="19" t="inlineStr">
        <is>
          <t>NGA App - Account Dashboard Financing</t>
        </is>
      </c>
      <c r="C6" s="19" t="inlineStr">
        <is>
          <t>NGA App - Account Dashboard Financing</t>
        </is>
      </c>
      <c r="D6" s="19" t="inlineStr">
        <is>
          <t>NGA App - Account Dashboard Financing</t>
        </is>
      </c>
      <c r="E6" s="19" t="inlineStr">
        <is>
          <t>NGA App - Account Dashboard Financing</t>
        </is>
      </c>
      <c r="F6" s="19" t="inlineStr">
        <is>
          <t>NGA App - Account Dashboard Financing</t>
        </is>
      </c>
      <c r="G6" s="19" t="inlineStr">
        <is>
          <t>NGA App - Account Dashboard Financing</t>
        </is>
      </c>
      <c r="H6" s="19" t="inlineStr">
        <is>
          <t>NGA App - Account Dashboard Financing</t>
        </is>
      </c>
      <c r="I6" s="19" t="inlineStr">
        <is>
          <t>NGA App - Account Dashboard Financing</t>
        </is>
      </c>
    </row>
    <row r="7" ht="82.8" customHeight="1" s="2">
      <c r="A7" s="19" t="inlineStr">
        <is>
          <t>Security / Authentication Required</t>
        </is>
      </c>
      <c r="B7" s="19" t="inlineStr">
        <is>
          <t>Not specified in FSD</t>
        </is>
      </c>
      <c r="C7" s="19" t="inlineStr">
        <is>
          <t>Not specified in FSD</t>
        </is>
      </c>
      <c r="D7" s="19" t="inlineStr">
        <is>
          <t>Not specified in FSD</t>
        </is>
      </c>
      <c r="E7" s="19" t="inlineStr">
        <is>
          <t>Not specified in FSD</t>
        </is>
      </c>
      <c r="F7" s="19" t="inlineStr">
        <is>
          <t>Not specified in FSD</t>
        </is>
      </c>
      <c r="G7" s="19" t="inlineStr">
        <is>
          <t>Not specified in FSD</t>
        </is>
      </c>
      <c r="H7" s="19" t="inlineStr">
        <is>
          <t>A&amp;A - refer to Authentication &amp; Authorisation FSD</t>
        </is>
      </c>
      <c r="I7" s="19" t="inlineStr">
        <is>
          <t>A&amp;A - refer to Authentication &amp; Authorisation FSD</t>
        </is>
      </c>
    </row>
    <row r="8" ht="193.2" customHeight="1" s="2">
      <c r="A8" s="19" t="inlineStr">
        <is>
          <t>Possible Final Status</t>
        </is>
      </c>
      <c r="B8" s="19" t="inlineStr">
        <is>
          <t>Active / Overdue / Closed</t>
        </is>
      </c>
      <c r="C8" s="19" t="inlineStr">
        <is>
          <t>Active / Overdue / Closed</t>
        </is>
      </c>
      <c r="D8" s="19" t="inlineStr">
        <is>
          <t>Active / Overdue / Closed</t>
        </is>
      </c>
      <c r="E8" s="19" t="inlineStr">
        <is>
          <t>Active / Overdue / Closed</t>
        </is>
      </c>
      <c r="F8" s="19" t="inlineStr">
        <is>
          <t>Active / Overdue / Closed</t>
        </is>
      </c>
      <c r="G8" s="19" t="inlineStr">
        <is>
          <t>Active / Overdue / Closed</t>
        </is>
      </c>
      <c r="H8" s="19" t="inlineStr">
        <is>
          <t>Request submitted / Request unsuccessful / Authorisation failed / Processing / Completed (per feature)</t>
        </is>
      </c>
      <c r="I8" s="19" t="inlineStr">
        <is>
          <t>Request submitted / Request unsuccessful / Authorisation failed / Processing / Completed (per feature)</t>
        </is>
      </c>
    </row>
    <row r="9" ht="82.8" customHeight="1" s="2">
      <c r="A9" s="19" t="inlineStr">
        <is>
          <t>Common Rules Reference</t>
        </is>
      </c>
      <c r="B9" s="19" t="inlineStr">
        <is>
          <t>Refer to Account Dashboard Common FSD</t>
        </is>
      </c>
      <c r="C9" s="19" t="inlineStr">
        <is>
          <t>Refer to Account Dashboard Common FSD</t>
        </is>
      </c>
      <c r="D9" s="19" t="inlineStr">
        <is>
          <t>Refer to Account Dashboard Common FSD</t>
        </is>
      </c>
      <c r="E9" s="19" t="inlineStr">
        <is>
          <t>Refer to Account Dashboard Common FSD</t>
        </is>
      </c>
      <c r="F9" s="19" t="inlineStr">
        <is>
          <t>Refer to Account Dashboard Common FSD</t>
        </is>
      </c>
      <c r="G9" s="19" t="inlineStr">
        <is>
          <t>Refer to Account Dashboard Common FSD</t>
        </is>
      </c>
      <c r="H9" s="19" t="inlineStr">
        <is>
          <t>Refer to Account Dashboard Common FSD</t>
        </is>
      </c>
      <c r="I9" s="19" t="inlineStr">
        <is>
          <t>Refer to Account Dashboard Common FSD</t>
        </is>
      </c>
    </row>
    <row r="10" ht="55.2" customHeight="1" s="2">
      <c r="A10" s="19" t="inlineStr">
        <is>
          <t>1.1 Loan Dashboard - Landing</t>
        </is>
      </c>
      <c r="B10" s="19" t="inlineStr">
        <is>
          <t>Step 1</t>
        </is>
      </c>
      <c r="C10" s="19" t="inlineStr">
        <is>
          <t>Step 1</t>
        </is>
      </c>
      <c r="D10" s="19" t="inlineStr">
        <is>
          <t>Step 1</t>
        </is>
      </c>
      <c r="E10" s="19" t="inlineStr">
        <is>
          <t>Step 1</t>
        </is>
      </c>
      <c r="F10" s="19" t="inlineStr">
        <is>
          <t>Step 1</t>
        </is>
      </c>
      <c r="G10" s="19" t="inlineStr">
        <is>
          <t>Step 1</t>
        </is>
      </c>
      <c r="H10" s="19" t="n"/>
      <c r="I10" s="19" t="n"/>
    </row>
    <row r="11" ht="41.4" customHeight="1" s="2">
      <c r="A11" s="19" t="inlineStr">
        <is>
          <t>1.2 Personal Loan Acc</t>
        </is>
      </c>
      <c r="B11" s="19" t="inlineStr">
        <is>
          <t>Step 2</t>
        </is>
      </c>
      <c r="C11" s="19" t="n"/>
      <c r="D11" s="19" t="n"/>
      <c r="E11" s="19" t="n"/>
      <c r="F11" s="19" t="n"/>
      <c r="G11" s="19" t="n"/>
      <c r="H11" s="19" t="n"/>
      <c r="I11" s="19" t="n"/>
    </row>
    <row r="12" ht="96.59999999999999" customHeight="1" s="2">
      <c r="A12" s="19" t="inlineStr">
        <is>
          <t>1.2.1 View All Trans</t>
        </is>
      </c>
      <c r="B12" s="19" t="inlineStr">
        <is>
          <t>Conditional Step 3 - when View all transactions is selected</t>
        </is>
      </c>
      <c r="C12" s="19" t="inlineStr">
        <is>
          <t>Conditional Step 3 - when View all transactions is selected</t>
        </is>
      </c>
      <c r="D12" s="19" t="inlineStr">
        <is>
          <t>Conditional Step 3 - when View all transactions is selected</t>
        </is>
      </c>
      <c r="E12" s="19" t="inlineStr">
        <is>
          <t>Conditional Step 3 - when View all transactions is selected</t>
        </is>
      </c>
      <c r="F12" s="19" t="inlineStr">
        <is>
          <t>Conditional Step 3 - when View all transactions is selected</t>
        </is>
      </c>
      <c r="G12" s="19" t="inlineStr">
        <is>
          <t>Conditional Step 3 - when View all transactions is selected</t>
        </is>
      </c>
      <c r="H12" s="19" t="n"/>
      <c r="I12" s="19" t="n"/>
    </row>
    <row r="13" ht="69" customHeight="1" s="2">
      <c r="A13" s="19" t="inlineStr">
        <is>
          <t>1.2.2 PL Conventional Summary</t>
        </is>
      </c>
      <c r="B13" s="19" t="inlineStr">
        <is>
          <t>Step 4</t>
        </is>
      </c>
      <c r="C13" s="19" t="n"/>
      <c r="D13" s="19" t="n"/>
      <c r="E13" s="19" t="n"/>
      <c r="F13" s="19" t="n"/>
      <c r="G13" s="19" t="n"/>
      <c r="H13" s="19" t="n"/>
      <c r="I13" s="19" t="n"/>
    </row>
    <row r="14" ht="55.2" customHeight="1" s="2">
      <c r="A14" s="19" t="inlineStr">
        <is>
          <t>1.2.3 PL Conventional Manage</t>
        </is>
      </c>
      <c r="B14" s="19" t="inlineStr">
        <is>
          <t>Step 5</t>
        </is>
      </c>
      <c r="C14" s="19" t="n"/>
      <c r="D14" s="19" t="n"/>
      <c r="E14" s="19" t="n"/>
      <c r="F14" s="19" t="n"/>
      <c r="G14" s="19" t="n"/>
      <c r="H14" s="19" t="n"/>
      <c r="I14" s="19" t="n"/>
    </row>
    <row r="15" ht="41.4" customHeight="1" s="2">
      <c r="A15" s="19" t="inlineStr">
        <is>
          <t>1.2.4 PL Shariah Acc</t>
        </is>
      </c>
      <c r="B15" s="19" t="n"/>
      <c r="C15" s="19" t="inlineStr">
        <is>
          <t>Step 6</t>
        </is>
      </c>
      <c r="D15" s="19" t="n"/>
      <c r="E15" s="19" t="n"/>
      <c r="F15" s="19" t="n"/>
      <c r="G15" s="19" t="n"/>
      <c r="H15" s="19" t="n"/>
      <c r="I15" s="19" t="n"/>
    </row>
    <row r="16" ht="55.2" customHeight="1" s="2">
      <c r="A16" s="19" t="inlineStr">
        <is>
          <t>1.2.5 PL Shariah Summary</t>
        </is>
      </c>
      <c r="B16" s="19" t="n"/>
      <c r="C16" s="19" t="inlineStr">
        <is>
          <t>Step 7</t>
        </is>
      </c>
      <c r="D16" s="19" t="n"/>
      <c r="E16" s="19" t="n"/>
      <c r="F16" s="19" t="n"/>
      <c r="G16" s="19" t="n"/>
      <c r="H16" s="19" t="n"/>
      <c r="I16" s="19" t="n"/>
    </row>
    <row r="17" ht="41.4" customHeight="1" s="2">
      <c r="A17" s="19" t="inlineStr">
        <is>
          <t>1.2.6 PL Shariah Manage</t>
        </is>
      </c>
      <c r="B17" s="19" t="n"/>
      <c r="C17" s="19" t="inlineStr">
        <is>
          <t>Step 8</t>
        </is>
      </c>
      <c r="D17" s="19" t="n"/>
      <c r="E17" s="19" t="n"/>
      <c r="F17" s="19" t="n"/>
      <c r="G17" s="19" t="n"/>
      <c r="H17" s="19" t="n"/>
      <c r="I17" s="19" t="n"/>
    </row>
    <row r="18" ht="27.6" customHeight="1" s="2">
      <c r="A18" s="19" t="inlineStr">
        <is>
          <t>1.3 Auto Loan Acc</t>
        </is>
      </c>
      <c r="B18" s="19" t="n"/>
      <c r="C18" s="19" t="n"/>
      <c r="D18" s="19" t="inlineStr">
        <is>
          <t>Step 9</t>
        </is>
      </c>
      <c r="E18" s="19" t="n"/>
      <c r="F18" s="19" t="n"/>
      <c r="G18" s="19" t="n"/>
      <c r="H18" s="19" t="n"/>
      <c r="I18" s="19" t="n"/>
    </row>
    <row r="19" ht="41.4" customHeight="1" s="2">
      <c r="A19" s="19" t="inlineStr">
        <is>
          <t>1.3.1 Auto Loan Shariah</t>
        </is>
      </c>
      <c r="B19" s="19" t="n"/>
      <c r="C19" s="19" t="n"/>
      <c r="D19" s="19" t="n"/>
      <c r="E19" s="19" t="inlineStr">
        <is>
          <t>Step 10</t>
        </is>
      </c>
      <c r="F19" s="19" t="n"/>
      <c r="G19" s="19" t="n"/>
      <c r="H19" s="19" t="n"/>
      <c r="I19" s="19" t="n"/>
    </row>
    <row r="20" ht="41.4" customHeight="1" s="2">
      <c r="A20" s="19" t="inlineStr">
        <is>
          <t>1.4 Mortgage Loan Acc</t>
        </is>
      </c>
      <c r="B20" s="19" t="n"/>
      <c r="C20" s="19" t="n"/>
      <c r="D20" s="19" t="n"/>
      <c r="E20" s="19" t="n"/>
      <c r="F20" s="19" t="inlineStr">
        <is>
          <t>Step 11</t>
        </is>
      </c>
      <c r="G20" s="19" t="n"/>
      <c r="H20" s="19" t="n"/>
      <c r="I20" s="19" t="n"/>
    </row>
    <row r="21" ht="55.2" customHeight="1" s="2">
      <c r="A21" s="19" t="inlineStr">
        <is>
          <t>1.4.1 Mortgage Loan Shariah</t>
        </is>
      </c>
      <c r="B21" s="19" t="n"/>
      <c r="C21" s="19" t="n"/>
      <c r="D21" s="19" t="n"/>
      <c r="E21" s="19" t="n"/>
      <c r="F21" s="19" t="n"/>
      <c r="G21" s="19" t="inlineStr">
        <is>
          <t>Step 12</t>
        </is>
      </c>
      <c r="H21" s="19" t="n"/>
      <c r="I21" s="19" t="n"/>
    </row>
    <row r="22" ht="55.2" customHeight="1" s="2">
      <c r="A22" s="19" t="inlineStr">
        <is>
          <t>2.1 CC Dashboard - Landing</t>
        </is>
      </c>
      <c r="B22" s="19" t="n"/>
      <c r="C22" s="19" t="n"/>
      <c r="D22" s="19" t="n"/>
      <c r="E22" s="19" t="n"/>
      <c r="F22" s="19" t="n"/>
      <c r="G22" s="19" t="n"/>
      <c r="H22" s="19" t="inlineStr">
        <is>
          <t>Step 13</t>
        </is>
      </c>
      <c r="I22" s="19" t="inlineStr">
        <is>
          <t>Step 13</t>
        </is>
      </c>
    </row>
    <row r="23" ht="110.4" customHeight="1" s="2">
      <c r="A23" s="19" t="inlineStr">
        <is>
          <t>2.1.2 Card Details</t>
        </is>
      </c>
      <c r="B23" s="19" t="n"/>
      <c r="C23" s="19" t="n"/>
      <c r="D23" s="19" t="n"/>
      <c r="E23" s="19" t="n"/>
      <c r="F23" s="19" t="n"/>
      <c r="G23" s="19" t="n"/>
      <c r="H23" s="19" t="inlineStr">
        <is>
          <t>Optional Step 14 - when Card Details quick action is tapped</t>
        </is>
      </c>
      <c r="I23" s="19" t="inlineStr">
        <is>
          <t>Optional Step 14 - when Card Details quick action is tapped</t>
        </is>
      </c>
    </row>
    <row r="24" ht="110.4" customHeight="1" s="2">
      <c r="A24" s="19" t="inlineStr">
        <is>
          <t>2.1.3 CC Activation</t>
        </is>
      </c>
      <c r="B24" s="19" t="n"/>
      <c r="C24" s="19" t="n"/>
      <c r="D24" s="19" t="n"/>
      <c r="E24" s="19" t="n"/>
      <c r="F24" s="19" t="n"/>
      <c r="G24" s="19" t="n"/>
      <c r="H24" s="19" t="inlineStr">
        <is>
          <t>Conditional Step 15 - pending activation and card type Visa/Mastercard</t>
        </is>
      </c>
      <c r="I24" s="19" t="n"/>
    </row>
    <row r="25" ht="82.8" customHeight="1" s="2">
      <c r="A25" s="19" t="inlineStr">
        <is>
          <t>2.1.4 JCB CC Activation</t>
        </is>
      </c>
      <c r="B25" s="19" t="n"/>
      <c r="C25" s="19" t="n"/>
      <c r="D25" s="19" t="n"/>
      <c r="E25" s="19" t="n"/>
      <c r="F25" s="19" t="n"/>
      <c r="G25" s="19" t="n"/>
      <c r="H25" s="19" t="n"/>
      <c r="I25" s="19" t="inlineStr">
        <is>
          <t>Conditional Step 16 - pending activation and card type JCB</t>
        </is>
      </c>
    </row>
    <row r="26" ht="41.4" customHeight="1" s="2">
      <c r="A26" s="19" t="inlineStr">
        <is>
          <t>2.2 CC &gt; Transactions</t>
        </is>
      </c>
      <c r="B26" s="19" t="n"/>
      <c r="C26" s="19" t="n"/>
      <c r="D26" s="19" t="n"/>
      <c r="E26" s="19" t="n"/>
      <c r="F26" s="19" t="n"/>
      <c r="G26" s="19" t="n"/>
      <c r="H26" s="19" t="inlineStr">
        <is>
          <t>Step 17</t>
        </is>
      </c>
      <c r="I26" s="19" t="inlineStr">
        <is>
          <t>Step 17</t>
        </is>
      </c>
    </row>
    <row r="27" ht="96.59999999999999" customHeight="1" s="2">
      <c r="A27" s="19" t="inlineStr">
        <is>
          <t>2.2.1 CC View All Trans</t>
        </is>
      </c>
      <c r="B27" s="19" t="n"/>
      <c r="C27" s="19" t="n"/>
      <c r="D27" s="19" t="n"/>
      <c r="E27" s="19" t="n"/>
      <c r="F27" s="19" t="n"/>
      <c r="G27" s="19" t="n"/>
      <c r="H27" s="19" t="inlineStr">
        <is>
          <t>Optional Step 18 - when View all transactions is selected</t>
        </is>
      </c>
      <c r="I27" s="19" t="inlineStr">
        <is>
          <t>Optional Step 18 - when View all transactions is selected</t>
        </is>
      </c>
    </row>
    <row r="28" ht="69" customHeight="1" s="2">
      <c r="A28" s="19" t="inlineStr">
        <is>
          <t>2.2.1.1 Convert TREATS</t>
        </is>
      </c>
      <c r="B28" s="19" t="n"/>
      <c r="C28" s="19" t="n"/>
      <c r="D28" s="19" t="n"/>
      <c r="E28" s="19" t="n"/>
      <c r="F28" s="19" t="n"/>
      <c r="G28" s="19" t="n"/>
      <c r="H28" s="19" t="inlineStr">
        <is>
          <t>Conditional Step 19 - Refer to Rewards FSD</t>
        </is>
      </c>
      <c r="I28" s="19" t="inlineStr">
        <is>
          <t>Conditional Step 19 - Refer to Rewards FSD</t>
        </is>
      </c>
    </row>
    <row r="29" ht="110.4" customHeight="1" s="2">
      <c r="A29" s="19" t="inlineStr">
        <is>
          <t>2.2.1.2 View Receipts</t>
        </is>
      </c>
      <c r="B29" s="19" t="n"/>
      <c r="C29" s="19" t="n"/>
      <c r="D29" s="19" t="n"/>
      <c r="E29" s="19" t="n"/>
      <c r="F29" s="19" t="n"/>
      <c r="G29" s="19" t="n"/>
      <c r="H29" s="19" t="inlineStr">
        <is>
          <t>Conditional Step 20 - when receipt-eligible transaction is selected</t>
        </is>
      </c>
      <c r="I29" s="19" t="inlineStr">
        <is>
          <t>Conditional Step 20 - when receipt-eligible transaction is selected</t>
        </is>
      </c>
    </row>
    <row r="30" ht="124.2" customHeight="1" s="2">
      <c r="A30" s="19" t="inlineStr">
        <is>
          <t>2.2.1.3 Card Statement</t>
        </is>
      </c>
      <c r="B30" s="19" t="n"/>
      <c r="C30" s="19" t="n"/>
      <c r="D30" s="19" t="n"/>
      <c r="E30" s="19" t="n"/>
      <c r="F30" s="19" t="n"/>
      <c r="G30" s="19" t="n"/>
      <c r="H30" s="19" t="inlineStr">
        <is>
          <t>Conditional Step 21 - Needs PO/BA clarification (JIRA TBC; integration "?")</t>
        </is>
      </c>
      <c r="I30" s="19" t="inlineStr">
        <is>
          <t>Conditional Step 21 - Needs PO/BA clarification (JIRA TBC; integration "?")</t>
        </is>
      </c>
    </row>
    <row r="31" ht="41.4" customHeight="1" s="2">
      <c r="A31" s="19" t="inlineStr">
        <is>
          <t>2.3 CC &gt; Summary</t>
        </is>
      </c>
      <c r="B31" s="19" t="n"/>
      <c r="C31" s="19" t="n"/>
      <c r="D31" s="19" t="n"/>
      <c r="E31" s="19" t="n"/>
      <c r="F31" s="19" t="n"/>
      <c r="G31" s="19" t="n"/>
      <c r="H31" s="19" t="inlineStr">
        <is>
          <t>Step 22</t>
        </is>
      </c>
      <c r="I31" s="19" t="inlineStr">
        <is>
          <t>Step 22</t>
        </is>
      </c>
    </row>
    <row r="32" ht="27.6" customHeight="1" s="2">
      <c r="A32" s="19" t="inlineStr">
        <is>
          <t>2.4 CC &gt; Manage</t>
        </is>
      </c>
      <c r="B32" s="19" t="n"/>
      <c r="C32" s="19" t="n"/>
      <c r="D32" s="19" t="n"/>
      <c r="E32" s="19" t="n"/>
      <c r="F32" s="19" t="n"/>
      <c r="G32" s="19" t="n"/>
      <c r="H32" s="19" t="inlineStr">
        <is>
          <t>Step 23</t>
        </is>
      </c>
      <c r="I32" s="19" t="inlineStr">
        <is>
          <t>Step 23</t>
        </is>
      </c>
    </row>
    <row r="33" ht="82.8" customHeight="1" s="2">
      <c r="A33" s="19" t="inlineStr">
        <is>
          <t>2.4.1 XCash</t>
        </is>
      </c>
      <c r="B33" s="19" t="n"/>
      <c r="C33" s="19" t="n"/>
      <c r="D33" s="19" t="n"/>
      <c r="E33" s="19" t="n"/>
      <c r="F33" s="19" t="n"/>
      <c r="G33" s="19" t="n"/>
      <c r="H33" s="19" t="inlineStr">
        <is>
          <t>Conditional Step 24 - if XCash eligible and enabled</t>
        </is>
      </c>
      <c r="I33" s="19" t="inlineStr">
        <is>
          <t>Conditional Step 24 - if XCash eligible and enabled</t>
        </is>
      </c>
    </row>
    <row r="34" ht="82.8" customHeight="1" s="2">
      <c r="A34" s="19" t="inlineStr">
        <is>
          <t>2.4.1.1 XCash Apply Input</t>
        </is>
      </c>
      <c r="B34" s="19" t="n"/>
      <c r="C34" s="19" t="n"/>
      <c r="D34" s="19" t="n"/>
      <c r="E34" s="19" t="n"/>
      <c r="F34" s="19" t="n"/>
      <c r="G34" s="19" t="n"/>
      <c r="H34" s="19" t="inlineStr">
        <is>
          <t>Conditional Step 25 - if proceeding with XCash</t>
        </is>
      </c>
      <c r="I34" s="19" t="inlineStr">
        <is>
          <t>Conditional Step 25 - if proceeding with XCash</t>
        </is>
      </c>
    </row>
    <row r="35" ht="82.8" customHeight="1" s="2">
      <c r="A35" s="19" t="inlineStr">
        <is>
          <t>2.4.1.2 XCash Apply Acc</t>
        </is>
      </c>
      <c r="B35" s="19" t="n"/>
      <c r="C35" s="19" t="n"/>
      <c r="D35" s="19" t="n"/>
      <c r="E35" s="19" t="n"/>
      <c r="F35" s="19" t="n"/>
      <c r="G35" s="19" t="n"/>
      <c r="H35" s="19" t="inlineStr">
        <is>
          <t>Conditional Step 26 - if proceeding with XCash</t>
        </is>
      </c>
      <c r="I35" s="19" t="inlineStr">
        <is>
          <t>Conditional Step 26 - if proceeding with XCash</t>
        </is>
      </c>
    </row>
    <row r="36" ht="82.8" customHeight="1" s="2">
      <c r="A36" s="19" t="inlineStr">
        <is>
          <t>2.4.1.3 XCash Apply TnC</t>
        </is>
      </c>
      <c r="B36" s="19" t="n"/>
      <c r="C36" s="19" t="n"/>
      <c r="D36" s="19" t="n"/>
      <c r="E36" s="19" t="n"/>
      <c r="F36" s="19" t="n"/>
      <c r="G36" s="19" t="n"/>
      <c r="H36" s="19" t="inlineStr">
        <is>
          <t>Conditional Step 27 - if proceeding with XCash</t>
        </is>
      </c>
      <c r="I36" s="19" t="inlineStr">
        <is>
          <t>Conditional Step 27 - if proceeding with XCash</t>
        </is>
      </c>
    </row>
    <row r="37" ht="82.8" customHeight="1" s="2">
      <c r="A37" s="19" t="inlineStr">
        <is>
          <t>2.4.1.4 XCash Apply Confirm</t>
        </is>
      </c>
      <c r="B37" s="19" t="n"/>
      <c r="C37" s="19" t="n"/>
      <c r="D37" s="19" t="n"/>
      <c r="E37" s="19" t="n"/>
      <c r="F37" s="19" t="n"/>
      <c r="G37" s="19" t="n"/>
      <c r="H37" s="19" t="inlineStr">
        <is>
          <t>Conditional Step 28 - if proceeding with XCash</t>
        </is>
      </c>
      <c r="I37" s="19" t="inlineStr">
        <is>
          <t>Conditional Step 28 - if proceeding with XCash</t>
        </is>
      </c>
    </row>
    <row r="38" ht="82.8" customHeight="1" s="2">
      <c r="A38" s="19" t="inlineStr">
        <is>
          <t>2.4.1.5 XCash Apply Ack</t>
        </is>
      </c>
      <c r="B38" s="19" t="n"/>
      <c r="C38" s="19" t="n"/>
      <c r="D38" s="19" t="n"/>
      <c r="E38" s="19" t="n"/>
      <c r="F38" s="19" t="n"/>
      <c r="G38" s="19" t="n"/>
      <c r="H38" s="19" t="inlineStr">
        <is>
          <t>Conditional Step 29 - if proceeding with XCash</t>
        </is>
      </c>
      <c r="I38" s="19" t="inlineStr">
        <is>
          <t>Conditional Step 29 - if proceeding with XCash</t>
        </is>
      </c>
    </row>
    <row r="39" ht="82.8" customHeight="1" s="2">
      <c r="A39" s="19" t="inlineStr">
        <is>
          <t>2.4.1.6 XCash Rcpt &amp; Notif</t>
        </is>
      </c>
      <c r="B39" s="19" t="n"/>
      <c r="C39" s="19" t="n"/>
      <c r="D39" s="19" t="n"/>
      <c r="E39" s="19" t="n"/>
      <c r="F39" s="19" t="n"/>
      <c r="G39" s="19" t="n"/>
      <c r="H39" s="19" t="inlineStr">
        <is>
          <t>Conditional Step 30 - if proceeding with XCash</t>
        </is>
      </c>
      <c r="I39" s="19" t="inlineStr">
        <is>
          <t>Conditional Step 30 - if proceeding with XCash</t>
        </is>
      </c>
    </row>
    <row r="40" ht="82.8" customHeight="1" s="2">
      <c r="A40" s="19" t="inlineStr">
        <is>
          <t>2.4.2 Instalment Convert</t>
        </is>
      </c>
      <c r="B40" s="19" t="n"/>
      <c r="C40" s="19" t="n"/>
      <c r="D40" s="19" t="n"/>
      <c r="E40" s="19" t="n"/>
      <c r="F40" s="19" t="n"/>
      <c r="G40" s="19" t="n"/>
      <c r="H40" s="19" t="inlineStr">
        <is>
          <t>Conditional Step 31 - if eligible transaction exists</t>
        </is>
      </c>
      <c r="I40" s="19" t="inlineStr">
        <is>
          <t>Conditional Step 31 - if eligible transaction exists</t>
        </is>
      </c>
    </row>
    <row r="41" ht="124.2" customHeight="1" s="2">
      <c r="A41" s="19" t="inlineStr">
        <is>
          <t>2.4.2.1 Inst Conv TnC</t>
        </is>
      </c>
      <c r="B41" s="19" t="n"/>
      <c r="C41" s="19" t="n"/>
      <c r="D41" s="19" t="n"/>
      <c r="E41" s="19" t="n"/>
      <c r="F41" s="19" t="n"/>
      <c r="G41" s="19" t="n"/>
      <c r="H41" s="19" t="inlineStr">
        <is>
          <t>Conditional Step 32 - if proceeding with instalment conversion</t>
        </is>
      </c>
      <c r="I41" s="19" t="inlineStr">
        <is>
          <t>Conditional Step 32 - if proceeding with instalment conversion</t>
        </is>
      </c>
    </row>
    <row r="42" ht="124.2" customHeight="1" s="2">
      <c r="A42" s="19" t="inlineStr">
        <is>
          <t>2.4.2.2 Inst Conv Confirm</t>
        </is>
      </c>
      <c r="B42" s="19" t="n"/>
      <c r="C42" s="19" t="n"/>
      <c r="D42" s="19" t="n"/>
      <c r="E42" s="19" t="n"/>
      <c r="F42" s="19" t="n"/>
      <c r="G42" s="19" t="n"/>
      <c r="H42" s="19" t="inlineStr">
        <is>
          <t>Conditional Step 33 - if proceeding with instalment conversion</t>
        </is>
      </c>
      <c r="I42" s="19" t="inlineStr">
        <is>
          <t>Conditional Step 33 - if proceeding with instalment conversion</t>
        </is>
      </c>
    </row>
    <row r="43" ht="124.2" customHeight="1" s="2">
      <c r="A43" s="19" t="inlineStr">
        <is>
          <t>2.4.2.3 Inst Conv Ack</t>
        </is>
      </c>
      <c r="B43" s="19" t="n"/>
      <c r="C43" s="19" t="n"/>
      <c r="D43" s="19" t="n"/>
      <c r="E43" s="19" t="n"/>
      <c r="F43" s="19" t="n"/>
      <c r="G43" s="19" t="n"/>
      <c r="H43" s="19" t="inlineStr">
        <is>
          <t>Conditional Step 34 - if proceeding with instalment conversion</t>
        </is>
      </c>
      <c r="I43" s="19" t="inlineStr">
        <is>
          <t>Conditional Step 34 - if proceeding with instalment conversion</t>
        </is>
      </c>
    </row>
    <row r="44" ht="124.2" customHeight="1" s="2">
      <c r="A44" s="19" t="inlineStr">
        <is>
          <t>2.4.2.4 Inst Conv Rcpt &amp; Notif</t>
        </is>
      </c>
      <c r="B44" s="19" t="n"/>
      <c r="C44" s="19" t="n"/>
      <c r="D44" s="19" t="n"/>
      <c r="E44" s="19" t="n"/>
      <c r="F44" s="19" t="n"/>
      <c r="G44" s="19" t="n"/>
      <c r="H44" s="19" t="inlineStr">
        <is>
          <t>Conditional Step 35 - if proceeding with instalment conversion</t>
        </is>
      </c>
      <c r="I44" s="19" t="inlineStr">
        <is>
          <t>Conditional Step 35 - if proceeding with instalment conversion</t>
        </is>
      </c>
    </row>
    <row r="45" ht="96.59999999999999" customHeight="1" s="2">
      <c r="A45" s="19" t="inlineStr">
        <is>
          <t>2.4.3 Increase Credit Limit</t>
        </is>
      </c>
      <c r="B45" s="19" t="n"/>
      <c r="C45" s="19" t="n"/>
      <c r="D45" s="19" t="n"/>
      <c r="E45" s="19" t="n"/>
      <c r="F45" s="19" t="n"/>
      <c r="G45" s="19" t="n"/>
      <c r="H45" s="19" t="inlineStr">
        <is>
          <t>Conditional Step 36 - if card eligible per MoB and policy</t>
        </is>
      </c>
      <c r="I45" s="19" t="inlineStr">
        <is>
          <t>Conditional Step 36 - if card eligible per MoB and policy</t>
        </is>
      </c>
    </row>
    <row r="46" ht="82.8" customHeight="1" s="2">
      <c r="A46" s="19" t="inlineStr">
        <is>
          <t>2.4.3.1 ICL Permanent</t>
        </is>
      </c>
      <c r="B46" s="19" t="n"/>
      <c r="C46" s="19" t="n"/>
      <c r="D46" s="19" t="n"/>
      <c r="E46" s="19" t="n"/>
      <c r="F46" s="19" t="n"/>
      <c r="G46" s="19" t="n"/>
      <c r="H46" s="19" t="inlineStr">
        <is>
          <t>Conditional Step 37 - if Permanent selected</t>
        </is>
      </c>
      <c r="I46" s="19" t="inlineStr">
        <is>
          <t>Conditional Step 37 - if Permanent selected</t>
        </is>
      </c>
    </row>
    <row r="47" ht="82.8" customHeight="1" s="2">
      <c r="A47" s="19" t="inlineStr">
        <is>
          <t>2.4.3.2 ICL Temporary</t>
        </is>
      </c>
      <c r="B47" s="19" t="n"/>
      <c r="C47" s="19" t="n"/>
      <c r="D47" s="19" t="n"/>
      <c r="E47" s="19" t="n"/>
      <c r="F47" s="19" t="n"/>
      <c r="G47" s="19" t="n"/>
      <c r="H47" s="19" t="inlineStr">
        <is>
          <t>Conditional Step 38 - if Temporary selected</t>
        </is>
      </c>
      <c r="I47" s="19" t="inlineStr">
        <is>
          <t>Conditional Step 38 - if Temporary selected</t>
        </is>
      </c>
    </row>
    <row r="48" ht="82.8" customHeight="1" s="2">
      <c r="A48" s="19" t="inlineStr">
        <is>
          <t>2.4.3.3 ICL TnC</t>
        </is>
      </c>
      <c r="B48" s="19" t="n"/>
      <c r="C48" s="19" t="n"/>
      <c r="D48" s="19" t="n"/>
      <c r="E48" s="19" t="n"/>
      <c r="F48" s="19" t="n"/>
      <c r="G48" s="19" t="n"/>
      <c r="H48" s="19" t="inlineStr">
        <is>
          <t>Conditional Step 39 - if proceeding with ICL</t>
        </is>
      </c>
      <c r="I48" s="19" t="inlineStr">
        <is>
          <t>Conditional Step 39 - if proceeding with ICL</t>
        </is>
      </c>
    </row>
    <row r="49" ht="82.8" customHeight="1" s="2">
      <c r="A49" s="19" t="inlineStr">
        <is>
          <t>2.4.3.4 ICL Confirm</t>
        </is>
      </c>
      <c r="B49" s="19" t="n"/>
      <c r="C49" s="19" t="n"/>
      <c r="D49" s="19" t="n"/>
      <c r="E49" s="19" t="n"/>
      <c r="F49" s="19" t="n"/>
      <c r="G49" s="19" t="n"/>
      <c r="H49" s="19" t="inlineStr">
        <is>
          <t>Conditional Step 40 - if proceeding with ICL</t>
        </is>
      </c>
      <c r="I49" s="19" t="inlineStr">
        <is>
          <t>Conditional Step 40 - if proceeding with ICL</t>
        </is>
      </c>
    </row>
    <row r="50" ht="82.8" customHeight="1" s="2">
      <c r="A50" s="19" t="inlineStr">
        <is>
          <t>2.4.3.5 ICL Ack</t>
        </is>
      </c>
      <c r="B50" s="19" t="n"/>
      <c r="C50" s="19" t="n"/>
      <c r="D50" s="19" t="n"/>
      <c r="E50" s="19" t="n"/>
      <c r="F50" s="19" t="n"/>
      <c r="G50" s="19" t="n"/>
      <c r="H50" s="19" t="inlineStr">
        <is>
          <t>Conditional Step 41 - if proceeding with ICL</t>
        </is>
      </c>
      <c r="I50" s="19" t="inlineStr">
        <is>
          <t>Conditional Step 41 - if proceeding with ICL</t>
        </is>
      </c>
    </row>
    <row r="51" ht="82.8" customHeight="1" s="2">
      <c r="A51" s="19" t="inlineStr">
        <is>
          <t>2.4.3.6 ICL Rcpt &amp; Notif</t>
        </is>
      </c>
      <c r="B51" s="19" t="n"/>
      <c r="C51" s="19" t="n"/>
      <c r="D51" s="19" t="n"/>
      <c r="E51" s="19" t="n"/>
      <c r="F51" s="19" t="n"/>
      <c r="G51" s="19" t="n"/>
      <c r="H51" s="19" t="inlineStr">
        <is>
          <t>Conditional Step 42 - if proceeding with ICL</t>
        </is>
      </c>
      <c r="I51" s="19" t="inlineStr">
        <is>
          <t>Conditional Step 42 - if proceeding with ICL</t>
        </is>
      </c>
    </row>
    <row r="52" ht="96.59999999999999" customHeight="1" s="2">
      <c r="A52" s="19" t="inlineStr">
        <is>
          <t>2.4.4 Block Card</t>
        </is>
      </c>
      <c r="B52" s="19" t="n"/>
      <c r="C52" s="19" t="n"/>
      <c r="D52" s="19" t="n"/>
      <c r="E52" s="19" t="n"/>
      <c r="F52" s="19" t="n"/>
      <c r="G52" s="19" t="n"/>
      <c r="H52" s="19" t="inlineStr">
        <is>
          <t>Conditional Step 43 - for Active card block action</t>
        </is>
      </c>
      <c r="I52" s="19" t="inlineStr">
        <is>
          <t>Conditional Step 43 - for Active card block action</t>
        </is>
      </c>
    </row>
    <row r="53" ht="82.8" customHeight="1" s="2">
      <c r="A53" s="19" t="inlineStr">
        <is>
          <t>2.4.4.1 Block Card Ack</t>
        </is>
      </c>
      <c r="B53" s="19" t="n"/>
      <c r="C53" s="19" t="n"/>
      <c r="D53" s="19" t="n"/>
      <c r="E53" s="19" t="n"/>
      <c r="F53" s="19" t="n"/>
      <c r="G53" s="19" t="n"/>
      <c r="H53" s="19" t="inlineStr">
        <is>
          <t>Conditional Step 44 - if block action submitted</t>
        </is>
      </c>
      <c r="I53" s="19" t="inlineStr">
        <is>
          <t>Conditional Step 44 - if block action submitted</t>
        </is>
      </c>
    </row>
    <row r="54" ht="82.8" customHeight="1" s="2">
      <c r="A54" s="19" t="inlineStr">
        <is>
          <t>2.4.4.2 Block Card Notif</t>
        </is>
      </c>
      <c r="B54" s="19" t="n"/>
      <c r="C54" s="19" t="n"/>
      <c r="D54" s="19" t="n"/>
      <c r="E54" s="19" t="n"/>
      <c r="F54" s="19" t="n"/>
      <c r="G54" s="19" t="n"/>
      <c r="H54" s="19" t="inlineStr">
        <is>
          <t>Conditional Step 45 - if block action submitted</t>
        </is>
      </c>
      <c r="I54" s="19" t="inlineStr">
        <is>
          <t>Conditional Step 45 - if block action submitted</t>
        </is>
      </c>
    </row>
    <row r="55" ht="138" customHeight="1" s="2">
      <c r="A55" s="19" t="inlineStr">
        <is>
          <t>2.4.5 Unblock Card</t>
        </is>
      </c>
      <c r="B55" s="19" t="n"/>
      <c r="C55" s="19" t="n"/>
      <c r="D55" s="19" t="n"/>
      <c r="E55" s="19" t="n"/>
      <c r="F55" s="19" t="n"/>
      <c r="G55" s="19" t="n"/>
      <c r="H55" s="19" t="inlineStr">
        <is>
          <t>Conditional Step 46 - when card is temporarily blocked by eligible channel</t>
        </is>
      </c>
      <c r="I55" s="19" t="inlineStr">
        <is>
          <t>Conditional Step 46 - when card is temporarily blocked by eligible channel</t>
        </is>
      </c>
    </row>
    <row r="56" ht="96.59999999999999" customHeight="1" s="2">
      <c r="A56" s="19" t="inlineStr">
        <is>
          <t>2.4.5.1 Unblock Card Ack</t>
        </is>
      </c>
      <c r="B56" s="19" t="n"/>
      <c r="C56" s="19" t="n"/>
      <c r="D56" s="19" t="n"/>
      <c r="E56" s="19" t="n"/>
      <c r="F56" s="19" t="n"/>
      <c r="G56" s="19" t="n"/>
      <c r="H56" s="19" t="inlineStr">
        <is>
          <t>Conditional Step 47 - if unblock action submitted</t>
        </is>
      </c>
      <c r="I56" s="19" t="inlineStr">
        <is>
          <t>Conditional Step 47 - if unblock action submitted</t>
        </is>
      </c>
    </row>
    <row r="57" ht="96.59999999999999" customHeight="1" s="2">
      <c r="A57" s="19" t="inlineStr">
        <is>
          <t>2.4.5.2 Unblock Card Notif</t>
        </is>
      </c>
      <c r="B57" s="19" t="n"/>
      <c r="C57" s="19" t="n"/>
      <c r="D57" s="19" t="n"/>
      <c r="E57" s="19" t="n"/>
      <c r="F57" s="19" t="n"/>
      <c r="G57" s="19" t="n"/>
      <c r="H57" s="19" t="inlineStr">
        <is>
          <t>Conditional Step 48 - if unblock action submitted</t>
        </is>
      </c>
      <c r="I57" s="19" t="inlineStr">
        <is>
          <t>Conditional Step 48 - if unblock action submitted</t>
        </is>
      </c>
    </row>
    <row r="58" ht="55.2" customHeight="1" s="2">
      <c r="A58" s="19" t="inlineStr">
        <is>
          <t>2.4.6 Replace &amp; Renew Card</t>
        </is>
      </c>
      <c r="B58" s="19" t="n"/>
      <c r="C58" s="19" t="n"/>
      <c r="D58" s="19" t="n"/>
      <c r="E58" s="19" t="n"/>
      <c r="F58" s="19" t="n"/>
      <c r="G58" s="19" t="n"/>
      <c r="H58" s="19" t="inlineStr">
        <is>
          <t>Conditional Step 49 - replace card flow</t>
        </is>
      </c>
      <c r="I58" s="19" t="inlineStr">
        <is>
          <t>Conditional Step 49 - replace card flow</t>
        </is>
      </c>
    </row>
    <row r="59" ht="96.59999999999999" customHeight="1" s="2">
      <c r="A59" s="19" t="inlineStr">
        <is>
          <t>2.4.6.1 R&amp;R Ack</t>
        </is>
      </c>
      <c r="B59" s="19" t="n"/>
      <c r="C59" s="19" t="n"/>
      <c r="D59" s="19" t="n"/>
      <c r="E59" s="19" t="n"/>
      <c r="F59" s="19" t="n"/>
      <c r="G59" s="19" t="n"/>
      <c r="H59" s="19" t="inlineStr">
        <is>
          <t>Conditional Step 50 - if replace request submitted</t>
        </is>
      </c>
      <c r="I59" s="19" t="inlineStr">
        <is>
          <t>Conditional Step 50 - if replace request submitted</t>
        </is>
      </c>
    </row>
    <row r="60" ht="96.59999999999999" customHeight="1" s="2">
      <c r="A60" s="19" t="inlineStr">
        <is>
          <t>2.4.6.2 R&amp;R Notif</t>
        </is>
      </c>
      <c r="B60" s="19" t="n"/>
      <c r="C60" s="19" t="n"/>
      <c r="D60" s="19" t="n"/>
      <c r="E60" s="19" t="n"/>
      <c r="F60" s="19" t="n"/>
      <c r="G60" s="19" t="n"/>
      <c r="H60" s="19" t="inlineStr">
        <is>
          <t>Conditional Step 51 - if replace request submitted</t>
        </is>
      </c>
      <c r="I60" s="19" t="inlineStr">
        <is>
          <t>Conditional Step 51 - if replace request submitted</t>
        </is>
      </c>
    </row>
    <row r="61" ht="55.2" customHeight="1" s="2">
      <c r="A61" s="19" t="inlineStr">
        <is>
          <t>2.4.7 Reset PIN</t>
        </is>
      </c>
      <c r="B61" s="19" t="n"/>
      <c r="C61" s="19" t="n"/>
      <c r="D61" s="19" t="n"/>
      <c r="E61" s="19" t="n"/>
      <c r="F61" s="19" t="n"/>
      <c r="G61" s="19" t="n"/>
      <c r="H61" s="19" t="inlineStr">
        <is>
          <t>Conditional Step 52 - reset PIN flow</t>
        </is>
      </c>
      <c r="I61" s="19" t="inlineStr">
        <is>
          <t>Conditional Step 52 - reset PIN flow</t>
        </is>
      </c>
    </row>
    <row r="62" ht="124.2" customHeight="1" s="2">
      <c r="A62" s="19" t="inlineStr">
        <is>
          <t>2.4.8 Block Code</t>
        </is>
      </c>
      <c r="B62" s="19" t="n"/>
      <c r="C62" s="19" t="n"/>
      <c r="D62" s="19" t="n"/>
      <c r="E62" s="19" t="n"/>
      <c r="F62" s="19" t="n"/>
      <c r="G62" s="19" t="n"/>
      <c r="H62" s="19" t="inlineStr">
        <is>
          <t>Conditional Step 53 - block code matrix governs status/feature gating</t>
        </is>
      </c>
      <c r="I62" s="19" t="inlineStr">
        <is>
          <t>Conditional Step 53 - block code matrix governs status/feature gating</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45"/>
  <sheetViews>
    <sheetView tabSelected="1" workbookViewId="0">
      <selection activeCell="H1" sqref="H1"/>
    </sheetView>
  </sheetViews>
  <sheetFormatPr baseColWidth="8" defaultRowHeight="13.8"/>
  <cols>
    <col width="14.44140625" customWidth="1" style="2" min="1" max="1"/>
    <col width="23.33203125" customWidth="1" style="2" min="2" max="2"/>
    <col width="24.33203125" customWidth="1" style="2" min="3" max="3"/>
    <col width="21.109375" customWidth="1" style="2" min="4" max="4"/>
    <col width="19.88671875" customWidth="1" style="2" min="5" max="5"/>
    <col width="23.21875" customWidth="1" style="2" min="6" max="6"/>
    <col width="17.6640625" customWidth="1" style="2" min="7" max="7"/>
    <col width="27.77734375" customWidth="1" style="2" min="8" max="8"/>
    <col width="13.21875" customWidth="1" style="2" min="9" max="9"/>
    <col width="22.6640625" customWidth="1" style="2" min="10" max="10"/>
  </cols>
  <sheetData>
    <row r="1" ht="86.40000000000001" customHeight="1" s="2">
      <c r="A1" s="18" t="inlineStr">
        <is>
          <t>Journey / Criteria</t>
        </is>
      </c>
      <c r="B1" s="18" t="inlineStr">
        <is>
          <t>1 — CASA (Regular Savings / Current Account)</t>
        </is>
      </c>
      <c r="C1" s="18" t="inlineStr">
        <is>
          <t>2 — RDN Konvensional</t>
        </is>
      </c>
      <c r="D1" s="18" t="inlineStr">
        <is>
          <t>3 — UGoalSaver</t>
        </is>
      </c>
      <c r="E1" s="18" t="inlineStr">
        <is>
          <t>4 — MyPlan Plus (MaybankGift)</t>
        </is>
      </c>
      <c r="F1" s="18" t="inlineStr">
        <is>
          <t>5 — MyPlan Term Savings</t>
        </is>
      </c>
      <c r="G1" s="18" t="inlineStr">
        <is>
          <t>6 — Global Access</t>
        </is>
      </c>
      <c r="H1" s="18" t="inlineStr">
        <is>
          <t>7 — Giro Multicurrency (MCA)</t>
        </is>
      </c>
      <c r="I1" s="18" t="inlineStr">
        <is>
          <t>8 — Debit Card</t>
        </is>
      </c>
      <c r="J1" s="18" t="inlineStr">
        <is>
          <t>9 — Insurance / Takaful</t>
        </is>
      </c>
    </row>
    <row r="2" ht="55.2" customHeight="1" s="2">
      <c r="A2" s="19" t="inlineStr">
        <is>
          <t>Epic / Journey Type</t>
        </is>
      </c>
      <c r="B2" s="19" t="inlineStr">
        <is>
          <t>Dashboard — Deposits</t>
        </is>
      </c>
      <c r="C2" s="19" t="inlineStr">
        <is>
          <t>Dashboard — Deposits</t>
        </is>
      </c>
      <c r="D2" s="19" t="inlineStr">
        <is>
          <t>Dashboard — Deposits</t>
        </is>
      </c>
      <c r="E2" s="19" t="inlineStr">
        <is>
          <t>Dashboard — Deposits</t>
        </is>
      </c>
      <c r="F2" s="19" t="inlineStr">
        <is>
          <t>Dashboard — Deposits</t>
        </is>
      </c>
      <c r="G2" s="19" t="inlineStr">
        <is>
          <t>Dashboard — Deposits</t>
        </is>
      </c>
      <c r="H2" s="19" t="inlineStr">
        <is>
          <t>Dashboard — Deposits</t>
        </is>
      </c>
      <c r="I2" s="19" t="inlineStr">
        <is>
          <t>Dashboard — Cards</t>
        </is>
      </c>
      <c r="J2" s="19" t="inlineStr">
        <is>
          <t>Dashboard — Insurance</t>
        </is>
      </c>
    </row>
    <row r="3" ht="138" customHeight="1" s="2">
      <c r="A3" s="19" t="inlineStr">
        <is>
          <t>Product / Service Type</t>
        </is>
      </c>
      <c r="B3" s="19" t="inlineStr">
        <is>
          <t>CASA: Regular Savings Account; Current Account (conventional and shariah)</t>
        </is>
      </c>
      <c r="C3" s="19" t="inlineStr">
        <is>
          <t>RDN Konvensional (securities nominee account)</t>
        </is>
      </c>
      <c r="D3" s="19" t="inlineStr">
        <is>
          <t>UGoalSaver (term savings with scheduled debit)</t>
        </is>
      </c>
      <c r="E3" s="19" t="inlineStr">
        <is>
          <t>MyPlan Plus / MaybankGift (term savings with auto-debit and gift campaign)</t>
        </is>
      </c>
      <c r="F3" s="19" t="inlineStr">
        <is>
          <t>MyPlan Term Savings (term savings with auto-debit)</t>
        </is>
      </c>
      <c r="G3" s="19" t="inlineStr">
        <is>
          <t>Global Access Account — multicurrency IDR-base</t>
        </is>
      </c>
      <c r="H3" s="19" t="inlineStr">
        <is>
          <t>Giro Multicurrency Account — USD-base</t>
        </is>
      </c>
      <c r="I3" s="19" t="inlineStr">
        <is>
          <t>Debit Card (all product codes per NGBO BIN-PAN mapping)</t>
        </is>
      </c>
      <c r="J3" s="19" t="inlineStr">
        <is>
          <t>Health insurance; Life with Unit Link; Life Traditional (Takaful inclusive)</t>
        </is>
      </c>
    </row>
    <row r="4" ht="193.2" customHeight="1" s="2">
      <c r="A4" s="19" t="inlineStr">
        <is>
          <t>Entry Point</t>
        </is>
      </c>
      <c r="B4" s="19" t="inlineStr">
        <is>
          <t>Account Dashboard Landing → Savings &amp; Current tab (default selected); or direct tap on account card</t>
        </is>
      </c>
      <c r="C4" s="19" t="inlineStr">
        <is>
          <t>Account Dashboard Landing → Savings &amp; Current tab → RDN card</t>
        </is>
      </c>
      <c r="D4" s="19" t="inlineStr">
        <is>
          <t>Account Dashboard Landing → Savings &amp; Current tab → UGoalSaver card</t>
        </is>
      </c>
      <c r="E4" s="19" t="inlineStr">
        <is>
          <t>Account Dashboard Landing → Savings &amp; Current tab → MyPlan Plus card</t>
        </is>
      </c>
      <c r="F4" s="19" t="inlineStr">
        <is>
          <t>Account Dashboard Landing → Savings &amp; Current tab → MyPlan Term Savings card</t>
        </is>
      </c>
      <c r="G4" s="19" t="inlineStr">
        <is>
          <t>Account Dashboard Landing → Savings &amp; Current tab → Global Access card</t>
        </is>
      </c>
      <c r="H4" s="19" t="inlineStr">
        <is>
          <t>Account Dashboard Landing → Savings &amp; Current tab → Giro MCA card</t>
        </is>
      </c>
      <c r="I4" s="19" t="inlineStr">
        <is>
          <t>Account Dashboard Landing → Cards tab → Debit Card sub-tab; or Account Details → View linked card</t>
        </is>
      </c>
      <c r="J4" s="19" t="inlineStr">
        <is>
          <t>Account Dashboard Landing → Insurance/Takaful tab → policy card</t>
        </is>
      </c>
    </row>
    <row r="5" ht="220.8" customHeight="1" s="2">
      <c r="A5" s="19" t="inlineStr">
        <is>
          <t>Customer / User Type</t>
        </is>
      </c>
      <c r="B5" s="19" t="inlineStr">
        <is>
          <t>L3 post-login M2U ID holder with CASA account; personal (individual) — Joint-AND restrictions apply per NGBO config</t>
        </is>
      </c>
      <c r="C5" s="19" t="inlineStr">
        <is>
          <t>L3 post-login; personal individual account holder</t>
        </is>
      </c>
      <c r="D5" s="19" t="inlineStr">
        <is>
          <t>L3 post-login; individual account holder (no joint, no primary)</t>
        </is>
      </c>
      <c r="E5" s="19" t="inlineStr">
        <is>
          <t>L3 post-login; individual account holder (no joint, no primary)</t>
        </is>
      </c>
      <c r="F5" s="19" t="inlineStr">
        <is>
          <t>L3 post-login; individual account holder (no joint, no primary)</t>
        </is>
      </c>
      <c r="G5" s="19" t="inlineStr">
        <is>
          <t>L3 post-login; individual account holder; Joint-AND restrictions apply</t>
        </is>
      </c>
      <c r="H5" s="19" t="inlineStr">
        <is>
          <t>L3 post-login; individual account holder; Joint-AND restrictions apply</t>
        </is>
      </c>
      <c r="I5" s="19" t="inlineStr">
        <is>
          <t>L3 post-login; personal card holder</t>
        </is>
      </c>
      <c r="J5" s="19" t="inlineStr">
        <is>
          <t>L3 post-login; policy holder</t>
        </is>
      </c>
    </row>
    <row r="6" ht="331.2" customHeight="1" s="2">
      <c r="A6" s="19" t="inlineStr">
        <is>
          <t>Account / Card / Policy Type</t>
        </is>
      </c>
      <c r="B6" s="19" t="inlineStr">
        <is>
          <t>Active / Inactive / Blocked / Dormant / Closed CASA; IDR or FCY; Conventional or Shariah; with or without overdraft; with or without linked term savings; with or without linked debit card</t>
        </is>
      </c>
      <c r="C6" s="19" t="inlineStr">
        <is>
          <t>Active RDNK; IDR; no primary, no joint-AND primary; linked to securities firm</t>
        </is>
      </c>
      <c r="D6" s="19" t="inlineStr">
        <is>
          <t>Active UGoalSaver; conventional or shariah; with linked parent account</t>
        </is>
      </c>
      <c r="E6" s="19" t="inlineStr">
        <is>
          <t>Active MyPlan Plus with MaybankGift; conventional or shariah; with linked parent account</t>
        </is>
      </c>
      <c r="F6" s="19" t="inlineStr">
        <is>
          <t>Active MyPlan Term Savings; conventional or shariah; with linked parent account</t>
        </is>
      </c>
      <c r="G6" s="19" t="inlineStr">
        <is>
          <t>Active / Inactive / Blocked / Closed GAA; IDR base + FCY buckets; conventional or shariah; product codes 083–086, 341–348</t>
        </is>
      </c>
      <c r="H6" s="19" t="inlineStr">
        <is>
          <t>Active / Blocked MCA; USD base + FCY buckets; product codes 082, 298, 299; applied via branch only</t>
        </is>
      </c>
      <c r="I6" s="19" t="inlineStr">
        <is>
          <t>Active / Temporarily Blocked / Blocked / Pending Activation debit card; Global Access card vs standard debit card distinguished via BIN-PAN</t>
        </is>
      </c>
      <c r="J6" s="19" t="inlineStr">
        <is>
          <t>Health policy; Life Unit Link policy; Life Traditional policy; Active / Lapsed / other statuses per Common status mapping</t>
        </is>
      </c>
    </row>
    <row r="7" ht="317.4" customHeight="1" s="2">
      <c r="A7" s="19" t="inlineStr">
        <is>
          <t>Currency / FCY Criteria</t>
        </is>
      </c>
      <c r="B7" s="19" t="inlineStr">
        <is>
          <t>IDR default; FCY applicable for Current Account and Global Access sub-accounts; overdraft in IDR; balance aggregation with / without '≈' depending on FCY presence</t>
        </is>
      </c>
      <c r="C7" s="19" t="inlineStr">
        <is>
          <t>IDR only</t>
        </is>
      </c>
      <c r="D7" s="19" t="inlineStr">
        <is>
          <t>IDR only; Inferred — requires confirmation for FCY variant</t>
        </is>
      </c>
      <c r="E7" s="19" t="inlineStr">
        <is>
          <t>IDR; FCY conversion via ECLIPSE/NGBO if account currency is FCY</t>
        </is>
      </c>
      <c r="F7" s="19" t="inlineStr">
        <is>
          <t>IDR; penalty/cancellation charges in IDR</t>
        </is>
      </c>
      <c r="G7" s="19" t="inlineStr">
        <is>
          <t>IDR base + configurable FCY per country (NGBO); indicative IDR balances with '≈'; exchange rate from CMS/NGBO</t>
        </is>
      </c>
      <c r="H7" s="19" t="inlineStr">
        <is>
          <t>USD base + USD, SGD, AUD, GBP, EUR, JPY, CNH; indicative IDR equivalents</t>
        </is>
      </c>
      <c r="I7" s="19" t="inlineStr">
        <is>
          <t>IDR; replacement fee in IDR for FCY debit cards as well</t>
        </is>
      </c>
      <c r="J7" s="19" t="inlineStr">
        <is>
          <t>IDR; FCY conversion rate from NGBO where applicable for investment values</t>
        </is>
      </c>
    </row>
    <row r="8" ht="303.6" customHeight="1" s="2">
      <c r="A8" s="19" t="inlineStr">
        <is>
          <t>Security / Authentication Required</t>
        </is>
      </c>
      <c r="B8" s="19" t="inlineStr">
        <is>
          <t>L1 → redirect to Login (A&amp;A FSD); L3 → direct access; S2U required for: Manage Linked Card, Block Account, Reactivate Account (Inactive)</t>
        </is>
      </c>
      <c r="C8" s="19" t="inlineStr">
        <is>
          <t>L3 direct access; no S2U for view; S2U for linked card / block actions per 1.2.1.x</t>
        </is>
      </c>
      <c r="D8" s="19" t="inlineStr">
        <is>
          <t>L3 direct access; no S2U for view</t>
        </is>
      </c>
      <c r="E8" s="19" t="inlineStr">
        <is>
          <t>L3 direct access; no S2U for view</t>
        </is>
      </c>
      <c r="F8" s="19" t="inlineStr">
        <is>
          <t>L3 direct access; no S2U for view</t>
        </is>
      </c>
      <c r="G8" s="19" t="inlineStr">
        <is>
          <t>L3 direct access; S2U required for: Remove Currency (with balance), Manage Linked Card, Block Account</t>
        </is>
      </c>
      <c r="H8" s="19" t="inlineStr">
        <is>
          <t>L3 direct access; S2U required for: Manage Linked Card, Block Account</t>
        </is>
      </c>
      <c r="I8" s="19" t="inlineStr">
        <is>
          <t>S2U required for: Card Activation, Reset Card PIN, Block Card, Unblock Card, Replace Card, Card Details (view masked card details drawer), Change Linked Accounts</t>
        </is>
      </c>
      <c r="J8" s="19" t="inlineStr">
        <is>
          <t>L3 direct access; no S2U for view; refer to respective sub-FSD for any transactional actions</t>
        </is>
      </c>
    </row>
    <row r="9" ht="409.6" customHeight="1" s="2">
      <c r="A9" s="19" t="inlineStr">
        <is>
          <t>Possible Final Status</t>
        </is>
      </c>
      <c r="B9" s="19" t="inlineStr">
        <is>
          <t>Account details displayed; Transaction list displayed; S2U success / unsuccessful / authorisation failed for Manage Linked Card, Block Account, Reactivate Account</t>
        </is>
      </c>
      <c r="C9" s="19" t="inlineStr">
        <is>
          <t>Account details displayed; transaction list displayed</t>
        </is>
      </c>
      <c r="D9" s="19" t="inlineStr">
        <is>
          <t>Account details displayed; transaction list displayed</t>
        </is>
      </c>
      <c r="E9" s="19" t="inlineStr">
        <is>
          <t>Account details displayed; transaction list displayed; Failed auto-debit count displayed</t>
        </is>
      </c>
      <c r="F9" s="19" t="inlineStr">
        <is>
          <t>Account details displayed; transaction list displayed; Failed auto-debit count displayed</t>
        </is>
      </c>
      <c r="G9" s="19" t="inlineStr">
        <is>
          <t>Account details displayed; currency buckets displayed; S2U success / unsuccessful / authorisation failed for Remove Currency, Manage Linked Card, Block Account</t>
        </is>
      </c>
      <c r="H9" s="19" t="inlineStr">
        <is>
          <t>Account details displayed; currency buckets displayed; S2U success / unsuccessful / authorisation failed for Manage Linked Card, Block Account</t>
        </is>
      </c>
      <c r="I9" s="19" t="inlineStr">
        <is>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is>
      </c>
      <c r="J9" s="19" t="inlineStr">
        <is>
          <t>Policy details displayed; no transactional final status in this FSD; refer to respective insurance sub-FSD</t>
        </is>
      </c>
    </row>
    <row r="10" ht="110.4" customHeight="1" s="2">
      <c r="A10" s="19" t="inlineStr">
        <is>
          <t>Step 1 — 1.1 Account Dashboard Landing</t>
        </is>
      </c>
      <c r="B10" s="19" t="inlineStr">
        <is>
          <t>Step 1</t>
        </is>
      </c>
      <c r="C10" s="19" t="inlineStr">
        <is>
          <t>Step 1</t>
        </is>
      </c>
      <c r="D10" s="19" t="inlineStr">
        <is>
          <t>Step 1</t>
        </is>
      </c>
      <c r="E10" s="19" t="inlineStr">
        <is>
          <t>Step 1</t>
        </is>
      </c>
      <c r="F10" s="19" t="inlineStr">
        <is>
          <t>Step 1</t>
        </is>
      </c>
      <c r="G10" s="19" t="inlineStr">
        <is>
          <t>Step 1</t>
        </is>
      </c>
      <c r="H10" s="19" t="inlineStr">
        <is>
          <t>Step 1</t>
        </is>
      </c>
      <c r="I10" s="19" t="inlineStr">
        <is>
          <t>Step 1 — Cards tab selected (Credit default; inverted if no CC)</t>
        </is>
      </c>
      <c r="J10" s="19" t="inlineStr">
        <is>
          <t>Step 1 — Insurance/Takaful tab selected</t>
        </is>
      </c>
    </row>
    <row r="11" ht="262.2" customHeight="1" s="2">
      <c r="A11" s="19" t="inlineStr">
        <is>
          <t>Step 2 — 1.2 Account Listing (Savings &amp; Current)</t>
        </is>
      </c>
      <c r="B11" s="19" t="inlineStr">
        <is>
          <t>Step 2 — displays account card; total balance with/without '≈'; Tabung banner/card; upsell banner; business profile disclaimer if applicable</t>
        </is>
      </c>
      <c r="C11" s="19" t="inlineStr">
        <is>
          <t>Step 2 — RDNK card visible in Savings &amp; Current listing</t>
        </is>
      </c>
      <c r="D11" s="19" t="inlineStr">
        <is>
          <t>Step 2 — UGoalSaver card visible in Savings &amp; Current listing</t>
        </is>
      </c>
      <c r="E11" s="19" t="inlineStr">
        <is>
          <t>Step 2 — MyPlan Plus card visible in Savings &amp; Current listing</t>
        </is>
      </c>
      <c r="F11" s="19" t="inlineStr">
        <is>
          <t>Step 2 — MyPlan Term Savings card visible in Savings &amp; Current listing</t>
        </is>
      </c>
      <c r="G11" s="19" t="inlineStr">
        <is>
          <t>Step 2 — GAA card visible in Savings &amp; Current listing; balance shown with '≈' if FCY present</t>
        </is>
      </c>
      <c r="H11" s="19" t="inlineStr">
        <is>
          <t>Step 2 — Giro MCA card visible in Savings &amp; Current listing; balance in USD</t>
        </is>
      </c>
      <c r="I11" s="19" t="n"/>
      <c r="J11" s="19" t="n"/>
    </row>
    <row r="12" ht="409.6" customHeight="1" s="2">
      <c r="A12" s="19" t="inlineStr">
        <is>
          <t>Step 3 — 1.2.1 CASA Account Details</t>
        </is>
      </c>
      <c r="B12" s="19" t="inlineStr">
        <is>
          <t>Step 3 — Transactions / Summary / Manage tabs; account balance drawer; linked term savings section; Quick Actions (Transfer, Pay, eWallet, View Statements, View linked card); Set Primary; Manage Linked Card; Block Account available per eligibility</t>
        </is>
      </c>
      <c r="C12" s="19" t="n"/>
      <c r="D12" s="19" t="n"/>
      <c r="E12" s="19" t="n"/>
      <c r="F12" s="19" t="n"/>
      <c r="G12" s="19" t="n"/>
      <c r="H12" s="19" t="n"/>
      <c r="I12" s="19" t="n"/>
      <c r="J12" s="19" t="n"/>
    </row>
    <row r="13" ht="372.6" customHeight="1" s="2">
      <c r="A13" s="19" t="inlineStr">
        <is>
          <t>Step 4 — 1.2.1.1 Transaction Details</t>
        </is>
      </c>
      <c r="B13" s="19" t="inlineStr">
        <is>
          <t>Step 4 — tap any transaction in Transactions tab or ViewAllTrans; displays per transaction type matrix (Overseas Transfer, Currency Exchange, Pay Using Card, Scan &amp; Pay, Transfer, Money In/Out variants)</t>
        </is>
      </c>
      <c r="C13" s="19" t="n"/>
      <c r="D13" s="19" t="n"/>
      <c r="E13" s="19" t="n"/>
      <c r="F13" s="19" t="n"/>
      <c r="G13" s="19" t="n"/>
      <c r="H13" s="19" t="n"/>
      <c r="I13" s="19" t="n"/>
      <c r="J13" s="19" t="n"/>
    </row>
    <row r="14" ht="289.8" customHeight="1" s="2">
      <c r="A14" s="19" t="inlineStr">
        <is>
          <t>Step 5 — 1.2.1.2 ViewAllTrans</t>
        </is>
      </c>
      <c r="B14" s="19" t="inlineStr">
        <is>
          <t>Step 5 — search, filter (Money In/Out, Transaction Currency for GAA/MCA, Time Range, Custom date), export (PDF/CSV/XLSX, Send to Email / Save to device)</t>
        </is>
      </c>
      <c r="C14" s="19" t="n"/>
      <c r="D14" s="19" t="n"/>
      <c r="E14" s="19" t="n"/>
      <c r="F14" s="19" t="inlineStr">
        <is>
          <t>Step 5</t>
        </is>
      </c>
      <c r="G14" s="19" t="inlineStr">
        <is>
          <t>Step 5 — Transaction Currency filter applicable</t>
        </is>
      </c>
      <c r="H14" s="19" t="inlineStr">
        <is>
          <t>Step 5 — Transaction Currency filter applicable</t>
        </is>
      </c>
      <c r="I14" s="19" t="n"/>
      <c r="J14" s="19" t="n"/>
    </row>
    <row r="15" ht="386.4" customHeight="1" s="2">
      <c r="A15" s="19" t="inlineStr">
        <is>
          <t>Step 6 — 1.2.1.3 ManageLinkedCard</t>
        </is>
      </c>
      <c r="B15" s="19" t="inlineStr">
        <is>
          <t>Step 6 — view/link/unlink/update linked debit card; S2U required; Global Access account displays only GAA cards; non-GAA account excludes GAA cards; max 8 linked accounts per card; default account restriction</t>
        </is>
      </c>
      <c r="C15" s="19" t="n"/>
      <c r="D15" s="19" t="n"/>
      <c r="E15" s="19" t="n"/>
      <c r="F15" s="19" t="n"/>
      <c r="G15" s="19" t="inlineStr">
        <is>
          <t>Step 6 — only GAA debit cards eligible</t>
        </is>
      </c>
      <c r="H15" s="19" t="inlineStr">
        <is>
          <t>Step 6 — applicable per business rules</t>
        </is>
      </c>
      <c r="I15" s="19" t="n"/>
      <c r="J15" s="19" t="n"/>
    </row>
    <row r="16" ht="409.6" customHeight="1" s="2">
      <c r="A16" s="19" t="inlineStr">
        <is>
          <t>Step 7 — 1.2.1.4 BlockAccount</t>
        </is>
      </c>
      <c r="B16" s="19" t="inlineStr">
        <is>
          <t>Step 7 — single or multi-select block; S2U required; eligible accounts per product code / segment ID / status Active; post-block: Frozen status, Quick Actions greyed except View Statements, Manage greyed except Add/Edit Nickname</t>
        </is>
      </c>
      <c r="C16" s="19" t="n"/>
      <c r="D16" s="19" t="n"/>
      <c r="E16" s="19" t="n"/>
      <c r="F16" s="19" t="n"/>
      <c r="G16" s="19" t="inlineStr">
        <is>
          <t>Step 7</t>
        </is>
      </c>
      <c r="H16" s="19" t="inlineStr">
        <is>
          <t>Step 7</t>
        </is>
      </c>
      <c r="I16" s="19" t="n"/>
      <c r="J16" s="19" t="n"/>
    </row>
    <row r="17" ht="409.6" customHeight="1" s="2">
      <c r="A17" s="19" t="inlineStr">
        <is>
          <t>Step 8 — 1.2.1.5 DormantAccount</t>
        </is>
      </c>
      <c r="B17" s="19" t="inlineStr">
        <is>
          <t>Conditional Step 8 — displayed when account status is Dormant; all Quick Actions and Manage greyed except View Statements and Add/Edit Nickname; dormancy PN+email notifications 1 month prior and on effective date</t>
        </is>
      </c>
      <c r="C17" s="19" t="n"/>
      <c r="D17" s="19" t="n"/>
      <c r="E17" s="19" t="n"/>
      <c r="F17" s="19" t="n"/>
      <c r="G17" s="19" t="n"/>
      <c r="H17" s="19" t="n"/>
      <c r="I17" s="19" t="n"/>
      <c r="J17" s="19" t="n"/>
    </row>
    <row r="18" ht="409.6" customHeight="1" s="2">
      <c r="A18" s="19" t="inlineStr">
        <is>
          <t>Step 9 — 1.2.1.6 Inactive Account</t>
        </is>
      </c>
      <c r="B18" s="19" t="inlineStr">
        <is>
          <t>Conditional Step 9 — displayed when account status is Inactive; Reactivate button displayed (except excluded product codes 319, 826, 209, 219, 279, 806); Update Personal Details → Confirmation → S2U → Acknowledgement; Account Reactivated / Update Unsuccessful</t>
        </is>
      </c>
      <c r="C18" s="19" t="n"/>
      <c r="D18" s="19" t="n"/>
      <c r="E18" s="19" t="n"/>
      <c r="F18" s="19" t="n"/>
      <c r="G18" s="19" t="n"/>
      <c r="H18" s="19" t="n"/>
      <c r="I18" s="19" t="n"/>
      <c r="J18" s="19" t="n"/>
    </row>
    <row r="19" ht="276" customHeight="1" s="2">
      <c r="A19" s="19" t="inlineStr">
        <is>
          <t>Step 10 — 1.2.1.7 Closed Account</t>
        </is>
      </c>
      <c r="B19" s="19" t="inlineStr">
        <is>
          <t>Conditional Step 10 — displayed up to 90 days after closing date (NGBO-parameterised; 0 = not displayed); View Statements only; all other actions disabled</t>
        </is>
      </c>
      <c r="C19" s="19" t="n"/>
      <c r="D19" s="19" t="n"/>
      <c r="E19" s="19" t="n"/>
      <c r="F19" s="19" t="n"/>
      <c r="G19" s="19" t="n"/>
      <c r="H19" s="19" t="n"/>
      <c r="I19" s="19" t="n"/>
      <c r="J19" s="19" t="n"/>
    </row>
    <row r="20" ht="409.6" customHeight="1" s="2">
      <c r="A20" s="19" t="inlineStr">
        <is>
          <t>Step 11 — 1.2.2 RDN Konvensional Account Details</t>
        </is>
      </c>
      <c r="B20" s="19" t="n"/>
      <c r="C20" s="19" t="inlineStr">
        <is>
          <t>Step 11 — Transactions / Summary / Manage tabs; Top Up Quick Action navigates to Local Transfer Own Account with RDN as destination; security company displayed; no primary label; no block account eligibility per product code exclusion</t>
        </is>
      </c>
      <c r="D20" s="19" t="n"/>
      <c r="E20" s="19" t="n"/>
      <c r="F20" s="19" t="n"/>
      <c r="G20" s="19" t="n"/>
      <c r="H20" s="19" t="n"/>
      <c r="I20" s="19" t="n"/>
      <c r="J20" s="19" t="n"/>
    </row>
    <row r="21" ht="409.6" customHeight="1" s="2">
      <c r="A21" s="19" t="inlineStr">
        <is>
          <t>Step 12 — 1.2.3 UGoalSaver Account Details</t>
        </is>
      </c>
      <c r="B21" s="19" t="n"/>
      <c r="C21" s="19" t="n"/>
      <c r="D21" s="19" t="inlineStr">
        <is>
          <t>Step 12 — Transactions / Summary / Manage tabs; Summary: term details (tenure, maturity date), scheduled debits (initial deposit, monthly debit, next debit date), returns (interest/indicative rate, accrued interest/profit), linked parent account</t>
        </is>
      </c>
      <c r="E21" s="19" t="n"/>
      <c r="F21" s="19" t="n"/>
      <c r="G21" s="19" t="n"/>
      <c r="H21" s="19" t="n"/>
      <c r="I21" s="19" t="n"/>
      <c r="J21" s="19" t="n"/>
    </row>
    <row r="22" ht="409.6" customHeight="1" s="2">
      <c r="A22" s="19" t="inlineStr">
        <is>
          <t>Step 13 — 1.2.4 MyPlan Plus (MaybankGift) Account Details</t>
        </is>
      </c>
      <c r="B22" s="19" t="n"/>
      <c r="C22" s="19" t="n"/>
      <c r="D22" s="19" t="n"/>
      <c r="E22" s="19" t="inlineStr">
        <is>
          <t>Step 13 — Transactions / Summary / Manage tabs; Summary: term details, scheduled debits, failed auto-debit attempts (tooltip drawer), returns, MaybankGift banner (in-app webview), penalty/cancellation charge, linked parent account; &gt;3 failed debits closes account — Needs PO/BA clarification (post sign-off item)</t>
        </is>
      </c>
      <c r="F22" s="19" t="n"/>
      <c r="G22" s="19" t="n"/>
      <c r="H22" s="19" t="n"/>
      <c r="I22" s="19" t="n"/>
      <c r="J22" s="19" t="n"/>
    </row>
    <row r="23" ht="409.6" customHeight="1" s="2">
      <c r="A23" s="19" t="inlineStr">
        <is>
          <t>Step 14 — 1.2.5 MyPlan Term Savings Account Details</t>
        </is>
      </c>
      <c r="B23" s="19" t="n"/>
      <c r="C23" s="19" t="n"/>
      <c r="D23" s="19" t="n"/>
      <c r="E23" s="19" t="n"/>
      <c r="F23" s="19" t="inlineStr">
        <is>
          <t>Step 14 — Transactions / Summary / Manage tabs; Summary: term details, scheduled debits, failed auto-debit attempts (tooltip drawer), returns, penalty/cancellation charge, linked parent account; &gt;3 failed debits closes account — Needs PO/BA clarification (post sign-off item)</t>
        </is>
      </c>
      <c r="G23" s="19" t="n"/>
      <c r="H23" s="19" t="n"/>
      <c r="I23" s="19" t="n"/>
      <c r="J23" s="19" t="n"/>
    </row>
    <row r="24" ht="409.6" customHeight="1" s="2">
      <c r="A24" s="19" t="inlineStr">
        <is>
          <t>Step 15 — 1.2.6 Global Access Account Details</t>
        </is>
      </c>
      <c r="B24" s="19" t="n"/>
      <c r="C24" s="19" t="n"/>
      <c r="D24" s="19" t="n"/>
      <c r="E24" s="19" t="n"/>
      <c r="F24" s="19" t="n"/>
      <c r="G24" s="19" t="inlineStr">
        <is>
          <t>Step 15 — Transactions / Manage tabs (no Summary tab); My Currencies section (IDR base, FCY buckets sorted by IDR first then latest transacted); Add New Currency; View All if &gt;5 currencies; Quick Actions: Convert Currency, Transfer (local/overseas), Currency Calculator, Exchange Rates, View Statements; Manage: Add/Edit Nickname, Set as Primary, Auto Sweep, Manage Linked Card, Block Account</t>
        </is>
      </c>
      <c r="H24" s="19" t="n"/>
      <c r="I24" s="19" t="n"/>
      <c r="J24" s="19" t="n"/>
    </row>
    <row r="25" ht="409.6" customHeight="1" s="2">
      <c r="A25" s="19" t="inlineStr">
        <is>
          <t>Step 16 — 1.2.6.1 Add Currency</t>
        </is>
      </c>
      <c r="B25" s="19" t="n"/>
      <c r="C25" s="19" t="n"/>
      <c r="D25" s="19" t="n"/>
      <c r="E25" s="19" t="n"/>
      <c r="F25" s="19" t="n"/>
      <c r="G25" s="19" t="inlineStr">
        <is>
          <t>Step 16 — Add Currency drawer from GAA Account Details; search by currency code/name/alias (min 2 chars); top 5 traded displayed first; only unadded currencies shown; on selection: currency added at end of My Currencies list, snackbar "Currency added"</t>
        </is>
      </c>
      <c r="H25" s="19" t="n"/>
      <c r="I25" s="19" t="n"/>
      <c r="J25" s="19" t="n"/>
    </row>
    <row r="26" ht="409.6" customHeight="1" s="2">
      <c r="A26" s="19" t="inlineStr">
        <is>
          <t>Step 17 — 1.2.6.2 View Currency Details</t>
        </is>
      </c>
      <c r="B26" s="19" t="n"/>
      <c r="C26" s="19" t="n"/>
      <c r="D26" s="19" t="n"/>
      <c r="E26" s="19" t="n"/>
      <c r="F26" s="19" t="n"/>
      <c r="G26" s="19" t="inlineStr">
        <is>
          <t>Step 17 — Currency Details screen per currency; currency chevron to switch; Transactions / Summary tabs (IDR: no Manage tab; FCY: Transactions / Summary / Manage tabs); Balance per currency; Account Balance drawer; Quick Actions per currency</t>
        </is>
      </c>
      <c r="H26" s="19" t="inlineStr">
        <is>
          <t>Step 17 — Currency Details reused per 1.2.6.2; USD base has no Manage tab; FCY buckets have Transactions / Summary only (Needs PO/BA clarification — MCA Manage tab scope)</t>
        </is>
      </c>
      <c r="I26" s="19" t="n"/>
      <c r="J26" s="19" t="n"/>
    </row>
    <row r="27" ht="409.6" customHeight="1" s="2">
      <c r="A27" s="19" t="inlineStr">
        <is>
          <t>Step 18 — 1.2.6.3 Remove Currency</t>
        </is>
      </c>
      <c r="B27" s="19" t="n"/>
      <c r="C27" s="19" t="n"/>
      <c r="D27" s="19" t="n"/>
      <c r="E27" s="19" t="n"/>
      <c r="F27" s="19" t="n"/>
      <c r="G27" s="19" t="inlineStr">
        <is>
          <t>Step 18 — applicable for non-IDR currencies only; if zero balance: remove directly (no S2U); if non-zero balance: Convert Currency flow (S2U required); if linked to Term Savings: blocked with snackbar; currency removal hides bucket (not deleted); conversion fee per RFX module</t>
        </is>
      </c>
      <c r="H27" s="19" t="n"/>
      <c r="I27" s="19" t="n"/>
      <c r="J27" s="19" t="n"/>
    </row>
    <row r="28" ht="409.6" customHeight="1" s="2">
      <c r="A28" s="19" t="inlineStr">
        <is>
          <t>Step 19 — 1.2.7 Giro Multicurrency Account Details</t>
        </is>
      </c>
      <c r="B28" s="19" t="n"/>
      <c r="C28" s="19" t="n"/>
      <c r="D28" s="19" t="n"/>
      <c r="E28" s="19" t="n"/>
      <c r="F28" s="19" t="n"/>
      <c r="G28" s="19" t="n"/>
      <c r="H28" s="19" t="inlineStr">
        <is>
          <t>Step 19 — Transactions / Manage tabs; USD base currency; My Currencies (USD first, then latest transacted, then newly added; allowed: USD, SGD, AUD, GBP, EUR, JPY, CNH); overdraft applicable; Manage: Add/Edit Nickname, Set as Primary, Manage Linked Card, Block Account; FCY deposit via branch/ATM auto-displays bucket</t>
        </is>
      </c>
      <c r="I28" s="19" t="n"/>
      <c r="J28" s="19" t="n"/>
    </row>
    <row r="29" ht="409.6" customHeight="1" s="2">
      <c r="A29" s="19" t="inlineStr">
        <is>
          <t>Step 20 — 1.3 Debit Card Dashboard</t>
        </is>
      </c>
      <c r="B29" s="19" t="n"/>
      <c r="C29" s="19" t="n"/>
      <c r="D29" s="19" t="n"/>
      <c r="E29" s="19" t="n"/>
      <c r="F29" s="19" t="n"/>
      <c r="G29" s="19" t="n"/>
      <c r="H29" s="19" t="n"/>
      <c r="I29" s="19" t="inlineStr">
        <is>
          <t>Step 20 — Cards tab → Debit Card sub-tab; card listing with image, product name, masked card number, cardholder name, status label; Activate Now button for Pending Activation cards (not clickable otherwise); upsell banner; business profile disclaimer</t>
        </is>
      </c>
      <c r="J29" s="19" t="n"/>
    </row>
    <row r="30" ht="409.6" customHeight="1" s="2">
      <c r="A30" s="19" t="inlineStr">
        <is>
          <t>Step 21 — 1.3.1 Card Activation</t>
        </is>
      </c>
      <c r="B30" s="19" t="n"/>
      <c r="C30" s="19" t="n"/>
      <c r="D30" s="19" t="n"/>
      <c r="E30" s="19" t="n"/>
      <c r="F30" s="19" t="n"/>
      <c r="G30" s="19" t="n"/>
      <c r="H30" s="19" t="n"/>
      <c r="I30" s="19" t="inlineStr">
        <is>
          <t>Conditional Step 21 — only for Pending Activation cards; Activate Debit Card screen → declaration → Set Debit Card PIN (6-digit, PIN rules) → S2U → Acknowledgement (Activation Successful / Request Unsuccessful / Authorisation Failed)</t>
        </is>
      </c>
      <c r="J30" s="19" t="n"/>
    </row>
    <row r="31" ht="409.6" customHeight="1" s="2">
      <c r="A31" s="19" t="inlineStr">
        <is>
          <t>Step 22 — 1.3.2 Card Details</t>
        </is>
      </c>
      <c r="B31" s="19" t="n"/>
      <c r="C31" s="19" t="n"/>
      <c r="D31" s="19" t="n"/>
      <c r="E31" s="19" t="n"/>
      <c r="F31" s="19" t="n"/>
      <c r="G31" s="19" t="n"/>
      <c r="H31" s="19" t="n"/>
      <c r="I31" s="19" t="inlineStr">
        <is>
          <t>Step 22 — card image with status overlay; card product name, number (masked last 4 unmasked), cardholder name, nickname; Add/Edit Nickname; Manage Linked Accounts; Security: Temporarily Block / Unblock, Reset Card PIN, Replace Card; Card Details Quick Action (S2U → 30s countdown drawer with cardholder name, card number, expiry, CVV/CVC — copy to clipboard)</t>
        </is>
      </c>
      <c r="J31" s="19" t="n"/>
    </row>
    <row r="32" ht="409.6" customHeight="1" s="2">
      <c r="A32" s="19" t="inlineStr">
        <is>
          <t>Step 23 — 1.3.2.1 Linked Accounts</t>
        </is>
      </c>
      <c r="B32" s="19" t="n"/>
      <c r="C32" s="19" t="n"/>
      <c r="D32" s="19" t="n"/>
      <c r="E32" s="19" t="n"/>
      <c r="F32" s="19" t="n"/>
      <c r="G32" s="19" t="n"/>
      <c r="H32" s="19" t="n"/>
      <c r="I32" s="19" t="inlineStr">
        <is>
          <t>Step 23 — view / add / remove linked accounts (max 8); set default account (IDR accounts only; S2U required for default change); Available Accounts filtered by BIN-PAN NGBO mapping; GAA card shows only GAA accounts; non-GAA card excludes GAA accounts; Confirmation → S2U → Acknowledgement (Linked Accounts Updated / Unsuccessful / Auth Failed)</t>
        </is>
      </c>
      <c r="J32" s="19" t="n"/>
    </row>
    <row r="33" ht="317.4" customHeight="1" s="2">
      <c r="A33" s="19" t="inlineStr">
        <is>
          <t>Step 24 — 1.3.2.2 Reset Card PIN</t>
        </is>
      </c>
      <c r="B33" s="19" t="n"/>
      <c r="C33" s="19" t="n"/>
      <c r="D33" s="19" t="n"/>
      <c r="E33" s="19" t="n"/>
      <c r="F33" s="19" t="n"/>
      <c r="G33" s="19" t="n"/>
      <c r="H33" s="19" t="n"/>
      <c r="I33" s="19" t="inlineStr">
        <is>
          <t>Step 24 — New PIN + Confirm PIN (6-digit, PIN rules); S2U → Acknowledgement (Card PIN Updated / Request Unsuccessful / Auth Failed); max 3 resets per day (NGBO-configurable)</t>
        </is>
      </c>
      <c r="J33" s="19" t="n"/>
    </row>
    <row r="34" ht="409.6" customHeight="1" s="2">
      <c r="A34" s="19" t="inlineStr">
        <is>
          <t>Step 25 — 1.3.2.3 Block &amp; Unblock Card</t>
        </is>
      </c>
      <c r="B34" s="19" t="n"/>
      <c r="C34" s="19" t="n"/>
      <c r="D34" s="19" t="n"/>
      <c r="E34" s="19" t="n"/>
      <c r="F34" s="19" t="n"/>
      <c r="G34" s="19" t="n"/>
      <c r="H34" s="19" t="n"/>
      <c r="I34" s="19" t="inlineStr">
        <is>
          <t>Step 25 — Temporarily Block: pop-up → S2U → Card Temporarily Blocked / Unsuccessful / Auth Failed; Unblock Card: direct S2U → Card Unblocked / Unsuccessful / Auth Failed; Blocked (bank-blocked) card: Temporarily Block greyed and disabled</t>
        </is>
      </c>
      <c r="J34" s="19" t="n"/>
    </row>
    <row r="35" ht="409.6" customHeight="1" s="2">
      <c r="A35" s="19" t="inlineStr">
        <is>
          <t>Step 26 — 1.3.2.4 Replace Card</t>
        </is>
      </c>
      <c r="B35" s="19" t="n"/>
      <c r="C35" s="19" t="n"/>
      <c r="D35" s="19" t="n"/>
      <c r="E35" s="19" t="n"/>
      <c r="F35" s="19" t="n"/>
      <c r="G35" s="19" t="n"/>
      <c r="H35" s="19" t="n"/>
      <c r="I35" s="19" t="inlineStr">
        <is>
          <t>Step 26 — Select Replacement Method (Deliver to address / Collect at branch) → Replace Card screen (disclaimer, mailing address) → Optional Change Mailing Address → Confirmation → S2U → Acknowledgement; charge rule: free if expiring within 3 months; replacement fee otherwise; Collect at branch: QR code generated (UUID v4, 24h expiry, invalidated on branch scan); card remains active until new card activated</t>
        </is>
      </c>
      <c r="J35" s="19" t="n"/>
    </row>
    <row r="36" ht="409.6" customHeight="1" s="2">
      <c r="A36" s="19" t="inlineStr">
        <is>
          <t>Step 27 — 1.4 Insurance Dashboard</t>
        </is>
      </c>
      <c r="B36" s="19" t="n"/>
      <c r="C36" s="19" t="n"/>
      <c r="D36" s="19" t="n"/>
      <c r="E36" s="19" t="n"/>
      <c r="F36" s="19" t="n"/>
      <c r="G36" s="19" t="n"/>
      <c r="H36" s="19" t="n"/>
      <c r="I36" s="19" t="n"/>
      <c r="J36" s="19" t="inlineStr">
        <is>
          <t>Step 27 — Insurance/Takaful tab; policy cards (product name, nickname defaulting to policyholder name, policy number, status label, type label Traditional/Unit Link); Total Investment-linked Value displayed only if Unit Link products present (with/without '≈' per IDR/FCY); Eye Icon to mask/unmask investment values; upsell banner</t>
        </is>
      </c>
    </row>
    <row r="37" ht="409.6" customHeight="1" s="2">
      <c r="A37" s="19" t="inlineStr">
        <is>
          <t>Step 28 — 1.4.1 Health</t>
        </is>
      </c>
      <c r="B37" s="19" t="n"/>
      <c r="C37" s="19" t="n"/>
      <c r="D37" s="19" t="n"/>
      <c r="E37" s="19" t="n"/>
      <c r="F37" s="19" t="n"/>
      <c r="G37" s="19" t="n"/>
      <c r="H37" s="19" t="n"/>
      <c r="I37" s="19" t="n"/>
      <c r="J37" s="19" t="inlineStr">
        <is>
          <t>Conditional Step 28 — for Health policies; Summary / Manage tabs; policy identification, coverage period, premium details (sum assured, basic premium, payment frequency), next payment date, claim procedure (PDF viewer / in-app webview), product and service information summary; Policy Status Guide drawer; Edit Nickname (Manage tab)</t>
        </is>
      </c>
    </row>
    <row r="38" ht="409.6" customHeight="1" s="2">
      <c r="A38" s="19" t="inlineStr">
        <is>
          <t>Step 29 — 1.4.2 Life with UnitLink</t>
        </is>
      </c>
      <c r="B38" s="19" t="n"/>
      <c r="C38" s="19" t="n"/>
      <c r="D38" s="19" t="n"/>
      <c r="E38" s="19" t="n"/>
      <c r="F38" s="19" t="n"/>
      <c r="G38" s="19" t="n"/>
      <c r="H38" s="19" t="n"/>
      <c r="I38" s="19" t="n"/>
      <c r="J38" s="19" t="inlineStr">
        <is>
          <t>Conditional Step 29 — for Life Unit Link policies; Summary / Manage tabs; Fund Holdings section (Show all n &gt;; fund name, units, NAV as of today, investment value per fund; max 2 shown on main screen); policy identification, coverage period, premium details, total premium paid, next/last payment dates, claim procedure, product info summary; Edit Nickname (Manage tab)</t>
        </is>
      </c>
    </row>
    <row r="39" ht="409.6" customHeight="1" s="2">
      <c r="A39" s="19" t="inlineStr">
        <is>
          <t>Step 30 — 1.4.3 Life Traditional</t>
        </is>
      </c>
      <c r="B39" s="19" t="n"/>
      <c r="C39" s="19" t="n"/>
      <c r="D39" s="19" t="n"/>
      <c r="E39" s="19" t="n"/>
      <c r="F39" s="19" t="n"/>
      <c r="G39" s="19" t="n"/>
      <c r="H39" s="19" t="n"/>
      <c r="I39" s="19" t="n"/>
      <c r="J39" s="19" t="inlineStr">
        <is>
          <t>Conditional Step 30 — for Life Traditional policies; Summary / Manage tabs; policy identification, coverage period, premium details, total premium paid, next/last payment dates, claim procedure, product info summary; Edit Nickname (Manage tab); no fund holdings section</t>
        </is>
      </c>
    </row>
    <row r="40" ht="248.4" customHeight="1" s="2">
      <c r="A40" s="19" t="inlineStr">
        <is>
          <t>ViewAllTrans — Transaction History Display Rule</t>
        </is>
      </c>
      <c r="B40" s="19" t="inlineStr">
        <is>
          <t>Transactions tab shows latest 10 (YTD + last 24 months); "View All Transactions" hyperlink shown only if &gt;10 transactions</t>
        </is>
      </c>
      <c r="C40" s="19" t="inlineStr">
        <is>
          <t>Transactions tab: latest 10; YTD + last 2 years; ViewAllTrans via sticky hyperlink</t>
        </is>
      </c>
      <c r="D40" s="19" t="inlineStr">
        <is>
          <t>Transactions tab: latest 10; YTD + last 2 years; ViewAllTrans via sticky hyperlink</t>
        </is>
      </c>
      <c r="E40" s="19" t="inlineStr">
        <is>
          <t>Transactions tab: latest 10; YTD + last 2 years; ViewAllTrans via sticky hyperlink</t>
        </is>
      </c>
      <c r="F40" s="19" t="inlineStr">
        <is>
          <t>Transactions tab: latest 10; YTD + last 2 years; ViewAllTrans via sticky hyperlink</t>
        </is>
      </c>
      <c r="G40" s="19" t="inlineStr">
        <is>
          <t>Transactions tab: latest 10; YTD + last 2 years; all currencies shown regardless of currency; ViewAllTrans via sticky hyperlink (appears after first scroll)</t>
        </is>
      </c>
      <c r="H40" s="19" t="inlineStr">
        <is>
          <t>Transactions tab: latest 10; YTD + last 2 years; ViewAllTrans via sticky hyperlink</t>
        </is>
      </c>
      <c r="I40" s="19" t="inlineStr">
        <is>
          <t>Not applicable</t>
        </is>
      </c>
      <c r="J40" s="19" t="inlineStr">
        <is>
          <t>Not applicable</t>
        </is>
      </c>
    </row>
    <row r="41" ht="372.6" customHeight="1" s="2">
      <c r="A41" s="19" t="inlineStr">
        <is>
          <t>Sorting / Display Order</t>
        </is>
      </c>
      <c r="B41" s="19" t="inlineStr">
        <is>
          <t>Account listing: Primary first → Active (by product name then account number) → Inactive → Blocked → Dormant → Closed (90-day window) → Active Term Savings → Inactive/Blocked/Dormant/Closed Term Savings</t>
        </is>
      </c>
      <c r="C41" s="19" t="inlineStr">
        <is>
          <t>Sorted within Savings &amp; Current by product name then account number</t>
        </is>
      </c>
      <c r="D41" s="19" t="inlineStr">
        <is>
          <t>Sorted within Savings &amp; Current by product name then account number</t>
        </is>
      </c>
      <c r="E41" s="19" t="inlineStr">
        <is>
          <t>Sorted within Savings &amp; Current by product name then account number</t>
        </is>
      </c>
      <c r="F41" s="19" t="inlineStr">
        <is>
          <t>Sorted within Savings &amp; Current by product name then account number</t>
        </is>
      </c>
      <c r="G41" s="19" t="inlineStr">
        <is>
          <t>GAA: My Currencies — IDR first → latest transacted descending → newly added</t>
        </is>
      </c>
      <c r="H41" s="19" t="inlineStr">
        <is>
          <t>MCA: My Currencies — USD first → latest transacted descending → newly added</t>
        </is>
      </c>
      <c r="I41" s="19" t="inlineStr">
        <is>
          <t>Debit cards sorted per Common worksheet (refer to Common FSD)</t>
        </is>
      </c>
      <c r="J41" s="19" t="inlineStr">
        <is>
          <t>Policies sorted per Insurance Dashboard rules — Needs PO/BA clarification (no explicit sort rule stated in this FSD)</t>
        </is>
      </c>
    </row>
    <row r="42" ht="262.2" customHeight="1" s="2">
      <c r="A42" s="19" t="inlineStr">
        <is>
          <t>Joint-AND Account Restrictions</t>
        </is>
      </c>
      <c r="B42" s="19" t="inlineStr">
        <is>
          <t>Block/Unblock, Quick Actions, Debit Card Management, Set as Primary — all disabled for Joint-AND accounts; configurable via NGBO</t>
        </is>
      </c>
      <c r="C42" s="19" t="inlineStr">
        <is>
          <t>Not applicable (no joint-AND for RDNK)</t>
        </is>
      </c>
      <c r="D42" s="19" t="inlineStr">
        <is>
          <t>Not applicable (UGoalSaver cannot be joint)</t>
        </is>
      </c>
      <c r="E42" s="19" t="inlineStr">
        <is>
          <t>Not applicable (MyPlan Plus cannot be joint)</t>
        </is>
      </c>
      <c r="F42" s="19" t="inlineStr">
        <is>
          <t>Not applicable (MyPlan Term Savings cannot be joint)</t>
        </is>
      </c>
      <c r="G42" s="19" t="inlineStr">
        <is>
          <t>Joint-AND restrictions apply same as CASA per NGBO config</t>
        </is>
      </c>
      <c r="H42" s="19" t="inlineStr">
        <is>
          <t>Joint-AND restrictions apply same as CASA per NGBO config</t>
        </is>
      </c>
      <c r="I42" s="19" t="inlineStr">
        <is>
          <t>Not applicable at card level</t>
        </is>
      </c>
      <c r="J42" s="19" t="inlineStr">
        <is>
          <t>Not applicable</t>
        </is>
      </c>
    </row>
    <row r="43" ht="248.4" customHeight="1" s="2">
      <c r="A43" s="19" t="inlineStr">
        <is>
          <t>Business Profile / IBO Disclaimer</t>
        </is>
      </c>
      <c r="B43" s="19" t="inlineStr">
        <is>
          <t>Disclaimer box displayed if business profile set up; for this release all accounts shown; upon IBO: only personal accounts displayed</t>
        </is>
      </c>
      <c r="C43" s="19" t="inlineStr">
        <is>
          <t>Not applicable</t>
        </is>
      </c>
      <c r="D43" s="19" t="inlineStr">
        <is>
          <t>Not applicable</t>
        </is>
      </c>
      <c r="E43" s="19" t="inlineStr">
        <is>
          <t>Not applicable</t>
        </is>
      </c>
      <c r="F43" s="19" t="inlineStr">
        <is>
          <t>Not applicable</t>
        </is>
      </c>
      <c r="G43" s="19" t="inlineStr">
        <is>
          <t>Not applicable</t>
        </is>
      </c>
      <c r="H43" s="19" t="inlineStr">
        <is>
          <t>Not applicable</t>
        </is>
      </c>
      <c r="I43" s="19" t="inlineStr">
        <is>
          <t>Disclaimer box displayed if business profile set up; upon IBO: only personal cards displayed</t>
        </is>
      </c>
      <c r="J43" s="19" t="inlineStr">
        <is>
          <t>Not applicable</t>
        </is>
      </c>
    </row>
    <row r="44" ht="409.6" customHeight="1" s="2">
      <c r="A44" s="19" t="inlineStr">
        <is>
          <t>Notification Triggers</t>
        </is>
      </c>
      <c r="B44" s="19" t="inlineStr">
        <is>
          <t>Block Account: SMS + Email + PN (success); Dormancy approach: PN + Email (1 month prior and on effective date); Manage Linked Card: Email + PN; Account Reactivation: SMS + Email + PN</t>
        </is>
      </c>
      <c r="C44" s="19" t="inlineStr">
        <is>
          <t>Not specified in FSD</t>
        </is>
      </c>
      <c r="D44" s="19" t="inlineStr">
        <is>
          <t>Not specified in FSD</t>
        </is>
      </c>
      <c r="E44" s="19" t="inlineStr">
        <is>
          <t>Not specified in FSD</t>
        </is>
      </c>
      <c r="F44" s="19" t="inlineStr">
        <is>
          <t>Not specified in FSD</t>
        </is>
      </c>
      <c r="G44" s="19" t="inlineStr">
        <is>
          <t>Not specified in FSD</t>
        </is>
      </c>
      <c r="H44" s="19" t="inlineStr">
        <is>
          <t>Not specified in FSD</t>
        </is>
      </c>
      <c r="I44" s="19" t="inlineStr">
        <is>
          <t>Card Activation: SMS + Email + PN (success only, no failure notification); Reset Card PIN: success → SMS + Email + PN; failure → Email + PN; Block/Unblock Card: success → SMS + Email + PN; failure → Email only; Replace Card: SMS + Email + PN; Linked Accounts: Email + PN</t>
        </is>
      </c>
      <c r="J44" s="19" t="inlineStr">
        <is>
          <t>Not specified in FSD</t>
        </is>
      </c>
    </row>
    <row r="45" ht="409.6" customHeight="1" s="2">
      <c r="A45" s="19" t="inlineStr">
        <is>
          <t>External FSD References</t>
        </is>
      </c>
      <c r="B45" s="19" t="inlineStr">
        <is>
          <t>Login: refer to A&amp;A FSD; Set as Primary: refer to AD Common FSD; Add/Edit Nickname: refer to AD Common FSD; Tabung: refer to Tabung FSD; Apply Deposit: refer to Apply STP Non Financing FSD; View Statements: refer to Document FSD; Transfer: refer to Local Transfer FSD; Pay Bills: refer to Money Out FSD; Common Authorisation Failed: refer to Common FSD; Common Masking Rules: refer to Common FSD; Edit Function Rules: refer to Common FSD</t>
        </is>
      </c>
      <c r="C45" s="19" t="inlineStr">
        <is>
          <t>Add/Edit Nickname: refer to AD Common FSD; Top Up navigates to Local Transfer FSD</t>
        </is>
      </c>
      <c r="D45" s="19" t="inlineStr">
        <is>
          <t>Add/Edit Nickname: refer to AD Common FSD</t>
        </is>
      </c>
      <c r="E45" s="19" t="inlineStr">
        <is>
          <t>Add/Edit Nickname: refer to AD Common FSD</t>
        </is>
      </c>
      <c r="F45" s="19" t="inlineStr">
        <is>
          <t>Add/Edit Nickname: refer to AD Common FSD</t>
        </is>
      </c>
      <c r="G45" s="19" t="inlineStr">
        <is>
          <t>Add/Edit Nickname: refer to AD Common FSD; Set as Primary: refer to AD Common FSD; Auto Sweep: refer to AD Common FSD; Manage Linked Card: refer to 1.2.1.3; Block Account: refer to 1.2.1.4; View Statements: refer to Document FSD</t>
        </is>
      </c>
      <c r="H45" s="19" t="inlineStr">
        <is>
          <t>Add/Edit Nickname: refer to AD Common FSD; Set as Primary: refer to AD Common FSD; Manage Linked Card: refer to 1.2.1.3; Block Account: refer to 1.2.1.4; View Statements: refer to Document FSD</t>
        </is>
      </c>
      <c r="I45" s="19" t="inlineStr">
        <is>
          <t>Card Activation declaration: refer to NGBO; Apply Debit Card: refer to Apply STP Non Financing FSD; Card Replacement — QR branch collection: refer to Apply NF FSD; S2U: refer to A&amp;A FSD; Authorisation Failed: refer to Common FSD; Masking: refer to Common FSD; CTA Share &amp; Done: refer to Common FSD; Edit Function: refer to Common FSD</t>
        </is>
      </c>
      <c r="J45" s="19" t="inlineStr">
        <is>
          <t>Claim Procedure / Product Info Summary: managed via CMS (PDF or webview); refer to respective insurance sub-FSD for transactional actions; Policy Status mapping: refer to Common worksheet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57"/>
  <sheetViews>
    <sheetView workbookViewId="0">
      <pane ySplit="1" topLeftCell="A2" activePane="bottomLeft" state="frozen"/>
      <selection pane="bottomLeft" activeCell="A1" sqref="A1"/>
    </sheetView>
  </sheetViews>
  <sheetFormatPr baseColWidth="8" defaultRowHeight="15"/>
  <cols>
    <col width="14" customWidth="1" style="2" min="1" max="1"/>
    <col width="28" customWidth="1" style="2" min="2" max="2"/>
    <col width="28" customWidth="1" style="2" min="3" max="3"/>
    <col width="32" customWidth="1" style="2" min="4" max="4"/>
    <col width="12" customWidth="1" style="2" min="5" max="5"/>
    <col width="48" customWidth="1" style="2" min="6" max="6"/>
    <col width="26" customWidth="1" style="2" min="7" max="7"/>
    <col width="58" customWidth="1" style="2" min="8" max="8"/>
    <col width="30" customWidth="1" style="2" min="9" max="9"/>
    <col width="32" customWidth="1" style="2" min="10" max="10"/>
    <col width="18" customWidth="1" style="2" min="11" max="11"/>
    <col width="55" customWidth="1" style="2" min="12" max="12"/>
    <col width="20" customWidth="1" style="2" min="13" max="13"/>
  </cols>
  <sheetData>
    <row r="1">
      <c r="A1" s="21" t="inlineStr">
        <is>
          <t>API ID</t>
        </is>
      </c>
      <c r="B1" s="21" t="inlineStr">
        <is>
          <t>Source Priority</t>
        </is>
      </c>
      <c r="C1" s="21" t="inlineStr">
        <is>
          <t>Journey / Feature</t>
        </is>
      </c>
      <c r="D1" s="21" t="inlineStr">
        <is>
          <t>API Name</t>
        </is>
      </c>
      <c r="E1" s="21" t="inlineStr">
        <is>
          <t>HTTP Method</t>
        </is>
      </c>
      <c r="F1" s="21" t="inlineStr">
        <is>
          <t>Endpoint</t>
        </is>
      </c>
      <c r="G1" s="21" t="inlineStr">
        <is>
          <t>Microservice Ownership</t>
        </is>
      </c>
      <c r="H1" s="21" t="inlineStr">
        <is>
          <t>Source Workbook</t>
        </is>
      </c>
      <c r="I1" s="21" t="inlineStr">
        <is>
          <t>Source Sheet</t>
        </is>
      </c>
      <c r="J1" s="21" t="inlineStr">
        <is>
          <t>Source Reference</t>
        </is>
      </c>
      <c r="K1" s="21" t="inlineStr">
        <is>
          <t>Status</t>
        </is>
      </c>
      <c r="L1" s="21" t="inlineStr">
        <is>
          <t>Remarks / Limitations</t>
        </is>
      </c>
      <c r="M1" s="21" t="inlineStr">
        <is>
          <t>Mapped Test Case Count</t>
        </is>
      </c>
    </row>
    <row r="2">
      <c r="A2" s="23" t="inlineStr">
        <is>
          <t>API-001</t>
        </is>
      </c>
      <c r="B2" s="19" t="inlineStr">
        <is>
          <t>Credit Card API Design</t>
        </is>
      </c>
      <c r="C2" s="19" t="inlineStr">
        <is>
          <t>2.1 CC Dashboard - Landing</t>
        </is>
      </c>
      <c r="D2" s="19" t="inlineStr">
        <is>
          <t>Cards dashboard</t>
        </is>
      </c>
      <c r="E2" s="19" t="inlineStr">
        <is>
          <t>GET</t>
        </is>
      </c>
      <c r="F2" s="19" t="inlineStr">
        <is>
          <t>/v1/external/accounts?accountGroup={accountGroup}</t>
        </is>
      </c>
      <c r="G2" s="19" t="inlineStr">
        <is>
          <t>dep-dashboard</t>
        </is>
      </c>
      <c r="H2" s="19" t="inlineStr">
        <is>
          <t>ECLIPSE_Account Dashboard_Credit_Card_DDD_API_Design_v1_Workshop.xlsx</t>
        </is>
      </c>
      <c r="I2" s="19" t="inlineStr">
        <is>
          <t>2.1 CC Dashboard - Landing</t>
        </is>
      </c>
      <c r="J2" s="19" t="inlineStr">
        <is>
          <t>API_Specs_Index!A2:H2</t>
        </is>
      </c>
      <c r="K2" s="19" t="inlineStr"/>
      <c r="L2" s="19" t="inlineStr"/>
      <c r="M2" s="19" t="n">
        <v>48</v>
      </c>
    </row>
    <row r="3">
      <c r="A3" s="23" t="inlineStr">
        <is>
          <t>API-002</t>
        </is>
      </c>
      <c r="B3" s="19" t="inlineStr">
        <is>
          <t>Credit Card API Design</t>
        </is>
      </c>
      <c r="C3" s="19" t="inlineStr">
        <is>
          <t>2.1.2 Card Details</t>
        </is>
      </c>
      <c r="D3" s="19" t="inlineStr">
        <is>
          <t>Credit card detail</t>
        </is>
      </c>
      <c r="E3" s="19" t="inlineStr">
        <is>
          <t>GET</t>
        </is>
      </c>
      <c r="F3" s="19" t="inlineStr">
        <is>
          <t>/v1/external/accounts/account-type/{accountType}/account-id/{accountId}/detail</t>
        </is>
      </c>
      <c r="G3" s="19" t="inlineStr">
        <is>
          <t>info-card</t>
        </is>
      </c>
      <c r="H3" s="19" t="inlineStr">
        <is>
          <t>ECLIPSE_Account Dashboard_Credit_Card_DDD_API_Design_v1_Workshop.xlsx</t>
        </is>
      </c>
      <c r="I3" s="19" t="inlineStr">
        <is>
          <t>2.1.2 Card Details</t>
        </is>
      </c>
      <c r="J3" s="19" t="inlineStr">
        <is>
          <t>API_Specs_Index!A4:H4</t>
        </is>
      </c>
      <c r="K3" s="19" t="inlineStr"/>
      <c r="L3" s="19" t="inlineStr"/>
      <c r="M3" s="19" t="n">
        <v>2</v>
      </c>
    </row>
    <row r="4">
      <c r="A4" s="23" t="inlineStr">
        <is>
          <t>API-003</t>
        </is>
      </c>
      <c r="B4" s="19" t="inlineStr">
        <is>
          <t>Credit Card API Design</t>
        </is>
      </c>
      <c r="C4" s="19" t="inlineStr">
        <is>
          <t>2.1.3 CC Activation</t>
        </is>
      </c>
      <c r="D4" s="19" t="inlineStr">
        <is>
          <t>Credit card activation + set card pin</t>
        </is>
      </c>
      <c r="E4" s="19" t="inlineStr">
        <is>
          <t>POST</t>
        </is>
      </c>
      <c r="F4" s="19" t="inlineStr">
        <is>
          <t>/v1/external/credit-card/activate</t>
        </is>
      </c>
      <c r="G4" s="19" t="inlineStr">
        <is>
          <t>dep-card</t>
        </is>
      </c>
      <c r="H4" s="19" t="inlineStr">
        <is>
          <t>ECLIPSE_Account Dashboard_Credit_Card_DDD_API_Design_v1_Workshop.xlsx</t>
        </is>
      </c>
      <c r="I4" s="19" t="inlineStr">
        <is>
          <t>2.1.3 CC Activation</t>
        </is>
      </c>
      <c r="J4" s="19" t="inlineStr">
        <is>
          <t>API_Specs_Index!A6:H6</t>
        </is>
      </c>
      <c r="K4" s="19" t="inlineStr"/>
      <c r="L4" s="19" t="inlineStr"/>
      <c r="M4" s="19" t="n">
        <v>2</v>
      </c>
    </row>
    <row r="5">
      <c r="A5" s="23" t="inlineStr">
        <is>
          <t>API-004</t>
        </is>
      </c>
      <c r="B5" s="19" t="inlineStr">
        <is>
          <t>Credit Card API Design</t>
        </is>
      </c>
      <c r="C5" s="19" t="inlineStr">
        <is>
          <t>2.2 CC &gt; Transactions</t>
        </is>
      </c>
      <c r="D5" s="19" t="inlineStr">
        <is>
          <t>Credit card transaction history</t>
        </is>
      </c>
      <c r="E5" s="19" t="inlineStr">
        <is>
          <t>GET</t>
        </is>
      </c>
      <c r="F5" s="19" t="inlineStr">
        <is>
          <t>/v1/external/accounts/account-type/{accountType}/account-id/{accountId}/transactions?startDate={startDate}&amp;endDate={endDate}&amp;page={page}&amp;limit={limit}</t>
        </is>
      </c>
      <c r="G5" s="19" t="inlineStr">
        <is>
          <t>info-card</t>
        </is>
      </c>
      <c r="H5" s="19" t="inlineStr">
        <is>
          <t>ECLIPSE_Account Dashboard_Credit_Card_DDD_API_Design_v1_Workshop.xlsx</t>
        </is>
      </c>
      <c r="I5" s="19" t="inlineStr">
        <is>
          <t>2.2 CC &gt; Transactions</t>
        </is>
      </c>
      <c r="J5" s="19" t="inlineStr">
        <is>
          <t>API_Specs_Index!A7:H7</t>
        </is>
      </c>
      <c r="K5" s="19" t="inlineStr"/>
      <c r="L5" s="19" t="inlineStr"/>
      <c r="M5" s="19" t="n">
        <v>10</v>
      </c>
    </row>
    <row r="6">
      <c r="A6" s="23" t="inlineStr">
        <is>
          <t>API-005</t>
        </is>
      </c>
      <c r="B6" s="19" t="inlineStr">
        <is>
          <t>Credit Card API Design</t>
        </is>
      </c>
      <c r="C6" s="19" t="inlineStr">
        <is>
          <t>2.2.1 CC View All Trans</t>
        </is>
      </c>
      <c r="D6" s="19" t="inlineStr">
        <is>
          <t>Credit card view all transaction history</t>
        </is>
      </c>
      <c r="E6" s="19" t="inlineStr">
        <is>
          <t>GET</t>
        </is>
      </c>
      <c r="F6" s="19" t="inlineStr">
        <is>
          <t>/v1/external/accounts/account-type/{accountType}/account-id/{accountId}/transactions?startDate={startDate}&amp;endDate={endDate}&amp;page={page}&amp;limit={limit}</t>
        </is>
      </c>
      <c r="G6" s="19" t="inlineStr">
        <is>
          <t>info-card</t>
        </is>
      </c>
      <c r="H6" s="19" t="inlineStr">
        <is>
          <t>ECLIPSE_Account Dashboard_Credit_Card_DDD_API_Design_v1_Workshop.xlsx</t>
        </is>
      </c>
      <c r="I6" s="19" t="inlineStr">
        <is>
          <t>2.2.1 CC View All Trans</t>
        </is>
      </c>
      <c r="J6" s="19" t="inlineStr">
        <is>
          <t>API_Specs_Index!A8:H8</t>
        </is>
      </c>
      <c r="K6" s="19" t="inlineStr"/>
      <c r="L6" s="19" t="inlineStr"/>
      <c r="M6" s="19" t="n">
        <v>4</v>
      </c>
    </row>
    <row r="7">
      <c r="A7" s="23" t="inlineStr">
        <is>
          <t>API-006</t>
        </is>
      </c>
      <c r="B7" s="19" t="inlineStr">
        <is>
          <t>Credit Card API Design</t>
        </is>
      </c>
      <c r="C7" s="19" t="inlineStr">
        <is>
          <t>2.2.1.2 View Receipt</t>
        </is>
      </c>
      <c r="D7" s="19" t="inlineStr">
        <is>
          <t>Credit card view receipt</t>
        </is>
      </c>
      <c r="E7" s="19" t="inlineStr">
        <is>
          <t>GET</t>
        </is>
      </c>
      <c r="F7" s="19" t="inlineStr">
        <is>
          <t>/v1/external/receipts/{transactionReferenceId}</t>
        </is>
      </c>
      <c r="G7" s="19" t="inlineStr">
        <is>
          <t>dep-receipt</t>
        </is>
      </c>
      <c r="H7" s="19" t="inlineStr">
        <is>
          <t>ECLIPSE_Account Dashboard_Credit_Card_DDD_API_Design_v1_Workshop.xlsx</t>
        </is>
      </c>
      <c r="I7" s="19" t="inlineStr">
        <is>
          <t>2.2.1.2 View Receipt</t>
        </is>
      </c>
      <c r="J7" s="19" t="inlineStr">
        <is>
          <t>API_Specs_Index!A13:H13</t>
        </is>
      </c>
      <c r="K7" s="19" t="inlineStr"/>
      <c r="L7" s="19" t="inlineStr"/>
      <c r="M7" s="19" t="n">
        <v>0</v>
      </c>
    </row>
    <row r="8">
      <c r="A8" s="23" t="inlineStr">
        <is>
          <t>API-007</t>
        </is>
      </c>
      <c r="B8" s="19" t="inlineStr">
        <is>
          <t>Credit Card API Design</t>
        </is>
      </c>
      <c r="C8" s="19" t="inlineStr">
        <is>
          <t>2.4 CC &gt; Manage</t>
        </is>
      </c>
      <c r="D8" s="19" t="inlineStr">
        <is>
          <t>Add credit card nickname</t>
        </is>
      </c>
      <c r="E8" s="19" t="inlineStr">
        <is>
          <t>POST</t>
        </is>
      </c>
      <c r="F8" s="19" t="inlineStr">
        <is>
          <t>/v1/external/accounts/nickname</t>
        </is>
      </c>
      <c r="G8" s="19" t="inlineStr">
        <is>
          <t>info-card</t>
        </is>
      </c>
      <c r="H8" s="19" t="inlineStr">
        <is>
          <t>ECLIPSE_Account Dashboard_Credit_Card_DDD_API_Design_v1_Workshop.xlsx</t>
        </is>
      </c>
      <c r="I8" s="19" t="inlineStr">
        <is>
          <t>2.4 CC &gt; Manage</t>
        </is>
      </c>
      <c r="J8" s="19" t="inlineStr">
        <is>
          <t>API_Specs_Index!A16:H16</t>
        </is>
      </c>
      <c r="K8" s="19" t="inlineStr"/>
      <c r="L8" s="19" t="inlineStr"/>
      <c r="M8" s="19" t="n">
        <v>0</v>
      </c>
    </row>
    <row r="9">
      <c r="A9" s="23" t="inlineStr">
        <is>
          <t>API-008</t>
        </is>
      </c>
      <c r="B9" s="19" t="inlineStr">
        <is>
          <t>Credit Card API Design</t>
        </is>
      </c>
      <c r="C9" s="19" t="inlineStr">
        <is>
          <t>2.4.2 Instalment Convert</t>
        </is>
      </c>
      <c r="D9" s="19" t="inlineStr">
        <is>
          <t>Installment convertion schedule</t>
        </is>
      </c>
      <c r="E9" s="19" t="inlineStr">
        <is>
          <t>GET</t>
        </is>
      </c>
      <c r="F9" s="19" t="inlineStr">
        <is>
          <t>/v1/external/credit-card/instalment-conversion</t>
        </is>
      </c>
      <c r="G9" s="19" t="inlineStr">
        <is>
          <t>dep-card</t>
        </is>
      </c>
      <c r="H9" s="19" t="inlineStr">
        <is>
          <t>ECLIPSE_Account Dashboard_Credit_Card_DDD_API_Design_v1_Workshop.xlsx</t>
        </is>
      </c>
      <c r="I9" s="19" t="inlineStr">
        <is>
          <t>2.4.2 Instalment Convert</t>
        </is>
      </c>
      <c r="J9" s="19" t="inlineStr">
        <is>
          <t>API_Specs_Index!A19:H19</t>
        </is>
      </c>
      <c r="K9" s="19" t="inlineStr"/>
      <c r="L9" s="19" t="inlineStr"/>
      <c r="M9" s="19" t="n">
        <v>0</v>
      </c>
    </row>
    <row r="10">
      <c r="A10" s="23" t="inlineStr">
        <is>
          <t>API-009</t>
        </is>
      </c>
      <c r="B10" s="19" t="inlineStr">
        <is>
          <t>Credit Card API Design</t>
        </is>
      </c>
      <c r="C10" s="19" t="inlineStr">
        <is>
          <t>2.4.2.2 Inst Conv Confirm</t>
        </is>
      </c>
      <c r="D10" s="19" t="inlineStr">
        <is>
          <t>Apply installment convertion</t>
        </is>
      </c>
      <c r="E10" s="19" t="inlineStr">
        <is>
          <t>POST</t>
        </is>
      </c>
      <c r="F10" s="19" t="inlineStr">
        <is>
          <t>/v1/external/credit-card/apply-instalment-conversion</t>
        </is>
      </c>
      <c r="G10" s="19" t="inlineStr">
        <is>
          <t>dep-card</t>
        </is>
      </c>
      <c r="H10" s="19" t="inlineStr">
        <is>
          <t>ECLIPSE_Account Dashboard_Credit_Card_DDD_API_Design_v1_Workshop.xlsx</t>
        </is>
      </c>
      <c r="I10" s="19" t="inlineStr">
        <is>
          <t>2.4.2.2 Inst Conv Confirm</t>
        </is>
      </c>
      <c r="J10" s="19" t="inlineStr">
        <is>
          <t>API_Specs_Index!A20:H20</t>
        </is>
      </c>
      <c r="K10" s="19" t="inlineStr"/>
      <c r="L10" s="19" t="inlineStr"/>
      <c r="M10" s="19" t="n">
        <v>10</v>
      </c>
    </row>
    <row r="11">
      <c r="A11" s="23" t="inlineStr">
        <is>
          <t>API-010</t>
        </is>
      </c>
      <c r="B11" s="19" t="inlineStr">
        <is>
          <t>Credit Card API Design</t>
        </is>
      </c>
      <c r="C11" s="19" t="inlineStr">
        <is>
          <t>2.4.3.1 ICL Permanent</t>
        </is>
      </c>
      <c r="D11" s="19" t="inlineStr">
        <is>
          <t>Increase credit limit permanent</t>
        </is>
      </c>
      <c r="E11" s="19" t="inlineStr">
        <is>
          <t>POST</t>
        </is>
      </c>
      <c r="F11" s="19" t="inlineStr">
        <is>
          <t>/v1/external/credit-card/increase-credit-limit</t>
        </is>
      </c>
      <c r="G11" s="19" t="inlineStr">
        <is>
          <t>dep-card</t>
        </is>
      </c>
      <c r="H11" s="19" t="inlineStr">
        <is>
          <t>ECLIPSE_Account Dashboard_Credit_Card_DDD_API_Design_v1_Workshop.xlsx</t>
        </is>
      </c>
      <c r="I11" s="19" t="inlineStr">
        <is>
          <t>2.4.3.1 ICL Permanent</t>
        </is>
      </c>
      <c r="J11" s="19" t="inlineStr">
        <is>
          <t>API_Specs_Index!A22:H22</t>
        </is>
      </c>
      <c r="K11" s="19" t="inlineStr"/>
      <c r="L11" s="19" t="inlineStr"/>
      <c r="M11" s="19" t="n">
        <v>0</v>
      </c>
    </row>
    <row r="12">
      <c r="A12" s="23" t="inlineStr">
        <is>
          <t>API-011</t>
        </is>
      </c>
      <c r="B12" s="19" t="inlineStr">
        <is>
          <t>Credit Card API Design</t>
        </is>
      </c>
      <c r="C12" s="19" t="inlineStr">
        <is>
          <t>2.4.4 Block Card</t>
        </is>
      </c>
      <c r="D12" s="19" t="inlineStr">
        <is>
          <t>Block credit card</t>
        </is>
      </c>
      <c r="E12" s="19" t="inlineStr">
        <is>
          <t>POST</t>
        </is>
      </c>
      <c r="F12" s="19" t="inlineStr">
        <is>
          <t>/v1/external/cards/block</t>
        </is>
      </c>
      <c r="G12" s="19" t="inlineStr">
        <is>
          <t>dep-card</t>
        </is>
      </c>
      <c r="H12" s="19" t="inlineStr">
        <is>
          <t>ECLIPSE_Account Dashboard_Credit_Card_DDD_API_Design_v1_Workshop.xlsx</t>
        </is>
      </c>
      <c r="I12" s="19" t="inlineStr">
        <is>
          <t>2.4.4 Block Card</t>
        </is>
      </c>
      <c r="J12" s="19" t="inlineStr">
        <is>
          <t>API_Specs_Index!A25:H25</t>
        </is>
      </c>
      <c r="K12" s="19" t="inlineStr"/>
      <c r="L12" s="19" t="inlineStr"/>
      <c r="M12" s="19" t="n">
        <v>8</v>
      </c>
    </row>
    <row r="13">
      <c r="A13" s="23" t="inlineStr">
        <is>
          <t>API-012</t>
        </is>
      </c>
      <c r="B13" s="19" t="inlineStr">
        <is>
          <t>Credit Card API Design</t>
        </is>
      </c>
      <c r="C13" s="19" t="inlineStr">
        <is>
          <t>2.4.5 Unblock Card</t>
        </is>
      </c>
      <c r="D13" s="19" t="inlineStr">
        <is>
          <t>Unblock credit card</t>
        </is>
      </c>
      <c r="E13" s="19" t="inlineStr">
        <is>
          <t>POST</t>
        </is>
      </c>
      <c r="F13" s="19" t="inlineStr">
        <is>
          <t>/v1/external/cards/unblock</t>
        </is>
      </c>
      <c r="G13" s="19" t="inlineStr">
        <is>
          <t>dep-card</t>
        </is>
      </c>
      <c r="H13" s="19" t="inlineStr">
        <is>
          <t>ECLIPSE_Account Dashboard_Credit_Card_DDD_API_Design_v1_Workshop.xlsx</t>
        </is>
      </c>
      <c r="I13" s="19" t="inlineStr">
        <is>
          <t>2.4.5 Unblock Card</t>
        </is>
      </c>
      <c r="J13" s="19" t="inlineStr">
        <is>
          <t>API_Specs_Index!A26:H26</t>
        </is>
      </c>
      <c r="K13" s="19" t="inlineStr"/>
      <c r="L13" s="19" t="inlineStr"/>
      <c r="M13" s="19" t="n">
        <v>6</v>
      </c>
    </row>
    <row r="14">
      <c r="A14" s="23" t="inlineStr">
        <is>
          <t>API-013</t>
        </is>
      </c>
      <c r="B14" s="19" t="inlineStr">
        <is>
          <t>Credit Card API Design</t>
        </is>
      </c>
      <c r="C14" s="19" t="inlineStr">
        <is>
          <t>2.4.6 Replace &amp; Renew Card</t>
        </is>
      </c>
      <c r="D14" s="19" t="inlineStr">
        <is>
          <t>Credit card replacement</t>
        </is>
      </c>
      <c r="E14" s="19" t="inlineStr">
        <is>
          <t>POST</t>
        </is>
      </c>
      <c r="F14" s="19" t="inlineStr">
        <is>
          <t>/v1/external/credit-card/replacement</t>
        </is>
      </c>
      <c r="G14" s="19" t="inlineStr">
        <is>
          <t>dep-card</t>
        </is>
      </c>
      <c r="H14" s="19" t="inlineStr">
        <is>
          <t>ECLIPSE_Account Dashboard_Credit_Card_DDD_API_Design_v1_Workshop.xlsx</t>
        </is>
      </c>
      <c r="I14" s="19" t="inlineStr">
        <is>
          <t>2.4.6 Replace &amp; Renew Card</t>
        </is>
      </c>
      <c r="J14" s="19" t="inlineStr">
        <is>
          <t>API_Specs_Index!A27:H27</t>
        </is>
      </c>
      <c r="K14" s="19" t="inlineStr"/>
      <c r="L14" s="19" t="inlineStr"/>
      <c r="M14" s="19" t="n">
        <v>2</v>
      </c>
    </row>
    <row r="15">
      <c r="A15" s="23" t="inlineStr">
        <is>
          <t>API-014</t>
        </is>
      </c>
      <c r="B15" s="19" t="inlineStr">
        <is>
          <t>Credit Card API Design</t>
        </is>
      </c>
      <c r="C15" s="19" t="inlineStr">
        <is>
          <t>2.4.7 Reset PIN</t>
        </is>
      </c>
      <c r="D15" s="19" t="inlineStr">
        <is>
          <t>Reset credit card PIN</t>
        </is>
      </c>
      <c r="E15" s="19" t="inlineStr">
        <is>
          <t>POST</t>
        </is>
      </c>
      <c r="F15" s="19" t="inlineStr">
        <is>
          <t>/v1/external/cards/reset-pin</t>
        </is>
      </c>
      <c r="G15" s="19" t="inlineStr">
        <is>
          <t>dep-card</t>
        </is>
      </c>
      <c r="H15" s="19" t="inlineStr">
        <is>
          <t>ECLIPSE_Account Dashboard_Credit_Card_DDD_API_Design_v1_Workshop.xlsx</t>
        </is>
      </c>
      <c r="I15" s="19" t="inlineStr">
        <is>
          <t>2.4.7 Reset PIN</t>
        </is>
      </c>
      <c r="J15" s="19" t="inlineStr">
        <is>
          <t>API_Specs_Index!A29:H29</t>
        </is>
      </c>
      <c r="K15" s="19" t="inlineStr"/>
      <c r="L15" s="19" t="inlineStr"/>
      <c r="M15" s="19" t="n">
        <v>2</v>
      </c>
    </row>
    <row r="16">
      <c r="A16" s="23" t="inlineStr">
        <is>
          <t>API-015</t>
        </is>
      </c>
      <c r="B16" s="19" t="inlineStr">
        <is>
          <t>Debit Card API Design</t>
        </is>
      </c>
      <c r="C16" s="19" t="inlineStr">
        <is>
          <t>2.1 CC Dashboard - Landing</t>
        </is>
      </c>
      <c r="D16" s="19" t="inlineStr">
        <is>
          <t>Cards dashboard</t>
        </is>
      </c>
      <c r="E16" s="19" t="inlineStr">
        <is>
          <t>GET</t>
        </is>
      </c>
      <c r="F16" s="19" t="inlineStr">
        <is>
          <t>/v1/external/accounts?accountGroup={accountGroup}</t>
        </is>
      </c>
      <c r="G16" s="19" t="inlineStr">
        <is>
          <t>dep-dashboard</t>
        </is>
      </c>
      <c r="H16" s="19" t="inlineStr">
        <is>
          <t>ECLIPSE_Account Dashboard_Debit_Card_DDD_API_Design_v1_Workshop (1).xlsx</t>
        </is>
      </c>
      <c r="I16" s="19" t="inlineStr">
        <is>
          <t>2.1 CC Dashboard - Landing</t>
        </is>
      </c>
      <c r="J16" s="19" t="inlineStr">
        <is>
          <t>API_Specs_Index!A2:H2</t>
        </is>
      </c>
      <c r="K16" s="19" t="inlineStr"/>
      <c r="L16" s="19" t="inlineStr"/>
      <c r="M16" s="19" t="n">
        <v>0</v>
      </c>
    </row>
    <row r="17">
      <c r="A17" s="23" t="inlineStr">
        <is>
          <t>API-016</t>
        </is>
      </c>
      <c r="B17" s="19" t="inlineStr">
        <is>
          <t>Debit Card API Design</t>
        </is>
      </c>
      <c r="C17" s="19" t="inlineStr">
        <is>
          <t>1.3.1 Card Activation</t>
        </is>
      </c>
      <c r="D17" s="19" t="inlineStr">
        <is>
          <t>Debit card activation + set card pin</t>
        </is>
      </c>
      <c r="E17" s="19" t="inlineStr">
        <is>
          <t>POST</t>
        </is>
      </c>
      <c r="F17" s="19" t="inlineStr">
        <is>
          <t>/v1/external/debit-card/activate</t>
        </is>
      </c>
      <c r="G17" s="19" t="inlineStr">
        <is>
          <t>dep-card</t>
        </is>
      </c>
      <c r="H17" s="19" t="inlineStr">
        <is>
          <t>ECLIPSE_Account Dashboard_Debit_Card_DDD_API_Design_v1_Workshop (1).xlsx</t>
        </is>
      </c>
      <c r="I17" s="19" t="inlineStr">
        <is>
          <t>1.3.1 Card Activation</t>
        </is>
      </c>
      <c r="J17" s="19" t="inlineStr">
        <is>
          <t>API_Specs_Index!A4:H4</t>
        </is>
      </c>
      <c r="K17" s="19" t="inlineStr"/>
      <c r="L17" s="19" t="inlineStr">
        <is>
          <t>Pending ESB Spec</t>
        </is>
      </c>
      <c r="M17" s="19" t="n">
        <v>0</v>
      </c>
    </row>
    <row r="18">
      <c r="A18" s="23" t="inlineStr">
        <is>
          <t>API-017</t>
        </is>
      </c>
      <c r="B18" s="19" t="inlineStr">
        <is>
          <t>Debit Card API Design</t>
        </is>
      </c>
      <c r="C18" s="19" t="inlineStr">
        <is>
          <t>1.3.2 Card Details</t>
        </is>
      </c>
      <c r="D18" s="19" t="inlineStr">
        <is>
          <t>Debit card detail</t>
        </is>
      </c>
      <c r="E18" s="19" t="inlineStr">
        <is>
          <t>GET</t>
        </is>
      </c>
      <c r="F18" s="19" t="inlineStr">
        <is>
          <t>/v1/external/accounts/account-type/{accountType}/account-id/{accountId}/detail</t>
        </is>
      </c>
      <c r="G18" s="19" t="inlineStr">
        <is>
          <t>info-card</t>
        </is>
      </c>
      <c r="H18" s="19" t="inlineStr">
        <is>
          <t>ECLIPSE_Account Dashboard_Debit_Card_DDD_API_Design_v1_Workshop (1).xlsx</t>
        </is>
      </c>
      <c r="I18" s="19" t="inlineStr">
        <is>
          <t>1.3.2 Card Details</t>
        </is>
      </c>
      <c r="J18" s="19" t="inlineStr">
        <is>
          <t>API_Specs_Index!A5:H5</t>
        </is>
      </c>
      <c r="K18" s="19" t="inlineStr"/>
      <c r="L18" s="19" t="inlineStr">
        <is>
          <t>ESB_API_Spec_AccountInfo_v2.8 -&gt; Account Balance Details</t>
        </is>
      </c>
      <c r="M18" s="19" t="n">
        <v>19</v>
      </c>
    </row>
    <row r="19">
      <c r="A19" s="23" t="inlineStr">
        <is>
          <t>API-018</t>
        </is>
      </c>
      <c r="B19" s="19" t="inlineStr">
        <is>
          <t>Debit Card API Design</t>
        </is>
      </c>
      <c r="C19" s="19" t="inlineStr">
        <is>
          <t>1.3.2.1 Linked Accounts</t>
        </is>
      </c>
      <c r="D19" s="19" t="inlineStr">
        <is>
          <t>Card manage linked account</t>
        </is>
      </c>
      <c r="E19" s="19" t="inlineStr">
        <is>
          <t>GET</t>
        </is>
      </c>
      <c r="F19" s="19" t="inlineStr">
        <is>
          <t>/v1/external/casa/manage?cardNumber={cardNumber}</t>
        </is>
      </c>
      <c r="G19" s="19" t="inlineStr">
        <is>
          <t>dep-casa</t>
        </is>
      </c>
      <c r="H19" s="19" t="inlineStr">
        <is>
          <t>ECLIPSE_Account Dashboard_Debit_Card_DDD_API_Design_v1_Workshop (1).xlsx</t>
        </is>
      </c>
      <c r="I19" s="19" t="inlineStr">
        <is>
          <t>1.3.2.1 Linked Accounts</t>
        </is>
      </c>
      <c r="J19" s="19" t="inlineStr">
        <is>
          <t>API_Specs_Index!A10:H10</t>
        </is>
      </c>
      <c r="K19" s="19" t="inlineStr"/>
      <c r="L19" s="19" t="inlineStr">
        <is>
          <t>ESB_API_Spec_AccountInfo_v2.8 -&gt; getDebitCardInfo</t>
        </is>
      </c>
      <c r="M19" s="19" t="n">
        <v>0</v>
      </c>
    </row>
    <row r="20">
      <c r="A20" s="23" t="inlineStr">
        <is>
          <t>API-019</t>
        </is>
      </c>
      <c r="B20" s="19" t="inlineStr">
        <is>
          <t>Debit Card API Design</t>
        </is>
      </c>
      <c r="C20" s="19" t="inlineStr">
        <is>
          <t>1.3.2.2 Reset Card PIN</t>
        </is>
      </c>
      <c r="D20" s="19" t="inlineStr">
        <is>
          <t>Debit card reset pin</t>
        </is>
      </c>
      <c r="E20" s="19" t="inlineStr">
        <is>
          <t>POST</t>
        </is>
      </c>
      <c r="F20" s="19" t="inlineStr">
        <is>
          <t>/v1/external/cards/reset-pin</t>
        </is>
      </c>
      <c r="G20" s="19" t="inlineStr">
        <is>
          <t>dep-card</t>
        </is>
      </c>
      <c r="H20" s="19" t="inlineStr">
        <is>
          <t>ECLIPSE_Account Dashboard_Debit_Card_DDD_API_Design_v1_Workshop (1).xlsx</t>
        </is>
      </c>
      <c r="I20" s="19" t="inlineStr">
        <is>
          <t>1.3.2.2 Reset Card PIN</t>
        </is>
      </c>
      <c r="J20" s="19" t="inlineStr">
        <is>
          <t>API_Specs_Index!A12:H12</t>
        </is>
      </c>
      <c r="K20" s="19" t="inlineStr"/>
      <c r="L20" s="19" t="inlineStr">
        <is>
          <t>Pending ESB Spec</t>
        </is>
      </c>
      <c r="M20" s="19" t="n">
        <v>0</v>
      </c>
    </row>
    <row r="21">
      <c r="A21" s="23" t="inlineStr">
        <is>
          <t>API-020</t>
        </is>
      </c>
      <c r="B21" s="19" t="inlineStr">
        <is>
          <t>Debit Card API Design</t>
        </is>
      </c>
      <c r="C21" s="19" t="inlineStr">
        <is>
          <t>1.3.2.3 Block &amp; Unblock Card</t>
        </is>
      </c>
      <c r="D21" s="19" t="inlineStr">
        <is>
          <t>Debit card block</t>
        </is>
      </c>
      <c r="E21" s="19" t="inlineStr">
        <is>
          <t>POST</t>
        </is>
      </c>
      <c r="F21" s="19" t="inlineStr">
        <is>
          <t>/v1/external/cards/block</t>
        </is>
      </c>
      <c r="G21" s="19" t="inlineStr">
        <is>
          <t>dep-card</t>
        </is>
      </c>
      <c r="H21" s="19" t="inlineStr">
        <is>
          <t>ECLIPSE_Account Dashboard_Debit_Card_DDD_API_Design_v1_Workshop (1).xlsx</t>
        </is>
      </c>
      <c r="I21" s="19" t="inlineStr">
        <is>
          <t>1.3.2.3 Block &amp; Unblock Card</t>
        </is>
      </c>
      <c r="J21" s="19" t="inlineStr">
        <is>
          <t>API_Specs_Index!A13:H13</t>
        </is>
      </c>
      <c r="K21" s="19" t="inlineStr"/>
      <c r="L21" s="19" t="inlineStr">
        <is>
          <t>Pending ESB Spec</t>
        </is>
      </c>
      <c r="M21" s="19" t="n">
        <v>21</v>
      </c>
    </row>
    <row r="22">
      <c r="A22" s="23" t="inlineStr">
        <is>
          <t>API-021</t>
        </is>
      </c>
      <c r="B22" s="19" t="inlineStr">
        <is>
          <t>Debit Card API Design</t>
        </is>
      </c>
      <c r="C22" s="19" t="inlineStr">
        <is>
          <t>1.3.2.4 Replace Card</t>
        </is>
      </c>
      <c r="D22" s="19" t="inlineStr">
        <is>
          <t>Debit card charge rules</t>
        </is>
      </c>
      <c r="E22" s="19" t="inlineStr">
        <is>
          <t>GET</t>
        </is>
      </c>
      <c r="F22" s="19" t="inlineStr">
        <is>
          <t>/v1/external/debit-card/replacement-charge-rules</t>
        </is>
      </c>
      <c r="G22" s="19" t="inlineStr">
        <is>
          <t>dep-card</t>
        </is>
      </c>
      <c r="H22" s="19" t="inlineStr">
        <is>
          <t>ECLIPSE_Account Dashboard_Debit_Card_DDD_API_Design_v1_Workshop (1).xlsx</t>
        </is>
      </c>
      <c r="I22" s="19" t="inlineStr">
        <is>
          <t>1.3.2.4 Replace Card</t>
        </is>
      </c>
      <c r="J22" s="19" t="inlineStr">
        <is>
          <t>API_Specs_Index!A15:H15</t>
        </is>
      </c>
      <c r="K22" s="19" t="inlineStr"/>
      <c r="L22" s="19" t="inlineStr">
        <is>
          <t>ESB_API_Spec_AccountInfo_v2.8 -&gt; Account Balance Details</t>
        </is>
      </c>
      <c r="M22" s="19" t="n">
        <v>0</v>
      </c>
    </row>
    <row r="23">
      <c r="A23" s="23" t="inlineStr">
        <is>
          <t>API-022</t>
        </is>
      </c>
      <c r="B23" s="19" t="inlineStr">
        <is>
          <t>Insurance API Design</t>
        </is>
      </c>
      <c r="C23" s="19" t="inlineStr">
        <is>
          <t>1.4 Insurance - Dashboard</t>
        </is>
      </c>
      <c r="D23" s="19" t="inlineStr">
        <is>
          <t>Insurance dashboard</t>
        </is>
      </c>
      <c r="E23" s="19" t="inlineStr">
        <is>
          <t>GET</t>
        </is>
      </c>
      <c r="F23" s="19" t="inlineStr">
        <is>
          <t>/v1/external/accounts?accountGroup={accountGroup}</t>
        </is>
      </c>
      <c r="G23" s="19" t="inlineStr">
        <is>
          <t>dep-dashboard</t>
        </is>
      </c>
      <c r="H23" s="19" t="inlineStr">
        <is>
          <t>ECLIPSE_Account Dashboard_Insurance_DDD_API_Design_v1_Workshop.xlsx</t>
        </is>
      </c>
      <c r="I23" s="19" t="inlineStr">
        <is>
          <t>1.4 Insurance - Dashboard</t>
        </is>
      </c>
      <c r="J23" s="19" t="inlineStr">
        <is>
          <t>API_Specs_Index!A2:H2</t>
        </is>
      </c>
      <c r="K23" s="19" t="inlineStr"/>
      <c r="L23" s="19" t="inlineStr"/>
      <c r="M23" s="19" t="n">
        <v>16</v>
      </c>
    </row>
    <row r="24">
      <c r="A24" s="23" t="inlineStr">
        <is>
          <t>API-023</t>
        </is>
      </c>
      <c r="B24" s="19" t="inlineStr">
        <is>
          <t>Insurance API Design</t>
        </is>
      </c>
      <c r="C24" s="19" t="inlineStr">
        <is>
          <t>1.4.1 Health</t>
        </is>
      </c>
      <c r="D24" s="19" t="inlineStr">
        <is>
          <t>Health Detail</t>
        </is>
      </c>
      <c r="E24" s="19" t="inlineStr">
        <is>
          <t>GET</t>
        </is>
      </c>
      <c r="F24" s="19" t="inlineStr">
        <is>
          <t>/v1/{accountType}/{accountId}/detail</t>
        </is>
      </c>
      <c r="G24" s="19" t="inlineStr">
        <is>
          <t>info-insurance</t>
        </is>
      </c>
      <c r="H24" s="19" t="inlineStr">
        <is>
          <t>ECLIPSE_Account Dashboard_Insurance_DDD_API_Design_v1_Workshop.xlsx</t>
        </is>
      </c>
      <c r="I24" s="19" t="inlineStr">
        <is>
          <t>1.4.1 Health</t>
        </is>
      </c>
      <c r="J24" s="19" t="inlineStr">
        <is>
          <t>API_Specs_Index!A3:H3</t>
        </is>
      </c>
      <c r="K24" s="19" t="inlineStr"/>
      <c r="L24" s="19" t="inlineStr"/>
      <c r="M24" s="19" t="n">
        <v>0</v>
      </c>
    </row>
    <row r="25">
      <c r="A25" s="23" t="inlineStr">
        <is>
          <t>API-024</t>
        </is>
      </c>
      <c r="B25" s="19" t="inlineStr">
        <is>
          <t>Insurance API Design</t>
        </is>
      </c>
      <c r="C25" s="19" t="inlineStr">
        <is>
          <t>1.4.2 Life with UnitLink</t>
        </is>
      </c>
      <c r="D25" s="19" t="inlineStr">
        <is>
          <t>Life Detail with UnitLink</t>
        </is>
      </c>
      <c r="E25" s="19" t="inlineStr">
        <is>
          <t>GET</t>
        </is>
      </c>
      <c r="F25" s="19" t="inlineStr">
        <is>
          <t>/v1/{accountType}/{accountId}/detail</t>
        </is>
      </c>
      <c r="G25" s="19" t="inlineStr">
        <is>
          <t>info-insurance</t>
        </is>
      </c>
      <c r="H25" s="19" t="inlineStr">
        <is>
          <t>ECLIPSE_Account Dashboard_Insurance_DDD_API_Design_v1_Workshop.xlsx</t>
        </is>
      </c>
      <c r="I25" s="19" t="inlineStr">
        <is>
          <t>1.4.2 Life with UnitLink</t>
        </is>
      </c>
      <c r="J25" s="19" t="inlineStr">
        <is>
          <t>API_Specs_Index!A4:H4</t>
        </is>
      </c>
      <c r="K25" s="19" t="inlineStr"/>
      <c r="L25" s="19" t="inlineStr"/>
      <c r="M25" s="19" t="n">
        <v>0</v>
      </c>
    </row>
    <row r="26">
      <c r="A26" s="23" t="inlineStr">
        <is>
          <t>API-025</t>
        </is>
      </c>
      <c r="B26" s="19" t="inlineStr">
        <is>
          <t>Insurance API Design</t>
        </is>
      </c>
      <c r="C26" s="19" t="inlineStr">
        <is>
          <t>1.4.3 Life Traditional</t>
        </is>
      </c>
      <c r="D26" s="19" t="inlineStr">
        <is>
          <t>Life Traditional</t>
        </is>
      </c>
      <c r="E26" s="19" t="inlineStr">
        <is>
          <t>GET</t>
        </is>
      </c>
      <c r="F26" s="19" t="inlineStr">
        <is>
          <t>/v1/{accountType}/{accountId}/detail</t>
        </is>
      </c>
      <c r="G26" s="19" t="inlineStr">
        <is>
          <t>info-insurance</t>
        </is>
      </c>
      <c r="H26" s="19" t="inlineStr">
        <is>
          <t>ECLIPSE_Account Dashboard_Insurance_DDD_API_Design_v1_Workshop.xlsx</t>
        </is>
      </c>
      <c r="I26" s="19" t="inlineStr">
        <is>
          <t>1.4.3 Life Traditional</t>
        </is>
      </c>
      <c r="J26" s="19" t="inlineStr">
        <is>
          <t>API_Specs_Index!A5:H5</t>
        </is>
      </c>
      <c r="K26" s="19" t="inlineStr"/>
      <c r="L26" s="19" t="inlineStr"/>
      <c r="M26" s="19" t="n">
        <v>0</v>
      </c>
    </row>
    <row r="27">
      <c r="A27" s="23" t="inlineStr">
        <is>
          <t>API-026</t>
        </is>
      </c>
      <c r="B27" s="19" t="inlineStr">
        <is>
          <t>Loan API Design</t>
        </is>
      </c>
      <c r="C27" s="19" t="inlineStr">
        <is>
          <t>1.1 Loan Dashboard - Landing</t>
        </is>
      </c>
      <c r="D27" s="19" t="inlineStr">
        <is>
          <t>Loan dashboard</t>
        </is>
      </c>
      <c r="E27" s="19" t="inlineStr">
        <is>
          <t>GET</t>
        </is>
      </c>
      <c r="F27" s="19" t="inlineStr">
        <is>
          <t>/v1/external/accounts?accountGroup={accountGroup}</t>
        </is>
      </c>
      <c r="G27" s="19" t="inlineStr">
        <is>
          <t>dep-dashboard</t>
        </is>
      </c>
      <c r="H27" s="19" t="inlineStr">
        <is>
          <t>ECLIPSE_Account Dashboard_Loan_DDD_API_Design_v1_Workshop.xlsx</t>
        </is>
      </c>
      <c r="I27" s="19" t="inlineStr">
        <is>
          <t>1.1 Loan Dashboard - Landing</t>
        </is>
      </c>
      <c r="J27" s="19" t="inlineStr">
        <is>
          <t>API_Specs_Index!A2:H2</t>
        </is>
      </c>
      <c r="K27" s="19" t="inlineStr"/>
      <c r="L27" s="19" t="inlineStr"/>
      <c r="M27" s="19" t="n">
        <v>74</v>
      </c>
    </row>
    <row r="28">
      <c r="A28" s="23" t="inlineStr">
        <is>
          <t>API-027</t>
        </is>
      </c>
      <c r="B28" s="19" t="inlineStr">
        <is>
          <t>Loan API Design</t>
        </is>
      </c>
      <c r="C28" s="19" t="inlineStr">
        <is>
          <t>1.2 Personal Loan Acc
1.2.4 PL Shariah Acc
1.3 Auto Loan Acc
1.3.1 Auto Loan Shariah
1.4 Mortgage Loan Acc
1.4.1 Mortgage Loan Shariah</t>
        </is>
      </c>
      <c r="D28" s="19" t="inlineStr">
        <is>
          <t>Loan transaction history</t>
        </is>
      </c>
      <c r="E28" s="19" t="inlineStr">
        <is>
          <t>GET</t>
        </is>
      </c>
      <c r="F28" s="19" t="inlineStr">
        <is>
          <t>/v1/external/accounts/account-type/{accountType}/account-id/{accountId}/transactions</t>
        </is>
      </c>
      <c r="G28" s="19" t="inlineStr">
        <is>
          <t>info-loan</t>
        </is>
      </c>
      <c r="H28" s="19" t="inlineStr">
        <is>
          <t>ECLIPSE_Account Dashboard_Loan_DDD_API_Design_v1_Workshop.xlsx</t>
        </is>
      </c>
      <c r="I28" s="19" t="inlineStr">
        <is>
          <t>1.2 Personal Loan Acc
1.2.4 PL Shariah Acc
1.3 Auto Loan Acc
1.3.1 Auto Loan Shariah
1.4 Mortgage Loan Acc
1.4.1 Mortgage Loan Shariah</t>
        </is>
      </c>
      <c r="J28" s="19" t="inlineStr">
        <is>
          <t>API_Specs_Index!A4:H4</t>
        </is>
      </c>
      <c r="K28" s="19" t="inlineStr"/>
      <c r="L28" s="19" t="inlineStr">
        <is>
          <t>Pending ESB Spec</t>
        </is>
      </c>
      <c r="M28" s="19" t="n">
        <v>50</v>
      </c>
    </row>
    <row r="29">
      <c r="A29" s="23" t="inlineStr">
        <is>
          <t>API-028</t>
        </is>
      </c>
      <c r="B29" s="19" t="inlineStr">
        <is>
          <t>Loan API Design</t>
        </is>
      </c>
      <c r="C29" s="19" t="inlineStr">
        <is>
          <t>1.2.1 View All Trans</t>
        </is>
      </c>
      <c r="D29" s="19" t="inlineStr">
        <is>
          <t>View all transaction history</t>
        </is>
      </c>
      <c r="E29" s="19" t="inlineStr">
        <is>
          <t>GET</t>
        </is>
      </c>
      <c r="F29" s="19" t="inlineStr">
        <is>
          <t>/v1/external/accounts/account-type/{accountType}/account-id/{accountId}/transactions?startDate={startDate}&amp;endDate={endDate}&amp;page={page}&amp;limit={limit}</t>
        </is>
      </c>
      <c r="G29" s="19" t="inlineStr">
        <is>
          <t>info-loan</t>
        </is>
      </c>
      <c r="H29" s="19" t="inlineStr">
        <is>
          <t>ECLIPSE_Account Dashboard_Loan_DDD_API_Design_v1_Workshop.xlsx</t>
        </is>
      </c>
      <c r="I29" s="19" t="inlineStr">
        <is>
          <t>1.2.1 View All Trans</t>
        </is>
      </c>
      <c r="J29" s="19" t="inlineStr">
        <is>
          <t>API_Specs_Index!A5:H5</t>
        </is>
      </c>
      <c r="K29" s="19" t="inlineStr"/>
      <c r="L29" s="19" t="inlineStr">
        <is>
          <t>Pending ESB Spec</t>
        </is>
      </c>
      <c r="M29" s="19" t="n">
        <v>30</v>
      </c>
    </row>
    <row r="30">
      <c r="A30" s="23" t="inlineStr">
        <is>
          <t>API-029</t>
        </is>
      </c>
      <c r="B30" s="19" t="inlineStr">
        <is>
          <t>Loan API Design</t>
        </is>
      </c>
      <c r="C30" s="19" t="inlineStr">
        <is>
          <t>1.2.2 PL Convent Summary
1.2.5 PL Shariah Summary
1.3 Auto Loan Acc
1.3.1 Auto Loan Shariah
1.4 Mortgage Loan Acc
1.4.1 Mortgage Loan Shariah</t>
        </is>
      </c>
      <c r="D30" s="19" t="inlineStr">
        <is>
          <t>Loan detail</t>
        </is>
      </c>
      <c r="E30" s="19" t="inlineStr">
        <is>
          <t>GET</t>
        </is>
      </c>
      <c r="F30" s="19" t="inlineStr">
        <is>
          <t>/v1/external/accounts/account-type/{accountType}/account-id/{accountId}/detail</t>
        </is>
      </c>
      <c r="G30" s="19" t="inlineStr">
        <is>
          <t>info-loan</t>
        </is>
      </c>
      <c r="H30" s="19" t="inlineStr">
        <is>
          <t>ECLIPSE_Account Dashboard_Loan_DDD_API_Design_v1_Workshop.xlsx</t>
        </is>
      </c>
      <c r="I30" s="19" t="inlineStr">
        <is>
          <t>1.2.2 PL Convent Summary
1.2.5 PL Shariah Summary
1.3 Auto Loan Acc
1.3.1 Auto Loan Shariah
1.4 Mortgage Loan Acc
1.4.1 Mortgage Loan Shariah</t>
        </is>
      </c>
      <c r="J30" s="19" t="inlineStr">
        <is>
          <t>API_Specs_Index!A9:H9</t>
        </is>
      </c>
      <c r="K30" s="19" t="inlineStr"/>
      <c r="L30" s="19" t="inlineStr">
        <is>
          <t>ESB_API_Spec_AccountInfo_v2.8 -&gt; Account Balance Details 
Pending discussion for the the missing fields</t>
        </is>
      </c>
      <c r="M30" s="19" t="n">
        <v>1</v>
      </c>
    </row>
    <row r="31">
      <c r="A31" s="23" t="inlineStr">
        <is>
          <t>API-030</t>
        </is>
      </c>
      <c r="B31" s="19" t="inlineStr">
        <is>
          <t>Loan API Design</t>
        </is>
      </c>
      <c r="C31" s="19" t="inlineStr">
        <is>
          <t>1.2.3 PL Convent Manage
1.2.6 PL Shariah Manage
1.3 Auto Loan Acc
1.3.1 Auto Loan Shariah
1.4 Mortgage Loan Acc
1.4.1 Mortgage Loan Shariah</t>
        </is>
      </c>
      <c r="D31" s="19" t="inlineStr">
        <is>
          <t>Add loan nickname</t>
        </is>
      </c>
      <c r="E31" s="19" t="inlineStr">
        <is>
          <t>POST</t>
        </is>
      </c>
      <c r="F31" s="19" t="inlineStr">
        <is>
          <t>/v1/external/accounts/nickname</t>
        </is>
      </c>
      <c r="G31" s="19" t="inlineStr">
        <is>
          <t>info-loan</t>
        </is>
      </c>
      <c r="H31" s="19" t="inlineStr">
        <is>
          <t>ECLIPSE_Account Dashboard_Loan_DDD_API_Design_v1_Workshop.xlsx</t>
        </is>
      </c>
      <c r="I31" s="19" t="inlineStr">
        <is>
          <t>1.2.3 PL Convent Manage
1.2.6 PL Shariah Manage
1.3 Auto Loan Acc
1.3.1 Auto Loan Shariah
1.4 Mortgage Loan Acc
1.4.1 Mortgage Loan Shariah</t>
        </is>
      </c>
      <c r="J31" s="19" t="inlineStr">
        <is>
          <t>API_Specs_Index!A10:H10</t>
        </is>
      </c>
      <c r="K31" s="19" t="inlineStr"/>
      <c r="L31" s="19" t="inlineStr"/>
      <c r="M31" s="19" t="n">
        <v>1</v>
      </c>
    </row>
    <row r="32">
      <c r="A32" s="23" t="inlineStr">
        <is>
          <t>API-031</t>
        </is>
      </c>
      <c r="B32" s="19" t="inlineStr">
        <is>
          <t>Casa API Design</t>
        </is>
      </c>
      <c r="C32" s="19" t="inlineStr">
        <is>
          <t>1.2 Account Listing</t>
        </is>
      </c>
      <c r="D32" s="19" t="inlineStr">
        <is>
          <t>Casa dashboard</t>
        </is>
      </c>
      <c r="E32" s="19" t="inlineStr">
        <is>
          <t>GET</t>
        </is>
      </c>
      <c r="F32" s="19" t="inlineStr">
        <is>
          <t>/v1/external/accounts?accountGroup={accountGroup}</t>
        </is>
      </c>
      <c r="G32" s="19" t="inlineStr">
        <is>
          <t>dep-dashboard</t>
        </is>
      </c>
      <c r="H32" s="19" t="inlineStr">
        <is>
          <t>ECLIPSE_Account Dashboard_Casa_DDD_API_Design_v1_Workshop.xlsx</t>
        </is>
      </c>
      <c r="I32" s="19" t="inlineStr">
        <is>
          <t>1.2 Account Listing</t>
        </is>
      </c>
      <c r="J32" s="19" t="inlineStr">
        <is>
          <t>API_Specs_Index!A2:H2</t>
        </is>
      </c>
      <c r="K32" s="19" t="inlineStr"/>
      <c r="L32" s="19" t="inlineStr"/>
      <c r="M32" s="19" t="n">
        <v>0</v>
      </c>
    </row>
    <row r="33">
      <c r="A33" s="23" t="inlineStr">
        <is>
          <t>API-032</t>
        </is>
      </c>
      <c r="B33" s="19" t="inlineStr">
        <is>
          <t>Casa API Design</t>
        </is>
      </c>
      <c r="C33" s="19" t="inlineStr">
        <is>
          <t>1.2.1 CASA</t>
        </is>
      </c>
      <c r="D33" s="19" t="inlineStr">
        <is>
          <t>Casa detail</t>
        </is>
      </c>
      <c r="E33" s="19" t="inlineStr">
        <is>
          <t>GET</t>
        </is>
      </c>
      <c r="F33" s="19" t="inlineStr">
        <is>
          <t>/v1/external/accounts/account-type/{accountType}/account-id/{accountId}/detail</t>
        </is>
      </c>
      <c r="G33" s="19" t="inlineStr">
        <is>
          <t>info-casa</t>
        </is>
      </c>
      <c r="H33" s="19" t="inlineStr">
        <is>
          <t>ECLIPSE_Account Dashboard_Casa_DDD_API_Design_v1_Workshop.xlsx</t>
        </is>
      </c>
      <c r="I33" s="19" t="inlineStr">
        <is>
          <t>1.2.1 CASA</t>
        </is>
      </c>
      <c r="J33" s="19" t="inlineStr">
        <is>
          <t>API_Specs_Index!A5:H5</t>
        </is>
      </c>
      <c r="K33" s="19" t="inlineStr"/>
      <c r="L33" s="19" t="inlineStr">
        <is>
          <t>ESB_API_Spec_AccountInfo_v2.8 -&gt; Account Balance Details</t>
        </is>
      </c>
      <c r="M33" s="19" t="n">
        <v>0</v>
      </c>
    </row>
    <row r="34">
      <c r="A34" s="23" t="inlineStr">
        <is>
          <t>API-033</t>
        </is>
      </c>
      <c r="B34" s="19" t="inlineStr">
        <is>
          <t>Casa API Design</t>
        </is>
      </c>
      <c r="C34" s="19" t="inlineStr">
        <is>
          <t>1.2.1.1 Transaction Details</t>
        </is>
      </c>
      <c r="D34" s="19" t="inlineStr">
        <is>
          <t>Casa transaction detail</t>
        </is>
      </c>
      <c r="E34" s="19" t="inlineStr">
        <is>
          <t>GET</t>
        </is>
      </c>
      <c r="F34" s="19" t="inlineStr">
        <is>
          <t>/v1/external/transaction/detail/{transactionReferenceId}</t>
        </is>
      </c>
      <c r="G34" s="19" t="inlineStr">
        <is>
          <t>info-customer</t>
        </is>
      </c>
      <c r="H34" s="19" t="inlineStr">
        <is>
          <t>ECLIPSE_Account Dashboard_Casa_DDD_API_Design_v1_Workshop.xlsx</t>
        </is>
      </c>
      <c r="I34" s="19" t="inlineStr">
        <is>
          <t>1.2.1.1 Transaction Details</t>
        </is>
      </c>
      <c r="J34" s="19" t="inlineStr">
        <is>
          <t>API_Specs_Index!A12:H12</t>
        </is>
      </c>
      <c r="K34" s="19" t="inlineStr"/>
      <c r="L34" s="19" t="inlineStr"/>
      <c r="M34" s="19" t="n">
        <v>0</v>
      </c>
    </row>
    <row r="35">
      <c r="A35" s="23" t="inlineStr">
        <is>
          <t>API-034</t>
        </is>
      </c>
      <c r="B35" s="19" t="inlineStr">
        <is>
          <t>Casa API Design</t>
        </is>
      </c>
      <c r="C35" s="19" t="inlineStr">
        <is>
          <t>1.2.1.2 ViewAllTrans</t>
        </is>
      </c>
      <c r="D35" s="19" t="inlineStr">
        <is>
          <t>Casa view all transaction history</t>
        </is>
      </c>
      <c r="E35" s="19" t="inlineStr">
        <is>
          <t>GET</t>
        </is>
      </c>
      <c r="F35" s="19" t="inlineStr">
        <is>
          <t>/v1/external/accounts/account-type/{accountType}/account-id/{accountId}/transactions?startDate={startDate}&amp;endDate={endDate}&amp;page={page}&amp;limit={limit}</t>
        </is>
      </c>
      <c r="G35" s="19" t="inlineStr">
        <is>
          <t>info-casa</t>
        </is>
      </c>
      <c r="H35" s="19" t="inlineStr">
        <is>
          <t>ECLIPSE_Account Dashboard_Casa_DDD_API_Design_v1_Workshop.xlsx</t>
        </is>
      </c>
      <c r="I35" s="19" t="inlineStr">
        <is>
          <t>1.2.1.2 ViewAllTrans</t>
        </is>
      </c>
      <c r="J35" s="19" t="inlineStr">
        <is>
          <t>API_Specs_Index!A14:H14</t>
        </is>
      </c>
      <c r="K35" s="19" t="inlineStr"/>
      <c r="L35" s="19" t="inlineStr">
        <is>
          <t>ESB_API_Spec_AccountInfo_v2.8 -&gt; Transaction History</t>
        </is>
      </c>
      <c r="M35" s="19" t="n">
        <v>0</v>
      </c>
    </row>
    <row r="36">
      <c r="A36" s="23" t="inlineStr">
        <is>
          <t>API-035</t>
        </is>
      </c>
      <c r="B36" s="19" t="inlineStr">
        <is>
          <t>Casa API Design</t>
        </is>
      </c>
      <c r="C36" s="19" t="inlineStr">
        <is>
          <t>1.2.1.3 ManageLinkedCard</t>
        </is>
      </c>
      <c r="D36" s="19" t="inlineStr">
        <is>
          <t>Casa manage linked card</t>
        </is>
      </c>
      <c r="E36" s="19" t="inlineStr">
        <is>
          <t>GET</t>
        </is>
      </c>
      <c r="F36" s="19" t="inlineStr">
        <is>
          <t>/v1/external/debit-card/manage?accountId={accountId}</t>
        </is>
      </c>
      <c r="G36" s="19" t="inlineStr">
        <is>
          <t>dep-card</t>
        </is>
      </c>
      <c r="H36" s="19" t="inlineStr">
        <is>
          <t>ECLIPSE_Account Dashboard_Casa_DDD_API_Design_v1_Workshop.xlsx</t>
        </is>
      </c>
      <c r="I36" s="19" t="inlineStr">
        <is>
          <t>1.2.1.3 ManageLinkedCard</t>
        </is>
      </c>
      <c r="J36" s="19" t="inlineStr">
        <is>
          <t>API_Specs_Index!A18:H18</t>
        </is>
      </c>
      <c r="K36" s="19" t="inlineStr"/>
      <c r="L36" s="19" t="inlineStr">
        <is>
          <t>ESB_API_Spec_AccountInfo_v2.8 &gt;  AccountSummary_CASA_CC</t>
        </is>
      </c>
      <c r="M36" s="19" t="n">
        <v>0</v>
      </c>
    </row>
    <row r="37">
      <c r="A37" s="23" t="inlineStr">
        <is>
          <t>API-036</t>
        </is>
      </c>
      <c r="B37" s="19" t="inlineStr">
        <is>
          <t>Casa API Design</t>
        </is>
      </c>
      <c r="C37" s="19" t="inlineStr">
        <is>
          <t>1.2.1.4 BlockAccount</t>
        </is>
      </c>
      <c r="D37" s="19" t="inlineStr">
        <is>
          <t>Casa block account</t>
        </is>
      </c>
      <c r="E37" s="19" t="inlineStr">
        <is>
          <t>POST</t>
        </is>
      </c>
      <c r="F37" s="19" t="inlineStr">
        <is>
          <t>/v1/external/casa/block</t>
        </is>
      </c>
      <c r="G37" s="19" t="inlineStr">
        <is>
          <t>info-casa</t>
        </is>
      </c>
      <c r="H37" s="19" t="inlineStr">
        <is>
          <t>ECLIPSE_Account Dashboard_Casa_DDD_API_Design_v1_Workshop.xlsx</t>
        </is>
      </c>
      <c r="I37" s="19" t="inlineStr">
        <is>
          <t>1.2.1.4 BlockAccount</t>
        </is>
      </c>
      <c r="J37" s="19" t="inlineStr">
        <is>
          <t>API_Specs_Index!A22:H22</t>
        </is>
      </c>
      <c r="K37" s="19" t="inlineStr"/>
      <c r="L37" s="19" t="inlineStr">
        <is>
          <t>Pending ESB Spec</t>
        </is>
      </c>
      <c r="M37" s="19" t="n">
        <v>0</v>
      </c>
    </row>
    <row r="38">
      <c r="A38" s="23" t="inlineStr">
        <is>
          <t>API-037</t>
        </is>
      </c>
      <c r="B38" s="19" t="inlineStr">
        <is>
          <t>Casa API Design</t>
        </is>
      </c>
      <c r="C38" s="19" t="inlineStr">
        <is>
          <t>1.2.1.6 Inactive Account</t>
        </is>
      </c>
      <c r="D38" s="19" t="inlineStr">
        <is>
          <t>Personal information</t>
        </is>
      </c>
      <c r="E38" s="19" t="inlineStr">
        <is>
          <t>GET</t>
        </is>
      </c>
      <c r="F38" s="19" t="inlineStr">
        <is>
          <t>/v1/external/information</t>
        </is>
      </c>
      <c r="G38" s="19" t="inlineStr">
        <is>
          <t>info-customer</t>
        </is>
      </c>
      <c r="H38" s="19" t="inlineStr">
        <is>
          <t>ECLIPSE_Account Dashboard_Casa_DDD_API_Design_v1_Workshop.xlsx</t>
        </is>
      </c>
      <c r="I38" s="19" t="inlineStr">
        <is>
          <t>1.2.1.6 Inactive Account</t>
        </is>
      </c>
      <c r="J38" s="19" t="inlineStr">
        <is>
          <t>API_Specs_Index!A23:H23</t>
        </is>
      </c>
      <c r="K38" s="19" t="inlineStr"/>
      <c r="L38" s="19" t="inlineStr">
        <is>
          <t>ESB_API_Spec_CustomerInformation_v1.1 -&gt; Customer Information</t>
        </is>
      </c>
      <c r="M38" s="19" t="n">
        <v>0</v>
      </c>
    </row>
    <row r="39">
      <c r="A39" s="23" t="inlineStr">
        <is>
          <t>API-038</t>
        </is>
      </c>
      <c r="B39" s="19" t="inlineStr">
        <is>
          <t>Casa API Design</t>
        </is>
      </c>
      <c r="C39" s="19" t="inlineStr">
        <is>
          <t>1.2.6 Global Access</t>
        </is>
      </c>
      <c r="D39" s="19" t="inlineStr">
        <is>
          <t>Global access detail</t>
        </is>
      </c>
      <c r="E39" s="19" t="inlineStr">
        <is>
          <t>GET</t>
        </is>
      </c>
      <c r="F39" s="19" t="inlineStr">
        <is>
          <t>/v1/external/accounts/account-type/{accountType}/account-id/{accountId}/detail</t>
        </is>
      </c>
      <c r="G39" s="19" t="inlineStr">
        <is>
          <t>info-casa</t>
        </is>
      </c>
      <c r="H39" s="19" t="inlineStr">
        <is>
          <t>ECLIPSE_Account Dashboard_Casa_DDD_API_Design_v1_Workshop.xlsx</t>
        </is>
      </c>
      <c r="I39" s="19" t="inlineStr">
        <is>
          <t>1.2.6 Global Access</t>
        </is>
      </c>
      <c r="J39" s="19" t="inlineStr">
        <is>
          <t>API_Specs_Index!A25:H25</t>
        </is>
      </c>
      <c r="K39" s="19" t="inlineStr"/>
      <c r="L39" s="19" t="inlineStr">
        <is>
          <t>ESB_API_Spec_AccountInfo_v2.8 -&gt; Account Balance Details</t>
        </is>
      </c>
      <c r="M39" s="19" t="n">
        <v>0</v>
      </c>
    </row>
    <row r="40">
      <c r="A40" s="23" t="inlineStr">
        <is>
          <t>API-039</t>
        </is>
      </c>
      <c r="B40" s="19" t="inlineStr">
        <is>
          <t>Casa API Design</t>
        </is>
      </c>
      <c r="C40" s="19" t="inlineStr">
        <is>
          <t>1.2.6.3 Remove Currency</t>
        </is>
      </c>
      <c r="D40" s="19" t="inlineStr">
        <is>
          <t>Manage - remove currency</t>
        </is>
      </c>
      <c r="E40" s="19" t="inlineStr">
        <is>
          <t>DELETE</t>
        </is>
      </c>
      <c r="F40" s="19" t="inlineStr">
        <is>
          <t>/v1/external/accounts/{accountId}/currency/{currency}</t>
        </is>
      </c>
      <c r="G40" s="19" t="inlineStr">
        <is>
          <t>info-casa</t>
        </is>
      </c>
      <c r="H40" s="19" t="inlineStr">
        <is>
          <t>ECLIPSE_Account Dashboard_Casa_DDD_API_Design_v1_Workshop.xlsx</t>
        </is>
      </c>
      <c r="I40" s="19" t="inlineStr">
        <is>
          <t>1.2.6.3 Remove Currency</t>
        </is>
      </c>
      <c r="J40" s="19" t="inlineStr">
        <is>
          <t>API_Specs_Index!A33:H33</t>
        </is>
      </c>
      <c r="K40" s="19" t="inlineStr"/>
      <c r="L40" s="19" t="inlineStr">
        <is>
          <t>Pending ESB Spec</t>
        </is>
      </c>
      <c r="M40" s="19" t="n">
        <v>0</v>
      </c>
    </row>
    <row r="41">
      <c r="A41" s="23" t="inlineStr">
        <is>
          <t>API-040</t>
        </is>
      </c>
      <c r="B41" s="19" t="inlineStr">
        <is>
          <t>Casa API Design</t>
        </is>
      </c>
      <c r="C41" s="19" t="inlineStr">
        <is>
          <t>1.2.7 Giro Multicurrency</t>
        </is>
      </c>
      <c r="D41" s="19" t="inlineStr">
        <is>
          <t>Giro detail</t>
        </is>
      </c>
      <c r="E41" s="19" t="inlineStr">
        <is>
          <t>GET</t>
        </is>
      </c>
      <c r="F41" s="19" t="inlineStr">
        <is>
          <t>/v1/external/accounts/account-type/{accountType}/account-id/{accountId}/detail</t>
        </is>
      </c>
      <c r="G41" s="19" t="inlineStr">
        <is>
          <t>info-casa</t>
        </is>
      </c>
      <c r="H41" s="19" t="inlineStr">
        <is>
          <t>ECLIPSE_Account Dashboard_Casa_DDD_API_Design_v1_Workshop.xlsx</t>
        </is>
      </c>
      <c r="I41" s="19" t="inlineStr">
        <is>
          <t>1.2.7 Giro Multicurrency</t>
        </is>
      </c>
      <c r="J41" s="19" t="inlineStr">
        <is>
          <t>API_Specs_Index!A34:H34</t>
        </is>
      </c>
      <c r="K41" s="19" t="inlineStr"/>
      <c r="L41" s="19" t="inlineStr">
        <is>
          <t>ESB_API_Spec_AccountInfo_v2.8 -&gt; Account Balance Details</t>
        </is>
      </c>
      <c r="M41" s="19" t="n">
        <v>0</v>
      </c>
    </row>
    <row r="42">
      <c r="A42" s="23" t="inlineStr">
        <is>
          <t>API-041</t>
        </is>
      </c>
      <c r="B42" s="19" t="inlineStr">
        <is>
          <t>Common API Design (Fallback)</t>
        </is>
      </c>
      <c r="C42" s="19" t="inlineStr">
        <is>
          <t>Account Dashboard</t>
        </is>
      </c>
      <c r="D42" s="19" t="inlineStr">
        <is>
          <t>getDashboard</t>
        </is>
      </c>
      <c r="E42" s="19" t="inlineStr">
        <is>
          <t>GET</t>
        </is>
      </c>
      <c r="F42" s="19" t="inlineStr">
        <is>
          <t>/dep/dashboard/v1/external/accounts</t>
        </is>
      </c>
      <c r="G42" s="19" t="inlineStr">
        <is>
          <t>dep-dashboard</t>
        </is>
      </c>
      <c r="H42" s="19" t="inlineStr">
        <is>
          <t>ECLIPSE_Dashboard_Common_DDD_API_Design_v1_Workshop.xlsx</t>
        </is>
      </c>
      <c r="I42" s="19" t="inlineStr">
        <is>
          <t>getDashboard</t>
        </is>
      </c>
      <c r="J42" s="19" t="inlineStr">
        <is>
          <t>XP APIs &gt;&gt;!A2:I2</t>
        </is>
      </c>
      <c r="K42" s="19" t="inlineStr"/>
      <c r="L42" s="19" t="inlineStr"/>
      <c r="M42" s="19" t="n">
        <v>0</v>
      </c>
    </row>
    <row r="43">
      <c r="A43" s="23" t="inlineStr">
        <is>
          <t>API-042</t>
        </is>
      </c>
      <c r="B43" s="19" t="inlineStr">
        <is>
          <t>Common API Design (Fallback)</t>
        </is>
      </c>
      <c r="C43" s="19" t="inlineStr">
        <is>
          <t>App Dashboard 
ETB Onboarding</t>
        </is>
      </c>
      <c r="D43" s="19" t="inlineStr">
        <is>
          <t>getBankingDashboard</t>
        </is>
      </c>
      <c r="E43" s="19" t="inlineStr">
        <is>
          <t>GET</t>
        </is>
      </c>
      <c r="F43" s="19" t="inlineStr">
        <is>
          <t>/dep/dashboard/v1/external/banking/accounts</t>
        </is>
      </c>
      <c r="G43" s="19" t="inlineStr">
        <is>
          <t>dep-dashboard</t>
        </is>
      </c>
      <c r="H43" s="19" t="inlineStr">
        <is>
          <t>ECLIPSE_Dashboard_Common_DDD_API_Design_v1_Workshop.xlsx</t>
        </is>
      </c>
      <c r="I43" s="19" t="inlineStr">
        <is>
          <t>getBankingDashboard</t>
        </is>
      </c>
      <c r="J43" s="19" t="inlineStr">
        <is>
          <t>XP APIs &gt;&gt;!A3:I3</t>
        </is>
      </c>
      <c r="K43" s="19" t="inlineStr"/>
      <c r="L43" s="19" t="inlineStr"/>
      <c r="M43" s="19" t="n">
        <v>0</v>
      </c>
    </row>
    <row r="44">
      <c r="A44" s="23" t="inlineStr">
        <is>
          <t>API-043</t>
        </is>
      </c>
      <c r="B44" s="19" t="inlineStr">
        <is>
          <t>Common API Design (Fallback)</t>
        </is>
      </c>
      <c r="C44" s="19" t="inlineStr">
        <is>
          <t>ETB Onboarding 
Account Dashboard</t>
        </is>
      </c>
      <c r="D44" s="19" t="inlineStr">
        <is>
          <t>setPrimary</t>
        </is>
      </c>
      <c r="E44" s="19" t="inlineStr">
        <is>
          <t>POST</t>
        </is>
      </c>
      <c r="F44" s="19" t="inlineStr">
        <is>
          <t>/info/customer/v1/external/accounts/primary</t>
        </is>
      </c>
      <c r="G44" s="19" t="inlineStr">
        <is>
          <t>info-customer</t>
        </is>
      </c>
      <c r="H44" s="19" t="inlineStr">
        <is>
          <t>ECLIPSE_Dashboard_Common_DDD_API_Design_v1_Workshop.xlsx</t>
        </is>
      </c>
      <c r="I44" s="19" t="inlineStr">
        <is>
          <t>setPrimary</t>
        </is>
      </c>
      <c r="J44" s="19" t="inlineStr">
        <is>
          <t>S2U APIs &gt;&gt;!A2:I2</t>
        </is>
      </c>
      <c r="K44" s="19" t="inlineStr"/>
      <c r="L44" s="19" t="inlineStr"/>
      <c r="M44" s="19" t="n">
        <v>0</v>
      </c>
    </row>
    <row r="45">
      <c r="A45" s="23" t="inlineStr">
        <is>
          <t>API-044</t>
        </is>
      </c>
      <c r="B45" s="19" t="inlineStr">
        <is>
          <t>Common API Design (Fallback)</t>
        </is>
      </c>
      <c r="C45" s="19" t="inlineStr">
        <is>
          <t>Account Dashboard</t>
        </is>
      </c>
      <c r="D45" s="19" t="inlineStr">
        <is>
          <t>getAccountListing</t>
        </is>
      </c>
      <c r="E45" s="19" t="inlineStr">
        <is>
          <t>GET</t>
        </is>
      </c>
      <c r="F45" s="19" t="inlineStr">
        <is>
          <t>/info/{context-path}/v1/internal/accounts/summary
/info/{context-path}/v1/internal/accounts/account-type/{accountType}/summary</t>
        </is>
      </c>
      <c r="G45" s="19" t="inlineStr">
        <is>
          <t>info-casa
info-loan
info-card
info-time-deposit 
info-insurance</t>
        </is>
      </c>
      <c r="H45" s="19" t="inlineStr">
        <is>
          <t>ECLIPSE_Dashboard_Common_DDD_API_Design_v1_Workshop.xlsx</t>
        </is>
      </c>
      <c r="I45" s="19" t="inlineStr">
        <is>
          <t>getAccountListing</t>
        </is>
      </c>
      <c r="J45" s="19" t="inlineStr">
        <is>
          <t>ECLIPSE APIs &gt;&gt;!A2:I2</t>
        </is>
      </c>
      <c r="K45" s="19" t="inlineStr"/>
      <c r="L45" s="19" t="inlineStr"/>
      <c r="M45" s="19" t="n">
        <v>0</v>
      </c>
    </row>
    <row r="46">
      <c r="A46" s="23" t="inlineStr">
        <is>
          <t>API-045</t>
        </is>
      </c>
      <c r="B46" s="19" t="inlineStr">
        <is>
          <t>Common API Design (Fallback)</t>
        </is>
      </c>
      <c r="C46" s="19" t="inlineStr">
        <is>
          <t>Account Detail</t>
        </is>
      </c>
      <c r="D46" s="19" t="inlineStr">
        <is>
          <t>getAccountDetail</t>
        </is>
      </c>
      <c r="E46" s="19" t="inlineStr">
        <is>
          <t>GET</t>
        </is>
      </c>
      <c r="F46" s="19" t="inlineStr">
        <is>
          <t>/info/{context-path}/v1/external/accounts/account-type/{accountType}/account-id/{accountId}/detail</t>
        </is>
      </c>
      <c r="G46" s="19" t="inlineStr">
        <is>
          <t>info-casa
info-loan
info-card
info-time-deposit 
info-insurance</t>
        </is>
      </c>
      <c r="H46" s="19" t="inlineStr">
        <is>
          <t>ECLIPSE_Dashboard_Common_DDD_API_Design_v1_Workshop.xlsx</t>
        </is>
      </c>
      <c r="I46" s="19" t="inlineStr">
        <is>
          <t>getAccountDetail</t>
        </is>
      </c>
      <c r="J46" s="19" t="inlineStr">
        <is>
          <t>ECLIPSE APIs &gt;&gt;!A3:I3</t>
        </is>
      </c>
      <c r="K46" s="19" t="inlineStr"/>
      <c r="L46" s="19" t="inlineStr"/>
      <c r="M46" s="19" t="n">
        <v>0</v>
      </c>
    </row>
    <row r="47">
      <c r="A47" s="23" t="inlineStr">
        <is>
          <t>API-046</t>
        </is>
      </c>
      <c r="B47" s="19" t="inlineStr">
        <is>
          <t>Common API Design (Fallback)</t>
        </is>
      </c>
      <c r="C47" s="19" t="inlineStr">
        <is>
          <t>Account Transaction History</t>
        </is>
      </c>
      <c r="D47" s="19" t="inlineStr">
        <is>
          <t>getAccountTransactions</t>
        </is>
      </c>
      <c r="E47" s="19" t="inlineStr">
        <is>
          <t>GET</t>
        </is>
      </c>
      <c r="F47" s="19" t="inlineStr">
        <is>
          <t>/info/{context-path}/v1/external/accounts/account-type/{accountType}/account-id/{accountId}/transactions</t>
        </is>
      </c>
      <c r="G47" s="19" t="inlineStr">
        <is>
          <t>info-casa
info-loan
info-card
info-time-deposit 
info-insurance</t>
        </is>
      </c>
      <c r="H47" s="19" t="inlineStr">
        <is>
          <t>ECLIPSE_Dashboard_Common_DDD_API_Design_v1_Workshop.xlsx</t>
        </is>
      </c>
      <c r="I47" s="19" t="inlineStr">
        <is>
          <t>getAccountTransactions</t>
        </is>
      </c>
      <c r="J47" s="19" t="inlineStr">
        <is>
          <t>ECLIPSE APIs &gt;&gt;!A4:I4</t>
        </is>
      </c>
      <c r="K47" s="19" t="inlineStr"/>
      <c r="L47" s="19" t="inlineStr"/>
      <c r="M47" s="19" t="n">
        <v>0</v>
      </c>
    </row>
    <row r="48">
      <c r="A48" s="23" t="inlineStr">
        <is>
          <t>API-047</t>
        </is>
      </c>
      <c r="B48" s="19" t="inlineStr">
        <is>
          <t>Common API Design (Fallback)</t>
        </is>
      </c>
      <c r="C48" s="19" t="inlineStr">
        <is>
          <t>Casa account transaction statement  
Loan account transaction statement  
Cards account transaction statement  
Time deposit account transaction statement</t>
        </is>
      </c>
      <c r="D48" s="19" t="inlineStr">
        <is>
          <t>getAccountStatement</t>
        </is>
      </c>
      <c r="E48" s="19" t="inlineStr">
        <is>
          <t>GET</t>
        </is>
      </c>
      <c r="F48" s="19" t="inlineStr">
        <is>
          <t>/info/{context-path}/v1/external/accounts/account-type/{accountType}/account-id/{accountId}/statement</t>
        </is>
      </c>
      <c r="G48" s="19" t="inlineStr">
        <is>
          <t>info-casa
info-loan
info-card
info-time-deposit 
info-insurance</t>
        </is>
      </c>
      <c r="H48" s="19" t="inlineStr">
        <is>
          <t>ECLIPSE_Dashboard_Common_DDD_API_Design_v1_Workshop.xlsx</t>
        </is>
      </c>
      <c r="I48" s="19" t="inlineStr">
        <is>
          <t>getAccountStatement</t>
        </is>
      </c>
      <c r="J48" s="19" t="inlineStr">
        <is>
          <t>ECLIPSE APIs &gt;&gt;!A5:I5</t>
        </is>
      </c>
      <c r="K48" s="19" t="inlineStr"/>
      <c r="L48" s="19" t="inlineStr"/>
      <c r="M48" s="19" t="n">
        <v>0</v>
      </c>
    </row>
    <row r="49">
      <c r="A49" s="23" t="inlineStr">
        <is>
          <t>API-048</t>
        </is>
      </c>
      <c r="B49" s="19" t="inlineStr">
        <is>
          <t>Common API Design (Fallback)</t>
        </is>
      </c>
      <c r="C49" s="19" t="inlineStr">
        <is>
          <t>Casa account transaction history search
Loan account transaction history search
Cards account transaction history search
Time deposit account transaction history search</t>
        </is>
      </c>
      <c r="D49" s="19" t="inlineStr">
        <is>
          <t>Account transaction history search</t>
        </is>
      </c>
      <c r="E49" s="19" t="inlineStr">
        <is>
          <t>GET</t>
        </is>
      </c>
      <c r="F49" s="19" t="inlineStr">
        <is>
          <t>/v1/external/accounts/account-type/{accountType}/account-id/{accountId}/transactions/search</t>
        </is>
      </c>
      <c r="G49" s="19" t="inlineStr">
        <is>
          <t>info-casa
info-loan
info-card
info-time-deposit 
info-insurance</t>
        </is>
      </c>
      <c r="H49" s="19" t="inlineStr">
        <is>
          <t>ECLIPSE_Dashboard_Common_DDD_API_Design_v1_Workshop.xlsx</t>
        </is>
      </c>
      <c r="I49" s="19" t="inlineStr">
        <is>
          <t>searchAcccountTransactions</t>
        </is>
      </c>
      <c r="J49" s="19" t="inlineStr">
        <is>
          <t>ECLIPSE APIs &gt;&gt;!A6:I6</t>
        </is>
      </c>
      <c r="K49" s="19" t="inlineStr"/>
      <c r="L49" s="19" t="inlineStr"/>
      <c r="M49" s="19" t="n">
        <v>0</v>
      </c>
    </row>
    <row r="50">
      <c r="A50" s="23" t="inlineStr">
        <is>
          <t>API-049</t>
        </is>
      </c>
      <c r="B50" s="19" t="inlineStr">
        <is>
          <t>Common API Design (Fallback)</t>
        </is>
      </c>
      <c r="C50" s="19" t="inlineStr">
        <is>
          <t>Transaction detail</t>
        </is>
      </c>
      <c r="D50" s="19" t="inlineStr">
        <is>
          <t>Account transaction detail</t>
        </is>
      </c>
      <c r="E50" s="19" t="inlineStr">
        <is>
          <t>GET</t>
        </is>
      </c>
      <c r="F50" s="19" t="inlineStr">
        <is>
          <t>/v1/external/transaction/detail/{transactionReferenceId}</t>
        </is>
      </c>
      <c r="G50" s="19" t="inlineStr">
        <is>
          <t>erp-customer</t>
        </is>
      </c>
      <c r="H50" s="19" t="inlineStr">
        <is>
          <t>ECLIPSE_Dashboard_Common_DDD_API_Design_v1_Workshop.xlsx</t>
        </is>
      </c>
      <c r="I50" s="19" t="inlineStr">
        <is>
          <t>getAccountTransactionDetail</t>
        </is>
      </c>
      <c r="J50" s="19" t="inlineStr">
        <is>
          <t>ECLIPSE APIs &gt;&gt;!A7:I7</t>
        </is>
      </c>
      <c r="K50" s="19" t="inlineStr"/>
      <c r="L50" s="19" t="inlineStr"/>
      <c r="M50" s="19" t="n">
        <v>0</v>
      </c>
    </row>
    <row r="51">
      <c r="A51" s="23" t="inlineStr">
        <is>
          <t>API-050</t>
        </is>
      </c>
      <c r="B51" s="19" t="inlineStr">
        <is>
          <t>Common API Design (Fallback)</t>
        </is>
      </c>
      <c r="C51" s="19" t="inlineStr">
        <is>
          <t>View receipt</t>
        </is>
      </c>
      <c r="D51" s="19" t="inlineStr">
        <is>
          <t>View receipt</t>
        </is>
      </c>
      <c r="E51" s="19" t="inlineStr">
        <is>
          <t>GET</t>
        </is>
      </c>
      <c r="F51" s="19" t="inlineStr">
        <is>
          <t>/v1/internal/receipts/{transactionReferenceId}</t>
        </is>
      </c>
      <c r="G51" s="19" t="inlineStr">
        <is>
          <t>erp-receipt</t>
        </is>
      </c>
      <c r="H51" s="19" t="inlineStr">
        <is>
          <t>ECLIPSE_Dashboard_Common_DDD_API_Design_v1_Workshop.xlsx</t>
        </is>
      </c>
      <c r="I51" s="19" t="inlineStr">
        <is>
          <t>getReceipts</t>
        </is>
      </c>
      <c r="J51" s="19" t="inlineStr">
        <is>
          <t>ECLIPSE APIs &gt;&gt;!A8:I8</t>
        </is>
      </c>
      <c r="K51" s="19" t="inlineStr"/>
      <c r="L51" s="19" t="inlineStr"/>
      <c r="M51" s="19" t="n">
        <v>0</v>
      </c>
    </row>
    <row r="52">
      <c r="A52" s="23" t="inlineStr">
        <is>
          <t>API-051</t>
        </is>
      </c>
      <c r="B52" s="19" t="inlineStr">
        <is>
          <t>Common API Design (Fallback)</t>
        </is>
      </c>
      <c r="C52" s="19" t="inlineStr">
        <is>
          <t>Set as primary</t>
        </is>
      </c>
      <c r="D52" s="19" t="inlineStr">
        <is>
          <t>Manage - set as primary</t>
        </is>
      </c>
      <c r="E52" s="19" t="inlineStr">
        <is>
          <t>POST</t>
        </is>
      </c>
      <c r="F52" s="19" t="inlineStr">
        <is>
          <t>/v1/external/accounts/primary</t>
        </is>
      </c>
      <c r="G52" s="19" t="inlineStr">
        <is>
          <t>erp-account</t>
        </is>
      </c>
      <c r="H52" s="19" t="inlineStr">
        <is>
          <t>ECLIPSE_Dashboard_Common_DDD_API_Design_v1_Workshop.xlsx</t>
        </is>
      </c>
      <c r="I52" s="19" t="inlineStr">
        <is>
          <t>setPrimary</t>
        </is>
      </c>
      <c r="J52" s="19" t="inlineStr">
        <is>
          <t>ECLIPSE APIs &gt;&gt;!A9:I9</t>
        </is>
      </c>
      <c r="K52" s="19" t="inlineStr"/>
      <c r="L52" s="19" t="inlineStr"/>
      <c r="M52" s="19" t="n">
        <v>0</v>
      </c>
    </row>
    <row r="53">
      <c r="A53" s="23" t="inlineStr">
        <is>
          <t>API-052</t>
        </is>
      </c>
      <c r="B53" s="19" t="inlineStr">
        <is>
          <t>Common API Design (Fallback)</t>
        </is>
      </c>
      <c r="C53" s="19" t="inlineStr">
        <is>
          <t>Add nickname</t>
        </is>
      </c>
      <c r="D53" s="19" t="inlineStr">
        <is>
          <t>Manage - add nickname</t>
        </is>
      </c>
      <c r="E53" s="19" t="inlineStr">
        <is>
          <t>POST</t>
        </is>
      </c>
      <c r="F53" s="19" t="inlineStr">
        <is>
          <t>/v1/external/accounts/nickname</t>
        </is>
      </c>
      <c r="G53" s="19" t="inlineStr">
        <is>
          <t>erp-casa
erp-loan
erp-card
erp-time-deposit</t>
        </is>
      </c>
      <c r="H53" s="19" t="inlineStr">
        <is>
          <t>ECLIPSE_Dashboard_Common_DDD_API_Design_v1_Workshop.xlsx</t>
        </is>
      </c>
      <c r="I53" s="19" t="inlineStr">
        <is>
          <t>addNickname</t>
        </is>
      </c>
      <c r="J53" s="19" t="inlineStr">
        <is>
          <t>ECLIPSE APIs &gt;&gt;!A10:I10</t>
        </is>
      </c>
      <c r="K53" s="19" t="inlineStr"/>
      <c r="L53" s="19" t="inlineStr"/>
      <c r="M53" s="19" t="n">
        <v>0</v>
      </c>
    </row>
    <row r="54">
      <c r="A54" s="23" t="inlineStr">
        <is>
          <t>API-053</t>
        </is>
      </c>
      <c r="B54" s="19" t="inlineStr">
        <is>
          <t>Common API Design (Fallback)</t>
        </is>
      </c>
      <c r="C54" s="19" t="inlineStr">
        <is>
          <t>Update nickname</t>
        </is>
      </c>
      <c r="D54" s="19" t="inlineStr">
        <is>
          <t>Manage - update nickname</t>
        </is>
      </c>
      <c r="E54" s="19" t="inlineStr">
        <is>
          <t>PATCH</t>
        </is>
      </c>
      <c r="F54" s="19" t="inlineStr">
        <is>
          <t>/v1/external/accounts/nickname</t>
        </is>
      </c>
      <c r="G54" s="19" t="inlineStr">
        <is>
          <t>erp-casa
erp-loan
erp-card
erp-time-deposit</t>
        </is>
      </c>
      <c r="H54" s="19" t="inlineStr">
        <is>
          <t>ECLIPSE_Dashboard_Common_DDD_API_Design_v1_Workshop.xlsx</t>
        </is>
      </c>
      <c r="I54" s="19" t="inlineStr">
        <is>
          <t>updateNickname</t>
        </is>
      </c>
      <c r="J54" s="19" t="inlineStr">
        <is>
          <t>ECLIPSE APIs &gt;&gt;!A11:I11</t>
        </is>
      </c>
      <c r="K54" s="19" t="inlineStr"/>
      <c r="L54" s="19" t="inlineStr"/>
      <c r="M54" s="19" t="n">
        <v>0</v>
      </c>
    </row>
    <row r="55">
      <c r="A55" s="23" t="inlineStr">
        <is>
          <t>API-054</t>
        </is>
      </c>
      <c r="B55" s="19" t="inlineStr">
        <is>
          <t>Common API Design (Fallback)</t>
        </is>
      </c>
      <c r="C55" s="19" t="inlineStr">
        <is>
          <t>Customer holding</t>
        </is>
      </c>
      <c r="D55" s="19" t="inlineStr">
        <is>
          <t>Customer holding</t>
        </is>
      </c>
      <c r="E55" s="19" t="inlineStr">
        <is>
          <t>GET</t>
        </is>
      </c>
      <c r="F55" s="19" t="inlineStr">
        <is>
          <t>/v1/external/holdings</t>
        </is>
      </c>
      <c r="G55" s="19" t="inlineStr">
        <is>
          <t>erp-customer</t>
        </is>
      </c>
      <c r="H55" s="19" t="inlineStr">
        <is>
          <t>ECLIPSE_Dashboard_Common_DDD_API_Design_v1_Workshop.xlsx</t>
        </is>
      </c>
      <c r="I55" s="19" t="inlineStr">
        <is>
          <t>getCustomerHolding</t>
        </is>
      </c>
      <c r="J55" s="19" t="inlineStr">
        <is>
          <t>ECLIPSE APIs &gt;&gt;!A12:I12</t>
        </is>
      </c>
      <c r="K55" s="19" t="inlineStr"/>
      <c r="L55" s="19" t="inlineStr"/>
      <c r="M55" s="19" t="n">
        <v>0</v>
      </c>
    </row>
    <row r="56">
      <c r="A56" s="23" t="inlineStr">
        <is>
          <t>API-055</t>
        </is>
      </c>
      <c r="B56" s="19" t="inlineStr">
        <is>
          <t>Common API Design (Fallback)</t>
        </is>
      </c>
      <c r="C56" s="19" t="inlineStr">
        <is>
          <t>Customer information</t>
        </is>
      </c>
      <c r="D56" s="19" t="inlineStr">
        <is>
          <t>Customer Information</t>
        </is>
      </c>
      <c r="E56" s="19" t="inlineStr">
        <is>
          <t>GET</t>
        </is>
      </c>
      <c r="F56" s="19" t="inlineStr">
        <is>
          <t>/v1/external/information</t>
        </is>
      </c>
      <c r="G56" s="19" t="inlineStr">
        <is>
          <t>erp-customer</t>
        </is>
      </c>
      <c r="H56" s="19" t="inlineStr">
        <is>
          <t>ECLIPSE_Dashboard_Common_DDD_API_Design_v1_Workshop.xlsx</t>
        </is>
      </c>
      <c r="I56" s="19" t="inlineStr">
        <is>
          <t>getCustomerInformation</t>
        </is>
      </c>
      <c r="J56" s="19" t="inlineStr">
        <is>
          <t>ECLIPSE APIs &gt;&gt;!A13:I13</t>
        </is>
      </c>
      <c r="K56" s="19" t="inlineStr"/>
      <c r="L56" s="19" t="inlineStr"/>
      <c r="M56" s="19" t="n">
        <v>0</v>
      </c>
    </row>
    <row r="57">
      <c r="A57" s="23" t="inlineStr">
        <is>
          <t>API-056</t>
        </is>
      </c>
      <c r="B57" s="19" t="inlineStr">
        <is>
          <t>Common API Design (Fallback)</t>
        </is>
      </c>
      <c r="C57" s="19" t="inlineStr">
        <is>
          <t>Update customer information</t>
        </is>
      </c>
      <c r="D57" s="19" t="inlineStr">
        <is>
          <t>Update customer Information</t>
        </is>
      </c>
      <c r="E57" s="19" t="inlineStr">
        <is>
          <t>PATCH</t>
        </is>
      </c>
      <c r="F57" s="19" t="inlineStr">
        <is>
          <t>/v1/external/information</t>
        </is>
      </c>
      <c r="G57" s="19" t="inlineStr">
        <is>
          <t>erp-customer</t>
        </is>
      </c>
      <c r="H57" s="19" t="inlineStr">
        <is>
          <t>ECLIPSE_Dashboard_Common_DDD_API_Design_v1_Workshop.xlsx</t>
        </is>
      </c>
      <c r="I57" s="19" t="inlineStr">
        <is>
          <t>updateCustomerInformation</t>
        </is>
      </c>
      <c r="J57" s="19" t="inlineStr">
        <is>
          <t>ECLIPSE APIs &gt;&gt;!A14:I14</t>
        </is>
      </c>
      <c r="K57" s="19" t="inlineStr"/>
      <c r="L57" s="19" t="inlineStr"/>
      <c r="M57" s="19" t="n">
        <v>0</v>
      </c>
    </row>
  </sheetData>
  <autoFilter ref="A1:M57"/>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style="2" min="1" max="1"/>
    <col width="110" customWidth="1" style="2" min="2" max="2"/>
  </cols>
  <sheetData>
    <row r="1">
      <c r="A1" s="24" t="inlineStr">
        <is>
          <t>API Link Summary</t>
        </is>
      </c>
      <c r="B1" s="19" t="n"/>
    </row>
    <row r="2">
      <c r="A2" s="19" t="n"/>
      <c r="B2" s="19" t="n"/>
    </row>
    <row r="3">
      <c r="A3" s="25" t="inlineStr">
        <is>
          <t>Metric</t>
        </is>
      </c>
      <c r="B3" s="25" t="inlineStr">
        <is>
          <t>Value</t>
        </is>
      </c>
    </row>
    <row r="4">
      <c r="A4" s="19" t="inlineStr">
        <is>
          <t>Total test cases</t>
        </is>
      </c>
      <c r="B4" s="19">
        <f>COUNTA('Test Cases'!A2:A307)</f>
        <v/>
      </c>
    </row>
    <row r="5">
      <c r="A5" s="19" t="inlineStr">
        <is>
          <t>Test cases linked to one or more APIs</t>
        </is>
      </c>
      <c r="B5" s="19">
        <f>COUNTIF('Test Cases'!S2:S307,"&lt;&gt;Not Mapped")</f>
        <v/>
      </c>
    </row>
    <row r="6">
      <c r="A6" s="19" t="inlineStr">
        <is>
          <t>Test cases mapped from primary DDD API Design</t>
        </is>
      </c>
      <c r="B6" s="19" t="n">
        <v>306</v>
      </c>
    </row>
    <row r="7">
      <c r="A7" s="19" t="inlineStr">
        <is>
          <t>Test cases mapped using Common API Design fallback</t>
        </is>
      </c>
      <c r="B7" s="19" t="n">
        <v>0</v>
      </c>
    </row>
    <row r="8">
      <c r="A8" s="19" t="inlineStr">
        <is>
          <t>Cases using both primary and fallback sources</t>
        </is>
      </c>
      <c r="B8" s="19" t="n">
        <v>0</v>
      </c>
    </row>
    <row r="9">
      <c r="A9" s="19" t="inlineStr">
        <is>
          <t>Unmapped test cases</t>
        </is>
      </c>
      <c r="B9" s="26" t="n">
        <v>0</v>
      </c>
    </row>
    <row r="10">
      <c r="A10" s="19" t="inlineStr">
        <is>
          <t>Overall API traceability percentage</t>
        </is>
      </c>
      <c r="B10" s="19">
        <f>IFERROR(B5/B4,0)</f>
        <v/>
      </c>
    </row>
    <row r="11">
      <c r="A11" s="19" t="inlineStr">
        <is>
          <t>Mapping count by confidence</t>
        </is>
      </c>
      <c r="B11" s="19" t="inlineStr">
        <is>
          <t>High: 247; Medium: 59</t>
        </is>
      </c>
    </row>
    <row r="12">
      <c r="A12" s="19" t="inlineStr">
        <is>
          <t>Top APIs by mapped test-case count</t>
        </is>
      </c>
      <c r="B12" s="19" t="inlineStr">
        <is>
          <t>Loan dashboard: 74; Loan transaction history: 50; Cards dashboard: 48; View all transaction history: 30; Debit card block: 21; Debit card detail: 19; Insurance dashboard: 16; Credit card transaction history: 10; Apply installment convertion: 10; Block credit card: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Ahmad Kamar, Afina Norhiza</dc:creator>
  <dcterms:created xsi:type="dcterms:W3CDTF">2026-08-21T07:00:51Z</dcterms:created>
  <dcterms:modified xsi:type="dcterms:W3CDTF">2026-08-21T07:48:21Z</dcterms:modified>
  <cp:lastModifiedBy>Ahmad Kamar, Afina Norhiza</cp:lastModifiedBy>
</cp:coreProperties>
</file>