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hmadkamar\Downloads\"/>
    </mc:Choice>
  </mc:AlternateContent>
  <xr:revisionPtr revIDLastSave="0" documentId="8_{8ED8EE23-0CC1-4DCF-8E66-96D68EEDFE8C}" xr6:coauthVersionLast="47" xr6:coauthVersionMax="47" xr10:uidLastSave="{00000000-0000-0000-0000-000000000000}"/>
  <bookViews>
    <workbookView xWindow="-108" yWindow="-108" windowWidth="23256" windowHeight="13896" firstSheet="2" activeTab="5" xr2:uid="{B159A565-3BE3-4979-8D1E-2082E3F01BB9}"/>
  </bookViews>
  <sheets>
    <sheet name="README" sheetId="1" r:id="rId1"/>
    <sheet name="Coverage Summary" sheetId="2" r:id="rId2"/>
    <sheet name="Test Scenarios" sheetId="3" r:id="rId3"/>
    <sheet name="Test Cases" sheetId="4" r:id="rId4"/>
    <sheet name="Acct Dashboard Financing" sheetId="5" r:id="rId5"/>
    <sheet name="Acct Dashboard Non-Financing" sheetId="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9" i="2" l="1"/>
  <c r="G9" i="2"/>
  <c r="F9" i="2"/>
  <c r="E9" i="2"/>
  <c r="D9" i="2"/>
  <c r="C9" i="2"/>
  <c r="B9" i="2"/>
  <c r="H8" i="2"/>
  <c r="G8" i="2"/>
  <c r="F8" i="2"/>
  <c r="E8" i="2"/>
  <c r="D8" i="2"/>
  <c r="C8" i="2"/>
  <c r="B8" i="2"/>
  <c r="H7" i="2"/>
  <c r="G7" i="2"/>
  <c r="F7" i="2"/>
  <c r="E7" i="2"/>
  <c r="D7" i="2"/>
  <c r="C7" i="2"/>
  <c r="B7" i="2"/>
  <c r="H6" i="2"/>
  <c r="G6" i="2"/>
  <c r="F6" i="2"/>
  <c r="E6" i="2"/>
  <c r="D6" i="2"/>
  <c r="C6" i="2"/>
  <c r="B6" i="2"/>
  <c r="H5" i="2"/>
  <c r="G5" i="2"/>
  <c r="F5" i="2"/>
  <c r="E5" i="2"/>
  <c r="D5" i="2"/>
  <c r="C5" i="2"/>
  <c r="B5" i="2"/>
  <c r="H4" i="2"/>
  <c r="G4" i="2"/>
  <c r="F4" i="2"/>
  <c r="F10" i="2" s="1"/>
  <c r="E4" i="2"/>
  <c r="D4" i="2"/>
  <c r="C4" i="2"/>
  <c r="B4" i="2"/>
  <c r="E10" i="2" l="1"/>
  <c r="G10" i="2"/>
  <c r="H10" i="2"/>
  <c r="D10" i="2"/>
  <c r="B10" i="2"/>
  <c r="C10" i="2"/>
</calcChain>
</file>

<file path=xl/sharedStrings.xml><?xml version="1.0" encoding="utf-8"?>
<sst xmlns="http://schemas.openxmlformats.org/spreadsheetml/2006/main" count="7779" uniqueCount="2157">
  <si>
    <t>NGA Batch 1 QA Test Pack</t>
  </si>
  <si>
    <t>Purpose</t>
  </si>
  <si>
    <t>Generated test scenarios and detailed test cases based on all six Batch 1 source matrices.</t>
  </si>
  <si>
    <t>Scope</t>
  </si>
  <si>
    <t>Acct Dashboard Financing, Acct Dashboard Non-Financing, App Dashboard, A&amp;A, Local Transfer, Scan &amp; pay</t>
  </si>
  <si>
    <t>How to use</t>
  </si>
  <si>
    <t>Filter Test Cases by Module, Journey, Type, Priority, or Execution Status. Update Actual Result, Defect ID, and Notes during execution.</t>
  </si>
  <si>
    <t>Coverage approach</t>
  </si>
  <si>
    <t>Each journey includes entry/eligibility, authentication, mapped process steps, successful completion, and failure/retry coverage.</t>
  </si>
  <si>
    <t>Important</t>
  </si>
  <si>
    <t>Rows marked in Open Questions require PO/BA confirmation before final execution or sign-off.</t>
  </si>
  <si>
    <t>Execution status values</t>
  </si>
  <si>
    <t>Not Run, Pass, Fail, Blocked, Not Applicable</t>
  </si>
  <si>
    <t>Assumptions</t>
  </si>
  <si>
    <t>Test cases are derived from the supplied matrix. Detailed UI copy, API payloads, field-level validation, device/OS permutations, and exact backend codes require the relevant FSDs and design specifications.</t>
  </si>
  <si>
    <t>Batch 1 Coverage Summary</t>
  </si>
  <si>
    <t>Module</t>
  </si>
  <si>
    <t>Scenarios</t>
  </si>
  <si>
    <t>Test Cases</t>
  </si>
  <si>
    <t>High Priority</t>
  </si>
  <si>
    <t>Security Cases</t>
  </si>
  <si>
    <t>Open Questions</t>
  </si>
  <si>
    <t>Passed</t>
  </si>
  <si>
    <t>Failed</t>
  </si>
  <si>
    <t>Acct Dashboard Financing</t>
  </si>
  <si>
    <t>Acct Dashboard Non-Financing</t>
  </si>
  <si>
    <t>App Dashboard</t>
  </si>
  <si>
    <t>A&amp;A</t>
  </si>
  <si>
    <t>Local Transfer</t>
  </si>
  <si>
    <t>Scan &amp; pay</t>
  </si>
  <si>
    <t>TOTAL</t>
  </si>
  <si>
    <t>Scenario ID</t>
  </si>
  <si>
    <t>Journey</t>
  </si>
  <si>
    <t>Product / Service</t>
  </si>
  <si>
    <t>Test Scenario</t>
  </si>
  <si>
    <t>Objective</t>
  </si>
  <si>
    <t>Test Type</t>
  </si>
  <si>
    <t>Priority</t>
  </si>
  <si>
    <t>Source Reference</t>
  </si>
  <si>
    <t>Status</t>
  </si>
  <si>
    <t>TS-B1-001</t>
  </si>
  <si>
    <t>Dashboard - Loan</t>
  </si>
  <si>
    <t>Personal Loan (Conventional)</t>
  </si>
  <si>
    <t>Access and open Personal Loan (Conventional)</t>
  </si>
  <si>
    <t>Validate the configured entry point, customer eligibility, and initial page for Dashboard - Loan.</t>
  </si>
  <si>
    <t>Functional</t>
  </si>
  <si>
    <t>Medium</t>
  </si>
  <si>
    <t>Acct Dashboard Financing!B1:B62</t>
  </si>
  <si>
    <t>Draft</t>
  </si>
  <si>
    <t>TS-B1-002</t>
  </si>
  <si>
    <t>Authentication and authorisation for Personal Loan (Conventional)</t>
  </si>
  <si>
    <t>Validate all authentication requirements stated for Dashboard - Loan.</t>
  </si>
  <si>
    <t>Security</t>
  </si>
  <si>
    <t>High</t>
  </si>
  <si>
    <t>TS-B1-003</t>
  </si>
  <si>
    <t>Validate Common Rules Reference for Personal Loan (Conventional)</t>
  </si>
  <si>
    <t>Validate the requirement mapped to Common Rules Reference: Refer to Account Dashboard Common FSD</t>
  </si>
  <si>
    <t>UI / Functional</t>
  </si>
  <si>
    <t>Acct Dashboard Financing!A9:B9</t>
  </si>
  <si>
    <t>TS-B1-004</t>
  </si>
  <si>
    <t>Validate 1.1 Loan Dashboard - Landing for Personal Loan (Conventional)</t>
  </si>
  <si>
    <t>Validate the requirement mapped to 1.1 Loan Dashboard - Landing: Step 1</t>
  </si>
  <si>
    <t>Acct Dashboard Financing!A10:B10</t>
  </si>
  <si>
    <t>TS-B1-005</t>
  </si>
  <si>
    <t>Validate 1.2 Personal Loan Acc for Personal Loan (Conventional)</t>
  </si>
  <si>
    <t>Validate the requirement mapped to 1.2 Personal Loan Acc: Step 2</t>
  </si>
  <si>
    <t>Acct Dashboard Financing!A11:B11</t>
  </si>
  <si>
    <t>TS-B1-006</t>
  </si>
  <si>
    <t>Validate 1.2.1 View All Trans for Personal Loan (Conventional)</t>
  </si>
  <si>
    <t>Validate the requirement mapped to 1.2.1 View All Trans: Conditional Step 3 - when View all transactions is selected</t>
  </si>
  <si>
    <t>Acct Dashboard Financing!A12:B12</t>
  </si>
  <si>
    <t>TS-B1-007</t>
  </si>
  <si>
    <t>Validate 1.2.2 PL Conventional Summary for Personal Loan (Conventional)</t>
  </si>
  <si>
    <t>Validate the requirement mapped to 1.2.2 PL Conventional Summary: Step 4</t>
  </si>
  <si>
    <t>Acct Dashboard Financing!A13:B13</t>
  </si>
  <si>
    <t>TS-B1-008</t>
  </si>
  <si>
    <t>Validate 1.2.3 PL Conventional Manage for Personal Loan (Conventional)</t>
  </si>
  <si>
    <t>Validate the requirement mapped to 1.2.3 PL Conventional Manage: Step 5</t>
  </si>
  <si>
    <t>Acct Dashboard Financing!A14:B14</t>
  </si>
  <si>
    <t>TS-B1-009</t>
  </si>
  <si>
    <t>Final status and recovery for Personal Loan (Conventional)</t>
  </si>
  <si>
    <t>Validate successful completion, failure handling, and final-state integrity for Dashboard - Loan.</t>
  </si>
  <si>
    <t>Functional / Negative</t>
  </si>
  <si>
    <t>TS-B1-010</t>
  </si>
  <si>
    <t>Personal Loan (Shariah)</t>
  </si>
  <si>
    <t>Access and open Personal Loan (Shariah)</t>
  </si>
  <si>
    <t>Acct Dashboard Financing!C1:C62</t>
  </si>
  <si>
    <t>TS-B1-011</t>
  </si>
  <si>
    <t>Authentication and authorisation for Personal Loan (Shariah)</t>
  </si>
  <si>
    <t>TS-B1-012</t>
  </si>
  <si>
    <t>Validate Common Rules Reference for Personal Loan (Shariah)</t>
  </si>
  <si>
    <t>Acct Dashboard Financing!A9:C9</t>
  </si>
  <si>
    <t>TS-B1-013</t>
  </si>
  <si>
    <t>Validate 1.1 Loan Dashboard - Landing for Personal Loan (Shariah)</t>
  </si>
  <si>
    <t>Acct Dashboard Financing!A10:C10</t>
  </si>
  <si>
    <t>TS-B1-014</t>
  </si>
  <si>
    <t>Validate 1.2.1 View All Trans for Personal Loan (Shariah)</t>
  </si>
  <si>
    <t>Acct Dashboard Financing!A12:C12</t>
  </si>
  <si>
    <t>TS-B1-015</t>
  </si>
  <si>
    <t>Validate 1.2.4 PL Shariah Acc for Personal Loan (Shariah)</t>
  </si>
  <si>
    <t>Validate the requirement mapped to 1.2.4 PL Shariah Acc: Step 6</t>
  </si>
  <si>
    <t>Acct Dashboard Financing!A15:C15</t>
  </si>
  <si>
    <t>TS-B1-016</t>
  </si>
  <si>
    <t>Validate 1.2.5 PL Shariah Summary for Personal Loan (Shariah)</t>
  </si>
  <si>
    <t>Validate the requirement mapped to 1.2.5 PL Shariah Summary: Step 7</t>
  </si>
  <si>
    <t>Acct Dashboard Financing!A16:C16</t>
  </si>
  <si>
    <t>TS-B1-017</t>
  </si>
  <si>
    <t>Validate 1.2.6 PL Shariah Manage for Personal Loan (Shariah)</t>
  </si>
  <si>
    <t>Validate the requirement mapped to 1.2.6 PL Shariah Manage: Step 8</t>
  </si>
  <si>
    <t>Acct Dashboard Financing!A17:C17</t>
  </si>
  <si>
    <t>TS-B1-018</t>
  </si>
  <si>
    <t>Final status and recovery for Personal Loan (Shariah)</t>
  </si>
  <si>
    <t>TS-B1-019</t>
  </si>
  <si>
    <t>Auto Loan (Conventional)</t>
  </si>
  <si>
    <t>Access and open Auto Loan (Conventional)</t>
  </si>
  <si>
    <t>Acct Dashboard Financing!D1:D62</t>
  </si>
  <si>
    <t>TS-B1-020</t>
  </si>
  <si>
    <t>Authentication and authorisation for Auto Loan (Conventional)</t>
  </si>
  <si>
    <t>TS-B1-021</t>
  </si>
  <si>
    <t>Validate Common Rules Reference for Auto Loan (Conventional)</t>
  </si>
  <si>
    <t>Acct Dashboard Financing!A9:D9</t>
  </si>
  <si>
    <t>TS-B1-022</t>
  </si>
  <si>
    <t>Validate 1.1 Loan Dashboard - Landing for Auto Loan (Conventional)</t>
  </si>
  <si>
    <t>Acct Dashboard Financing!A10:D10</t>
  </si>
  <si>
    <t>TS-B1-023</t>
  </si>
  <si>
    <t>Validate 1.2.1 View All Trans for Auto Loan (Conventional)</t>
  </si>
  <si>
    <t>Acct Dashboard Financing!A12:D12</t>
  </si>
  <si>
    <t>TS-B1-024</t>
  </si>
  <si>
    <t>Validate 1.3 Auto Loan Acc for Auto Loan (Conventional)</t>
  </si>
  <si>
    <t>Validate the requirement mapped to 1.3 Auto Loan Acc: Step 9</t>
  </si>
  <si>
    <t>Acct Dashboard Financing!A18:D18</t>
  </si>
  <si>
    <t>TS-B1-025</t>
  </si>
  <si>
    <t>Final status and recovery for Auto Loan (Conventional)</t>
  </si>
  <si>
    <t>TS-B1-026</t>
  </si>
  <si>
    <t>Auto Loan (Shariah)</t>
  </si>
  <si>
    <t>Access and open Auto Loan (Shariah)</t>
  </si>
  <si>
    <t>Acct Dashboard Financing!E1:E62</t>
  </si>
  <si>
    <t>TS-B1-027</t>
  </si>
  <si>
    <t>Authentication and authorisation for Auto Loan (Shariah)</t>
  </si>
  <si>
    <t>TS-B1-028</t>
  </si>
  <si>
    <t>Validate Common Rules Reference for Auto Loan (Shariah)</t>
  </si>
  <si>
    <t>Acct Dashboard Financing!A9:E9</t>
  </si>
  <si>
    <t>TS-B1-029</t>
  </si>
  <si>
    <t>Validate 1.1 Loan Dashboard - Landing for Auto Loan (Shariah)</t>
  </si>
  <si>
    <t>Acct Dashboard Financing!A10:E10</t>
  </si>
  <si>
    <t>TS-B1-030</t>
  </si>
  <si>
    <t>Validate 1.2.1 View All Trans for Auto Loan (Shariah)</t>
  </si>
  <si>
    <t>Acct Dashboard Financing!A12:E12</t>
  </si>
  <si>
    <t>TS-B1-031</t>
  </si>
  <si>
    <t>Validate 1.3.1 Auto Loan Shariah for Auto Loan (Shariah)</t>
  </si>
  <si>
    <t>Validate the requirement mapped to 1.3.1 Auto Loan Shariah: Step 10</t>
  </si>
  <si>
    <t>Acct Dashboard Financing!A19:E19</t>
  </si>
  <si>
    <t>TS-B1-032</t>
  </si>
  <si>
    <t>Final status and recovery for Auto Loan (Shariah)</t>
  </si>
  <si>
    <t>TS-B1-033</t>
  </si>
  <si>
    <t>Mortgage Loan (Conventional)</t>
  </si>
  <si>
    <t>Access and open Mortgage Loan (Conventional)</t>
  </si>
  <si>
    <t>Acct Dashboard Financing!F1:F62</t>
  </si>
  <si>
    <t>TS-B1-034</t>
  </si>
  <si>
    <t>Authentication and authorisation for Mortgage Loan (Conventional)</t>
  </si>
  <si>
    <t>TS-B1-035</t>
  </si>
  <si>
    <t>Validate Common Rules Reference for Mortgage Loan (Conventional)</t>
  </si>
  <si>
    <t>Acct Dashboard Financing!A9:F9</t>
  </si>
  <si>
    <t>TS-B1-036</t>
  </si>
  <si>
    <t>Validate 1.1 Loan Dashboard - Landing for Mortgage Loan (Conventional)</t>
  </si>
  <si>
    <t>Acct Dashboard Financing!A10:F10</t>
  </si>
  <si>
    <t>TS-B1-037</t>
  </si>
  <si>
    <t>Validate 1.2.1 View All Trans for Mortgage Loan (Conventional)</t>
  </si>
  <si>
    <t>Acct Dashboard Financing!A12:F12</t>
  </si>
  <si>
    <t>TS-B1-038</t>
  </si>
  <si>
    <t>Validate 1.4 Mortgage Loan Acc for Mortgage Loan (Conventional)</t>
  </si>
  <si>
    <t>Validate the requirement mapped to 1.4 Mortgage Loan Acc: Step 11</t>
  </si>
  <si>
    <t>Acct Dashboard Financing!A20:F20</t>
  </si>
  <si>
    <t>TS-B1-039</t>
  </si>
  <si>
    <t>Final status and recovery for Mortgage Loan (Conventional)</t>
  </si>
  <si>
    <t>TS-B1-040</t>
  </si>
  <si>
    <t>Mortgage Loan (Shariah)</t>
  </si>
  <si>
    <t>Access and open Mortgage Loan (Shariah)</t>
  </si>
  <si>
    <t>Acct Dashboard Financing!G1:G62</t>
  </si>
  <si>
    <t>TS-B1-041</t>
  </si>
  <si>
    <t>Authentication and authorisation for Mortgage Loan (Shariah)</t>
  </si>
  <si>
    <t>TS-B1-042</t>
  </si>
  <si>
    <t>Validate Common Rules Reference for Mortgage Loan (Shariah)</t>
  </si>
  <si>
    <t>Acct Dashboard Financing!A9:G9</t>
  </si>
  <si>
    <t>TS-B1-043</t>
  </si>
  <si>
    <t>Validate 1.1 Loan Dashboard - Landing for Mortgage Loan (Shariah)</t>
  </si>
  <si>
    <t>Acct Dashboard Financing!A10:G10</t>
  </si>
  <si>
    <t>TS-B1-044</t>
  </si>
  <si>
    <t>Validate 1.2.1 View All Trans for Mortgage Loan (Shariah)</t>
  </si>
  <si>
    <t>Acct Dashboard Financing!A12:G12</t>
  </si>
  <si>
    <t>TS-B1-045</t>
  </si>
  <si>
    <t>Validate 1.4.1 Mortgage Loan Shariah for Mortgage Loan (Shariah)</t>
  </si>
  <si>
    <t>Validate the requirement mapped to 1.4.1 Mortgage Loan Shariah: Step 12</t>
  </si>
  <si>
    <t>Acct Dashboard Financing!A21:G21</t>
  </si>
  <si>
    <t>TS-B1-046</t>
  </si>
  <si>
    <t>Final status and recovery for Mortgage Loan (Shariah)</t>
  </si>
  <si>
    <t>TS-B1-047</t>
  </si>
  <si>
    <t>Dashboard - Credit Card / Card Management</t>
  </si>
  <si>
    <t>Credit Card (Visa/Mastercard)</t>
  </si>
  <si>
    <t>Access and open Credit Card (Visa/Mastercard)</t>
  </si>
  <si>
    <t>Validate the configured entry point, customer eligibility, and initial page for Dashboard - Credit Card / Card Management.</t>
  </si>
  <si>
    <t>Acct Dashboard Financing!H1:H62</t>
  </si>
  <si>
    <t>TS-B1-048</t>
  </si>
  <si>
    <t>Authentication and authorisation for Credit Card (Visa/Mastercard)</t>
  </si>
  <si>
    <t>Validate all authentication requirements stated for Dashboard - Credit Card / Card Management.</t>
  </si>
  <si>
    <t>TS-B1-049</t>
  </si>
  <si>
    <t>Validate Common Rules Reference for Credit Card (Visa/Mastercard)</t>
  </si>
  <si>
    <t>Acct Dashboard Financing!A9:H9</t>
  </si>
  <si>
    <t>TS-B1-050</t>
  </si>
  <si>
    <t>Validate 2.1 CC Dashboard - Landing for Credit Card (Visa/Mastercard)</t>
  </si>
  <si>
    <t>Validate the requirement mapped to 2.1 CC Dashboard - Landing: Step 13</t>
  </si>
  <si>
    <t>Acct Dashboard Financing!A22:H22</t>
  </si>
  <si>
    <t>TS-B1-051</t>
  </si>
  <si>
    <t>Validate 2.1.2 Card Details for Credit Card (Visa/Mastercard)</t>
  </si>
  <si>
    <t>Validate the requirement mapped to 2.1.2 Card Details: Optional Step 14 - when Card Details quick action is tapped</t>
  </si>
  <si>
    <t>Acct Dashboard Financing!A23:H23</t>
  </si>
  <si>
    <t>TS-B1-052</t>
  </si>
  <si>
    <t>Validate 2.1.3 CC Activation for Credit Card (Visa/Mastercard)</t>
  </si>
  <si>
    <t>Validate the requirement mapped to 2.1.3 CC Activation: Conditional Step 15 - pending activation and card type Visa/Mastercard</t>
  </si>
  <si>
    <t>Acct Dashboard Financing!A24:H24</t>
  </si>
  <si>
    <t>TS-B1-053</t>
  </si>
  <si>
    <t>Validate 2.2 CC &gt; Transactions for Credit Card (Visa/Mastercard)</t>
  </si>
  <si>
    <t>Validate the requirement mapped to 2.2 CC &gt; Transactions: Step 17</t>
  </si>
  <si>
    <t>Acct Dashboard Financing!A26:H26</t>
  </si>
  <si>
    <t>TS-B1-054</t>
  </si>
  <si>
    <t>Validate 2.2.1 CC View All Trans for Credit Card (Visa/Mastercard)</t>
  </si>
  <si>
    <t>Validate the requirement mapped to 2.2.1 CC View All Trans: Optional Step 18 - when View all transactions is selected</t>
  </si>
  <si>
    <t>Acct Dashboard Financing!A27:H27</t>
  </si>
  <si>
    <t>TS-B1-055</t>
  </si>
  <si>
    <t>Validate 2.2.1.1 Convert TREATS for Credit Card (Visa/Mastercard)</t>
  </si>
  <si>
    <t>Validate the requirement mapped to 2.2.1.1 Convert TREATS: Conditional Step 19 - Refer to Rewards FSD</t>
  </si>
  <si>
    <t>Acct Dashboard Financing!A28:H28</t>
  </si>
  <si>
    <t>TS-B1-056</t>
  </si>
  <si>
    <t>Validate 2.2.1.2 View Receipts for Credit Card (Visa/Mastercard)</t>
  </si>
  <si>
    <t>Validate the requirement mapped to 2.2.1.2 View Receipts: Conditional Step 20 - when receipt-eligible transaction is selected</t>
  </si>
  <si>
    <t>Acct Dashboard Financing!A29:H29</t>
  </si>
  <si>
    <t>TS-B1-057</t>
  </si>
  <si>
    <t>Validate 2.2.1.3 Card Statement for Credit Card (Visa/Mastercard)</t>
  </si>
  <si>
    <t>Validate the requirement mapped to 2.2.1.3 Card Statement: Conditional Step 21 - Needs PO/BA clarification (JIRA TBC; integration "?")</t>
  </si>
  <si>
    <t>Acct Dashboard Financing!A30:H30</t>
  </si>
  <si>
    <t>TS-B1-058</t>
  </si>
  <si>
    <t>Validate 2.3 CC &gt; Summary for Credit Card (Visa/Mastercard)</t>
  </si>
  <si>
    <t>Validate the requirement mapped to 2.3 CC &gt; Summary: Step 22</t>
  </si>
  <si>
    <t>Acct Dashboard Financing!A31:H31</t>
  </si>
  <si>
    <t>TS-B1-059</t>
  </si>
  <si>
    <t>Validate 2.4 CC &gt; Manage for Credit Card (Visa/Mastercard)</t>
  </si>
  <si>
    <t>Validate the requirement mapped to 2.4 CC &gt; Manage: Step 23</t>
  </si>
  <si>
    <t>Acct Dashboard Financing!A32:H32</t>
  </si>
  <si>
    <t>TS-B1-060</t>
  </si>
  <si>
    <t>Validate 2.4.1 XCash for Credit Card (Visa/Mastercard)</t>
  </si>
  <si>
    <t>Validate the requirement mapped to 2.4.1 XCash: Conditional Step 24 - if XCash eligible and enabled</t>
  </si>
  <si>
    <t>Acct Dashboard Financing!A33:H33</t>
  </si>
  <si>
    <t>TS-B1-061</t>
  </si>
  <si>
    <t>Validate 2.4.1.1 XCash Apply Input for Credit Card (Visa/Mastercard)</t>
  </si>
  <si>
    <t>Validate the requirement mapped to 2.4.1.1 XCash Apply Input: Conditional Step 25 - if proceeding with XCash</t>
  </si>
  <si>
    <t>Acct Dashboard Financing!A34:H34</t>
  </si>
  <si>
    <t>TS-B1-062</t>
  </si>
  <si>
    <t>Validate 2.4.1.2 XCash Apply Acc for Credit Card (Visa/Mastercard)</t>
  </si>
  <si>
    <t>Validate the requirement mapped to 2.4.1.2 XCash Apply Acc: Conditional Step 26 - if proceeding with XCash</t>
  </si>
  <si>
    <t>Acct Dashboard Financing!A35:H35</t>
  </si>
  <si>
    <t>TS-B1-063</t>
  </si>
  <si>
    <t>Validate 2.4.1.3 XCash Apply TnC for Credit Card (Visa/Mastercard)</t>
  </si>
  <si>
    <t>Validate the requirement mapped to 2.4.1.3 XCash Apply TnC: Conditional Step 27 - if proceeding with XCash</t>
  </si>
  <si>
    <t>Acct Dashboard Financing!A36:H36</t>
  </si>
  <si>
    <t>TS-B1-064</t>
  </si>
  <si>
    <t>Validate 2.4.1.4 XCash Apply Confirm for Credit Card (Visa/Mastercard)</t>
  </si>
  <si>
    <t>Validate the requirement mapped to 2.4.1.4 XCash Apply Confirm: Conditional Step 28 - if proceeding with XCash</t>
  </si>
  <si>
    <t>Acct Dashboard Financing!A37:H37</t>
  </si>
  <si>
    <t>TS-B1-065</t>
  </si>
  <si>
    <t>Validate 2.4.1.5 XCash Apply Ack for Credit Card (Visa/Mastercard)</t>
  </si>
  <si>
    <t>Validate the requirement mapped to 2.4.1.5 XCash Apply Ack: Conditional Step 29 - if proceeding with XCash</t>
  </si>
  <si>
    <t>Acct Dashboard Financing!A38:H38</t>
  </si>
  <si>
    <t>TS-B1-066</t>
  </si>
  <si>
    <t>Validate 2.4.1.6 XCash Rcpt &amp; Notif for Credit Card (Visa/Mastercard)</t>
  </si>
  <si>
    <t>Validate the requirement mapped to 2.4.1.6 XCash Rcpt &amp; Notif: Conditional Step 30 - if proceeding with XCash</t>
  </si>
  <si>
    <t>Acct Dashboard Financing!A39:H39</t>
  </si>
  <si>
    <t>TS-B1-067</t>
  </si>
  <si>
    <t>Validate 2.4.2 Instalment Convert for Credit Card (Visa/Mastercard)</t>
  </si>
  <si>
    <t>Validate the requirement mapped to 2.4.2 Instalment Convert: Conditional Step 31 - if eligible transaction exists</t>
  </si>
  <si>
    <t>Acct Dashboard Financing!A40:H40</t>
  </si>
  <si>
    <t>TS-B1-068</t>
  </si>
  <si>
    <t>Validate 2.4.2.1 Inst Conv TnC for Credit Card (Visa/Mastercard)</t>
  </si>
  <si>
    <t>Validate the requirement mapped to 2.4.2.1 Inst Conv TnC: Conditional Step 32 - if proceeding with instalment conversion</t>
  </si>
  <si>
    <t>Acct Dashboard Financing!A41:H41</t>
  </si>
  <si>
    <t>TS-B1-069</t>
  </si>
  <si>
    <t>Validate 2.4.2.2 Inst Conv Confirm for Credit Card (Visa/Mastercard)</t>
  </si>
  <si>
    <t>Validate the requirement mapped to 2.4.2.2 Inst Conv Confirm: Conditional Step 33 - if proceeding with instalment conversion</t>
  </si>
  <si>
    <t>Acct Dashboard Financing!A42:H42</t>
  </si>
  <si>
    <t>TS-B1-070</t>
  </si>
  <si>
    <t>Validate 2.4.2.3 Inst Conv Ack for Credit Card (Visa/Mastercard)</t>
  </si>
  <si>
    <t>Validate the requirement mapped to 2.4.2.3 Inst Conv Ack: Conditional Step 34 - if proceeding with instalment conversion</t>
  </si>
  <si>
    <t>Acct Dashboard Financing!A43:H43</t>
  </si>
  <si>
    <t>TS-B1-071</t>
  </si>
  <si>
    <t>Validate 2.4.2.4 Inst Conv Rcpt &amp; Notif for Credit Card (Visa/Mastercard)</t>
  </si>
  <si>
    <t>Validate the requirement mapped to 2.4.2.4 Inst Conv Rcpt &amp; Notif: Conditional Step 35 - if proceeding with instalment conversion</t>
  </si>
  <si>
    <t>Acct Dashboard Financing!A44:H44</t>
  </si>
  <si>
    <t>TS-B1-072</t>
  </si>
  <si>
    <t>Validate 2.4.3 Increase Credit Limit for Credit Card (Visa/Mastercard)</t>
  </si>
  <si>
    <t>Validate the requirement mapped to 2.4.3 Increase Credit Limit: Conditional Step 36 - if card eligible per MoB and policy</t>
  </si>
  <si>
    <t>Acct Dashboard Financing!A45:H45</t>
  </si>
  <si>
    <t>TS-B1-073</t>
  </si>
  <si>
    <t>Validate 2.4.3.1 ICL Permanent for Credit Card (Visa/Mastercard)</t>
  </si>
  <si>
    <t>Validate the requirement mapped to 2.4.3.1 ICL Permanent: Conditional Step 37 - if Permanent selected</t>
  </si>
  <si>
    <t>Acct Dashboard Financing!A46:H46</t>
  </si>
  <si>
    <t>TS-B1-074</t>
  </si>
  <si>
    <t>Validate 2.4.3.2 ICL Temporary for Credit Card (Visa/Mastercard)</t>
  </si>
  <si>
    <t>Validate the requirement mapped to 2.4.3.2 ICL Temporary: Conditional Step 38 - if Temporary selected</t>
  </si>
  <si>
    <t>Acct Dashboard Financing!A47:H47</t>
  </si>
  <si>
    <t>TS-B1-075</t>
  </si>
  <si>
    <t>Validate 2.4.3.3 ICL TnC for Credit Card (Visa/Mastercard)</t>
  </si>
  <si>
    <t>Validate the requirement mapped to 2.4.3.3 ICL TnC: Conditional Step 39 - if proceeding with ICL</t>
  </si>
  <si>
    <t>Acct Dashboard Financing!A48:H48</t>
  </si>
  <si>
    <t>TS-B1-076</t>
  </si>
  <si>
    <t>Validate 2.4.3.4 ICL Confirm for Credit Card (Visa/Mastercard)</t>
  </si>
  <si>
    <t>Validate the requirement mapped to 2.4.3.4 ICL Confirm: Conditional Step 40 - if proceeding with ICL</t>
  </si>
  <si>
    <t>Acct Dashboard Financing!A49:H49</t>
  </si>
  <si>
    <t>TS-B1-077</t>
  </si>
  <si>
    <t>Validate 2.4.3.5 ICL Ack for Credit Card (Visa/Mastercard)</t>
  </si>
  <si>
    <t>Validate the requirement mapped to 2.4.3.5 ICL Ack: Conditional Step 41 - if proceeding with ICL</t>
  </si>
  <si>
    <t>Acct Dashboard Financing!A50:H50</t>
  </si>
  <si>
    <t>TS-B1-078</t>
  </si>
  <si>
    <t>Validate 2.4.3.6 ICL Rcpt &amp; Notif for Credit Card (Visa/Mastercard)</t>
  </si>
  <si>
    <t>Validate the requirement mapped to 2.4.3.6 ICL Rcpt &amp; Notif: Conditional Step 42 - if proceeding with ICL</t>
  </si>
  <si>
    <t>Acct Dashboard Financing!A51:H51</t>
  </si>
  <si>
    <t>TS-B1-079</t>
  </si>
  <si>
    <t>Validate 2.4.4 Block Card for Credit Card (Visa/Mastercard)</t>
  </si>
  <si>
    <t>Validate the requirement mapped to 2.4.4 Block Card: Conditional Step 43 - for Active card block action</t>
  </si>
  <si>
    <t>Acct Dashboard Financing!A52:H52</t>
  </si>
  <si>
    <t>TS-B1-080</t>
  </si>
  <si>
    <t>Validate 2.4.4.1 Block Card Ack for Credit Card (Visa/Mastercard)</t>
  </si>
  <si>
    <t>Validate the requirement mapped to 2.4.4.1 Block Card Ack: Conditional Step 44 - if block action submitted</t>
  </si>
  <si>
    <t>Acct Dashboard Financing!A53:H53</t>
  </si>
  <si>
    <t>TS-B1-081</t>
  </si>
  <si>
    <t>Validate 2.4.4.2 Block Card Notif for Credit Card (Visa/Mastercard)</t>
  </si>
  <si>
    <t>Validate the requirement mapped to 2.4.4.2 Block Card Notif: Conditional Step 45 - if block action submitted</t>
  </si>
  <si>
    <t>Acct Dashboard Financing!A54:H54</t>
  </si>
  <si>
    <t>TS-B1-082</t>
  </si>
  <si>
    <t>Validate 2.4.5 Unblock Card for Credit Card (Visa/Mastercard)</t>
  </si>
  <si>
    <t>Validate the requirement mapped to 2.4.5 Unblock Card: Conditional Step 46 - when card is temporarily blocked by eligible channel</t>
  </si>
  <si>
    <t>Negative</t>
  </si>
  <si>
    <t>Acct Dashboard Financing!A55:H55</t>
  </si>
  <si>
    <t>TS-B1-083</t>
  </si>
  <si>
    <t>Validate 2.4.5.1 Unblock Card Ack for Credit Card (Visa/Mastercard)</t>
  </si>
  <si>
    <t>Validate the requirement mapped to 2.4.5.1 Unblock Card Ack: Conditional Step 47 - if unblock action submitted</t>
  </si>
  <si>
    <t>Acct Dashboard Financing!A56:H56</t>
  </si>
  <si>
    <t>TS-B1-084</t>
  </si>
  <si>
    <t>Validate 2.4.5.2 Unblock Card Notif for Credit Card (Visa/Mastercard)</t>
  </si>
  <si>
    <t>Validate the requirement mapped to 2.4.5.2 Unblock Card Notif: Conditional Step 48 - if unblock action submitted</t>
  </si>
  <si>
    <t>Acct Dashboard Financing!A57:H57</t>
  </si>
  <si>
    <t>TS-B1-085</t>
  </si>
  <si>
    <t>Validate 2.4.6 Replace &amp; Renew Card for Credit Card (Visa/Mastercard)</t>
  </si>
  <si>
    <t>Validate the requirement mapped to 2.4.6 Replace &amp; Renew Card: Conditional Step 49 - replace card flow</t>
  </si>
  <si>
    <t>Acct Dashboard Financing!A58:H58</t>
  </si>
  <si>
    <t>TS-B1-086</t>
  </si>
  <si>
    <t>Validate 2.4.6.1 R&amp;R Ack for Credit Card (Visa/Mastercard)</t>
  </si>
  <si>
    <t>Validate the requirement mapped to 2.4.6.1 R&amp;R Ack: Conditional Step 50 - if replace request submitted</t>
  </si>
  <si>
    <t>Acct Dashboard Financing!A59:H59</t>
  </si>
  <si>
    <t>TS-B1-087</t>
  </si>
  <si>
    <t>Validate 2.4.6.2 R&amp;R Notif for Credit Card (Visa/Mastercard)</t>
  </si>
  <si>
    <t>Validate the requirement mapped to 2.4.6.2 R&amp;R Notif: Conditional Step 51 - if replace request submitted</t>
  </si>
  <si>
    <t>Acct Dashboard Financing!A60:H60</t>
  </si>
  <si>
    <t>TS-B1-088</t>
  </si>
  <si>
    <t>Validate 2.4.7 Reset PIN for Credit Card (Visa/Mastercard)</t>
  </si>
  <si>
    <t>Validate the requirement mapped to 2.4.7 Reset PIN: Conditional Step 52 - reset PIN flow</t>
  </si>
  <si>
    <t>Acct Dashboard Financing!A61:H61</t>
  </si>
  <si>
    <t>TS-B1-089</t>
  </si>
  <si>
    <t>Validate 2.4.8 Block Code for Credit Card (Visa/Mastercard)</t>
  </si>
  <si>
    <t>Validate the requirement mapped to 2.4.8 Block Code: Conditional Step 53 - block code matrix governs status/feature gating</t>
  </si>
  <si>
    <t>Acct Dashboard Financing!A62:H62</t>
  </si>
  <si>
    <t>TS-B1-090</t>
  </si>
  <si>
    <t>Final status and recovery for Credit Card (Visa/Mastercard)</t>
  </si>
  <si>
    <t>Validate successful completion, failure handling, and final-state integrity for Dashboard - Credit Card / Card Management.</t>
  </si>
  <si>
    <t>TS-B1-091</t>
  </si>
  <si>
    <t>Credit Card (JCB)</t>
  </si>
  <si>
    <t>Access and open Credit Card (JCB)</t>
  </si>
  <si>
    <t>Acct Dashboard Financing!I1:I62</t>
  </si>
  <si>
    <t>TS-B1-092</t>
  </si>
  <si>
    <t>Authentication and authorisation for Credit Card (JCB)</t>
  </si>
  <si>
    <t>TS-B1-093</t>
  </si>
  <si>
    <t>Validate Common Rules Reference for Credit Card (JCB)</t>
  </si>
  <si>
    <t>Acct Dashboard Financing!A9:I9</t>
  </si>
  <si>
    <t>TS-B1-094</t>
  </si>
  <si>
    <t>Validate 2.1 CC Dashboard - Landing for Credit Card (JCB)</t>
  </si>
  <si>
    <t>Acct Dashboard Financing!A22:I22</t>
  </si>
  <si>
    <t>TS-B1-095</t>
  </si>
  <si>
    <t>Validate 2.1.2 Card Details for Credit Card (JCB)</t>
  </si>
  <si>
    <t>Acct Dashboard Financing!A23:I23</t>
  </si>
  <si>
    <t>TS-B1-096</t>
  </si>
  <si>
    <t>Validate 2.1.4 JCB CC Activation for Credit Card (JCB)</t>
  </si>
  <si>
    <t>Validate the requirement mapped to 2.1.4 JCB CC Activation: Conditional Step 16 - pending activation and card type JCB</t>
  </si>
  <si>
    <t>Acct Dashboard Financing!A25:I25</t>
  </si>
  <si>
    <t>TS-B1-097</t>
  </si>
  <si>
    <t>Validate 2.2 CC &gt; Transactions for Credit Card (JCB)</t>
  </si>
  <si>
    <t>Acct Dashboard Financing!A26:I26</t>
  </si>
  <si>
    <t>TS-B1-098</t>
  </si>
  <si>
    <t>Validate 2.2.1 CC View All Trans for Credit Card (JCB)</t>
  </si>
  <si>
    <t>Acct Dashboard Financing!A27:I27</t>
  </si>
  <si>
    <t>TS-B1-099</t>
  </si>
  <si>
    <t>Validate 2.2.1.1 Convert TREATS for Credit Card (JCB)</t>
  </si>
  <si>
    <t>Acct Dashboard Financing!A28:I28</t>
  </si>
  <si>
    <t>TS-B1-100</t>
  </si>
  <si>
    <t>Validate 2.2.1.2 View Receipts for Credit Card (JCB)</t>
  </si>
  <si>
    <t>Acct Dashboard Financing!A29:I29</t>
  </si>
  <si>
    <t>TS-B1-101</t>
  </si>
  <si>
    <t>Validate 2.2.1.3 Card Statement for Credit Card (JCB)</t>
  </si>
  <si>
    <t>Acct Dashboard Financing!A30:I30</t>
  </si>
  <si>
    <t>TS-B1-102</t>
  </si>
  <si>
    <t>Validate 2.3 CC &gt; Summary for Credit Card (JCB)</t>
  </si>
  <si>
    <t>Acct Dashboard Financing!A31:I31</t>
  </si>
  <si>
    <t>TS-B1-103</t>
  </si>
  <si>
    <t>Validate 2.4 CC &gt; Manage for Credit Card (JCB)</t>
  </si>
  <si>
    <t>Acct Dashboard Financing!A32:I32</t>
  </si>
  <si>
    <t>TS-B1-104</t>
  </si>
  <si>
    <t>Validate 2.4.1 XCash for Credit Card (JCB)</t>
  </si>
  <si>
    <t>Acct Dashboard Financing!A33:I33</t>
  </si>
  <si>
    <t>TS-B1-105</t>
  </si>
  <si>
    <t>Validate 2.4.1.1 XCash Apply Input for Credit Card (JCB)</t>
  </si>
  <si>
    <t>Acct Dashboard Financing!A34:I34</t>
  </si>
  <si>
    <t>TS-B1-106</t>
  </si>
  <si>
    <t>Validate 2.4.1.2 XCash Apply Acc for Credit Card (JCB)</t>
  </si>
  <si>
    <t>Acct Dashboard Financing!A35:I35</t>
  </si>
  <si>
    <t>TS-B1-107</t>
  </si>
  <si>
    <t>Validate 2.4.1.3 XCash Apply TnC for Credit Card (JCB)</t>
  </si>
  <si>
    <t>Acct Dashboard Financing!A36:I36</t>
  </si>
  <si>
    <t>TS-B1-108</t>
  </si>
  <si>
    <t>Validate 2.4.1.4 XCash Apply Confirm for Credit Card (JCB)</t>
  </si>
  <si>
    <t>Acct Dashboard Financing!A37:I37</t>
  </si>
  <si>
    <t>TS-B1-109</t>
  </si>
  <si>
    <t>Validate 2.4.1.5 XCash Apply Ack for Credit Card (JCB)</t>
  </si>
  <si>
    <t>Acct Dashboard Financing!A38:I38</t>
  </si>
  <si>
    <t>TS-B1-110</t>
  </si>
  <si>
    <t>Validate 2.4.1.6 XCash Rcpt &amp; Notif for Credit Card (JCB)</t>
  </si>
  <si>
    <t>Acct Dashboard Financing!A39:I39</t>
  </si>
  <si>
    <t>TS-B1-111</t>
  </si>
  <si>
    <t>Validate 2.4.2 Instalment Convert for Credit Card (JCB)</t>
  </si>
  <si>
    <t>Acct Dashboard Financing!A40:I40</t>
  </si>
  <si>
    <t>TS-B1-112</t>
  </si>
  <si>
    <t>Validate 2.4.2.1 Inst Conv TnC for Credit Card (JCB)</t>
  </si>
  <si>
    <t>Acct Dashboard Financing!A41:I41</t>
  </si>
  <si>
    <t>TS-B1-113</t>
  </si>
  <si>
    <t>Validate 2.4.2.2 Inst Conv Confirm for Credit Card (JCB)</t>
  </si>
  <si>
    <t>Acct Dashboard Financing!A42:I42</t>
  </si>
  <si>
    <t>TS-B1-114</t>
  </si>
  <si>
    <t>Validate 2.4.2.3 Inst Conv Ack for Credit Card (JCB)</t>
  </si>
  <si>
    <t>Acct Dashboard Financing!A43:I43</t>
  </si>
  <si>
    <t>TS-B1-115</t>
  </si>
  <si>
    <t>Validate 2.4.2.4 Inst Conv Rcpt &amp; Notif for Credit Card (JCB)</t>
  </si>
  <si>
    <t>Acct Dashboard Financing!A44:I44</t>
  </si>
  <si>
    <t>TS-B1-116</t>
  </si>
  <si>
    <t>Validate 2.4.3 Increase Credit Limit for Credit Card (JCB)</t>
  </si>
  <si>
    <t>Acct Dashboard Financing!A45:I45</t>
  </si>
  <si>
    <t>TS-B1-117</t>
  </si>
  <si>
    <t>Validate 2.4.3.1 ICL Permanent for Credit Card (JCB)</t>
  </si>
  <si>
    <t>Acct Dashboard Financing!A46:I46</t>
  </si>
  <si>
    <t>TS-B1-118</t>
  </si>
  <si>
    <t>Validate 2.4.3.2 ICL Temporary for Credit Card (JCB)</t>
  </si>
  <si>
    <t>Acct Dashboard Financing!A47:I47</t>
  </si>
  <si>
    <t>TS-B1-119</t>
  </si>
  <si>
    <t>Validate 2.4.3.3 ICL TnC for Credit Card (JCB)</t>
  </si>
  <si>
    <t>Acct Dashboard Financing!A48:I48</t>
  </si>
  <si>
    <t>TS-B1-120</t>
  </si>
  <si>
    <t>Validate 2.4.3.4 ICL Confirm for Credit Card (JCB)</t>
  </si>
  <si>
    <t>Acct Dashboard Financing!A49:I49</t>
  </si>
  <si>
    <t>TS-B1-121</t>
  </si>
  <si>
    <t>Validate 2.4.3.5 ICL Ack for Credit Card (JCB)</t>
  </si>
  <si>
    <t>Acct Dashboard Financing!A50:I50</t>
  </si>
  <si>
    <t>TS-B1-122</t>
  </si>
  <si>
    <t>Validate 2.4.3.6 ICL Rcpt &amp; Notif for Credit Card (JCB)</t>
  </si>
  <si>
    <t>Acct Dashboard Financing!A51:I51</t>
  </si>
  <si>
    <t>TS-B1-123</t>
  </si>
  <si>
    <t>Validate 2.4.4 Block Card for Credit Card (JCB)</t>
  </si>
  <si>
    <t>Acct Dashboard Financing!A52:I52</t>
  </si>
  <si>
    <t>TS-B1-124</t>
  </si>
  <si>
    <t>Validate 2.4.4.1 Block Card Ack for Credit Card (JCB)</t>
  </si>
  <si>
    <t>Acct Dashboard Financing!A53:I53</t>
  </si>
  <si>
    <t>TS-B1-125</t>
  </si>
  <si>
    <t>Validate 2.4.4.2 Block Card Notif for Credit Card (JCB)</t>
  </si>
  <si>
    <t>Acct Dashboard Financing!A54:I54</t>
  </si>
  <si>
    <t>TS-B1-126</t>
  </si>
  <si>
    <t>Validate 2.4.5 Unblock Card for Credit Card (JCB)</t>
  </si>
  <si>
    <t>Acct Dashboard Financing!A55:I55</t>
  </si>
  <si>
    <t>TS-B1-127</t>
  </si>
  <si>
    <t>Validate 2.4.5.1 Unblock Card Ack for Credit Card (JCB)</t>
  </si>
  <si>
    <t>Acct Dashboard Financing!A56:I56</t>
  </si>
  <si>
    <t>TS-B1-128</t>
  </si>
  <si>
    <t>Validate 2.4.5.2 Unblock Card Notif for Credit Card (JCB)</t>
  </si>
  <si>
    <t>Acct Dashboard Financing!A57:I57</t>
  </si>
  <si>
    <t>TS-B1-129</t>
  </si>
  <si>
    <t>Validate 2.4.6 Replace &amp; Renew Card for Credit Card (JCB)</t>
  </si>
  <si>
    <t>Acct Dashboard Financing!A58:I58</t>
  </si>
  <si>
    <t>TS-B1-130</t>
  </si>
  <si>
    <t>Validate 2.4.6.1 R&amp;R Ack for Credit Card (JCB)</t>
  </si>
  <si>
    <t>Acct Dashboard Financing!A59:I59</t>
  </si>
  <si>
    <t>TS-B1-131</t>
  </si>
  <si>
    <t>Validate 2.4.6.2 R&amp;R Notif for Credit Card (JCB)</t>
  </si>
  <si>
    <t>Acct Dashboard Financing!A60:I60</t>
  </si>
  <si>
    <t>TS-B1-132</t>
  </si>
  <si>
    <t>Validate 2.4.7 Reset PIN for Credit Card (JCB)</t>
  </si>
  <si>
    <t>Acct Dashboard Financing!A61:I61</t>
  </si>
  <si>
    <t>TS-B1-133</t>
  </si>
  <si>
    <t>Validate 2.4.8 Block Code for Credit Card (JCB)</t>
  </si>
  <si>
    <t>Acct Dashboard Financing!A62:I62</t>
  </si>
  <si>
    <t>TS-B1-134</t>
  </si>
  <si>
    <t>Final status and recovery for Credit Card (JCB)</t>
  </si>
  <si>
    <t>TS-B1-135</t>
  </si>
  <si>
    <t>Dashboard — Deposits</t>
  </si>
  <si>
    <t>CASA: Regular Savings Account; Current Account (conventional and shariah)</t>
  </si>
  <si>
    <t>Access and open CASA: Regular Savings Account; Current Account (conventional and shariah)</t>
  </si>
  <si>
    <t>Validate the configured entry point, customer eligibility, and initial page for Dashboard — Deposits.</t>
  </si>
  <si>
    <t>Acct Dashboard Non-Financing!B1:B45</t>
  </si>
  <si>
    <t>TS-B1-136</t>
  </si>
  <si>
    <t>Authentication and authorisation for CASA: Regular Savings Account; Current Account (conventional and shariah)</t>
  </si>
  <si>
    <t>Validate all authentication requirements stated for Dashboard — Deposits.</t>
  </si>
  <si>
    <t>TS-B1-137</t>
  </si>
  <si>
    <t>Validate Step 1 — 1.1 Account Dashboard Landing for CASA: Regular Savings Account; Current Account (conventional and shariah)</t>
  </si>
  <si>
    <t>Validate the requirement mapped to Step 1 — 1.1 Account Dashboard Landing: Step 1</t>
  </si>
  <si>
    <t>Acct Dashboard Non-Financing!A10:B10</t>
  </si>
  <si>
    <t>TS-B1-138</t>
  </si>
  <si>
    <t>Validate Step 2 — 1.2 Account Listing (Savings &amp; Current) for CASA: Regular Savings Account; Current Account (conventional and shariah)</t>
  </si>
  <si>
    <t>Validate the requirement mapped to Step 2 — 1.2 Account Listing (Savings &amp; Current): Step 2 — displays account card; total balance with/without '≈'; Tabung banner/card; upsell banner; business profile disclaimer if applicable</t>
  </si>
  <si>
    <t>Acct Dashboard Non-Financing!A11:B11</t>
  </si>
  <si>
    <t>TS-B1-139</t>
  </si>
  <si>
    <t>Validate Step 3 — 1.2.1 CASA Account Details for CASA: Regular Savings Account; Current Account (conventional and shariah)</t>
  </si>
  <si>
    <t>Validate the requirement mapped to Step 3 — 1.2.1 CASA Account Details: Step 3 — Transactions / Summary / Manage tabs; account balance drawer; linked term savings section; Quick Actions (Transfer, Pay, eWallet, View Statements, View linked card); Set Primary; Manage Linked Card; Block Account available per eligibility</t>
  </si>
  <si>
    <t>Acct Dashboard Non-Financing!A12:B12</t>
  </si>
  <si>
    <t>TS-B1-140</t>
  </si>
  <si>
    <t>Validate Step 4 — 1.2.1.1 Transaction Details for CASA: Regular Savings Account; Current Account (conventional and shariah)</t>
  </si>
  <si>
    <t>Validate the requirement mapped to Step 4 — 1.2.1.1 Transaction Details: Step 4 — tap any transaction in Transactions tab or ViewAllTrans; displays per transaction type matrix (Overseas Transfer, Currency Exchange, Pay Using Card, Scan &amp; Pay, Transfer, Money In/Out variants)</t>
  </si>
  <si>
    <t>Acct Dashboard Non-Financing!A13:B13</t>
  </si>
  <si>
    <t>TS-B1-141</t>
  </si>
  <si>
    <t>Validate Step 5 — 1.2.1.2 ViewAllTrans for CASA: Regular Savings Account; Current Account (conventional and shariah)</t>
  </si>
  <si>
    <t>Validate the requirement mapped to Step 5 — 1.2.1.2 ViewAllTrans: Step 5 — search, filter (Money In/Out, Transaction Currency for GAA/MCA, Time Range, Custom date), export (PDF/CSV/XLSX, Send to Email / Save to device)</t>
  </si>
  <si>
    <t>Acct Dashboard Non-Financing!A14:B14</t>
  </si>
  <si>
    <t>TS-B1-142</t>
  </si>
  <si>
    <t>Validate Step 6 — 1.2.1.3 ManageLinkedCard for CASA: Regular Savings Account; Current Account (conventional and shariah)</t>
  </si>
  <si>
    <t>Validate the requirement mapped to Step 6 — 1.2.1.3 ManageLinkedCard: Step 6 — view/link/unlink/update linked debit card; S2U required; Global Access account displays only GAA cards; non-GAA account excludes GAA cards; max 8 linked accounts per card; default account restriction</t>
  </si>
  <si>
    <t>Acct Dashboard Non-Financing!A15:B15</t>
  </si>
  <si>
    <t>TS-B1-143</t>
  </si>
  <si>
    <t>Validate Step 7 — 1.2.1.4 BlockAccount for CASA: Regular Savings Account; Current Account (conventional and shariah)</t>
  </si>
  <si>
    <t>Validate the requirement mapped to Step 7 — 1.2.1.4 BlockAccount: Step 7 — single or multi-select block; S2U required; eligible accounts per product code / segment ID / status Active; post-block: Frozen status, Quick Actions greyed except View Statements, Manage greyed except Add/Edit Nickname</t>
  </si>
  <si>
    <t>Acct Dashboard Non-Financing!A16:B16</t>
  </si>
  <si>
    <t>TS-B1-144</t>
  </si>
  <si>
    <t>Validate Step 8 — 1.2.1.5 DormantAccount for CASA: Regular Savings Account; Current Account (conventional and shariah)</t>
  </si>
  <si>
    <t>Validate the requirement mapped to Step 8 — 1.2.1.5 DormantAccount: Conditional Step 8 — displayed when account status is Dormant; all Quick Actions and Manage greyed except View Statements and Add/Edit Nickname; dormancy PN+email notifications 1 month prior and on effective date</t>
  </si>
  <si>
    <t>Acct Dashboard Non-Financing!A17:B17</t>
  </si>
  <si>
    <t>TS-B1-145</t>
  </si>
  <si>
    <t>Validate Step 9 — 1.2.1.6 Inactive Account for CASA: Regular Savings Account; Current Account (conventional and shariah)</t>
  </si>
  <si>
    <t>Validate the requirement mapped to Step 9 — 1.2.1.6 Inactive Account: Conditional Step 9 — displayed when account status is Inactive; Reactivate button displayed (except excluded product codes 319, 826, 209, 219, 279, 806); Update Personal Details → Confirmation → S2U → Acknowledgement; Account Reactivated / Update Unsuccessful</t>
  </si>
  <si>
    <t>Acct Dashboard Non-Financing!A18:B18</t>
  </si>
  <si>
    <t>TS-B1-146</t>
  </si>
  <si>
    <t>Validate Step 10 — 1.2.1.7 Closed Account for CASA: Regular Savings Account; Current Account (conventional and shariah)</t>
  </si>
  <si>
    <t>Validate the requirement mapped to Step 10 — 1.2.1.7 Closed Account: Conditional Step 10 — displayed up to 90 days after closing date (NGBO-parameterised; 0 = not displayed); View Statements only; all other actions disabled</t>
  </si>
  <si>
    <t>Acct Dashboard Non-Financing!A19:B19</t>
  </si>
  <si>
    <t>TS-B1-147</t>
  </si>
  <si>
    <t>Validate ViewAllTrans — Transaction History Display Rule for CASA: Regular Savings Account; Current Account (conventional and shariah)</t>
  </si>
  <si>
    <t>Validate the requirement mapped to ViewAllTrans — Transaction History Display Rule: Transactions tab shows latest 10 (YTD + last 24 months); "View All Transactions" hyperlink shown only if &gt;10 transactions</t>
  </si>
  <si>
    <t>Acct Dashboard Non-Financing!A40:B40</t>
  </si>
  <si>
    <t>TS-B1-148</t>
  </si>
  <si>
    <t>Validate Business Profile / IBO Disclaimer for CASA: Regular Savings Account; Current Account (conventional and shariah)</t>
  </si>
  <si>
    <t>Validate the requirement mapped to Business Profile / IBO Disclaimer: Disclaimer box displayed if business profile set up; for this release all accounts shown; upon IBO: only personal accounts displayed</t>
  </si>
  <si>
    <t>Acct Dashboard Non-Financing!A43:B43</t>
  </si>
  <si>
    <t>TS-B1-149</t>
  </si>
  <si>
    <t>Validate External FSD References for CASA: Regular Savings Account; Current Account (conventional and shariah)</t>
  </si>
  <si>
    <t>Validate the requirement mapped to External FSD References: Login: refer to A&amp;A FSD; Set as Primary: refer to AD Common FSD; Add/Edit Nickname: refer to AD Common FSD; Tabung: refer to Tabung FSD; Apply Deposit: refer to Apply STP Non Financing FSD; View Statements: refer to Document FSD; Transfer: refer to Local Transfer FSD; Pay Bills: refer to Money Out FSD; Common Authorisation Failed: refer to Common FSD; Common Masking Rules: refer to Common FSD; Edit Function Rules: refer to Common FSD</t>
  </si>
  <si>
    <t>Acct Dashboard Non-Financing!A45:B45</t>
  </si>
  <si>
    <t>TS-B1-150</t>
  </si>
  <si>
    <t>Final status and recovery for CASA: Regular Savings Account; Current Account (conventional and shariah)</t>
  </si>
  <si>
    <t>Validate successful completion, failure handling, and final-state integrity for Dashboard — Deposits.</t>
  </si>
  <si>
    <t>TS-B1-151</t>
  </si>
  <si>
    <t>RDN Konvensional (securities nominee account)</t>
  </si>
  <si>
    <t>Access and open RDN Konvensional (securities nominee account)</t>
  </si>
  <si>
    <t>Acct Dashboard Non-Financing!C1:C45</t>
  </si>
  <si>
    <t>TS-B1-152</t>
  </si>
  <si>
    <t>Authentication and authorisation for RDN Konvensional (securities nominee account)</t>
  </si>
  <si>
    <t>TS-B1-153</t>
  </si>
  <si>
    <t>Validate Step 1 — 1.1 Account Dashboard Landing for RDN Konvensional (securities nominee account)</t>
  </si>
  <si>
    <t>Acct Dashboard Non-Financing!A10:C10</t>
  </si>
  <si>
    <t>TS-B1-154</t>
  </si>
  <si>
    <t>Validate Step 2 — 1.2 Account Listing (Savings &amp; Current) for RDN Konvensional (securities nominee account)</t>
  </si>
  <si>
    <t>Validate the requirement mapped to Step 2 — 1.2 Account Listing (Savings &amp; Current): Step 2 — RDNK card visible in Savings &amp; Current listing</t>
  </si>
  <si>
    <t>Acct Dashboard Non-Financing!A11:C11</t>
  </si>
  <si>
    <t>TS-B1-155</t>
  </si>
  <si>
    <t>Validate Step 11 — 1.2.2 RDN Konvensional Account Details for RDN Konvensional (securities nominee account)</t>
  </si>
  <si>
    <t>Validate the requirement mapped to Step 11 — 1.2.2 RDN Konvensional Account Details: Step 11 — Transactions / Summary / Manage tabs; Top Up Quick Action navigates to Local Transfer Own Account with RDN as destination; security company displayed; no primary label; no block account eligibility per product code exclusion</t>
  </si>
  <si>
    <t>Acct Dashboard Non-Financing!A20:C20</t>
  </si>
  <si>
    <t>TS-B1-156</t>
  </si>
  <si>
    <t>Validate ViewAllTrans — Transaction History Display Rule for RDN Konvensional (securities nominee account)</t>
  </si>
  <si>
    <t>Validate the requirement mapped to ViewAllTrans — Transaction History Display Rule: Transactions tab: latest 10; YTD + last 2 years; ViewAllTrans via sticky hyperlink</t>
  </si>
  <si>
    <t>Acct Dashboard Non-Financing!A40:C40</t>
  </si>
  <si>
    <t>TS-B1-157</t>
  </si>
  <si>
    <t>Validate Sorting / Display Order for RDN Konvensional (securities nominee account)</t>
  </si>
  <si>
    <t>Validate the requirement mapped to Sorting / Display Order: Sorted within Savings &amp; Current by product name then account number</t>
  </si>
  <si>
    <t>Acct Dashboard Non-Financing!A41:C41</t>
  </si>
  <si>
    <t>TS-B1-158</t>
  </si>
  <si>
    <t>Validate Joint-AND Account Restrictions for RDN Konvensional (securities nominee account)</t>
  </si>
  <si>
    <t>Validate the requirement mapped to Joint-AND Account Restrictions: Not applicable (no joint-AND for RDNK)</t>
  </si>
  <si>
    <t>Acct Dashboard Non-Financing!A42:C42</t>
  </si>
  <si>
    <t>TS-B1-159</t>
  </si>
  <si>
    <t>Validate Business Profile / IBO Disclaimer for RDN Konvensional (securities nominee account)</t>
  </si>
  <si>
    <t>Validate the requirement mapped to Business Profile / IBO Disclaimer: Not applicable</t>
  </si>
  <si>
    <t>Acct Dashboard Non-Financing!A43:C43</t>
  </si>
  <si>
    <t>TS-B1-160</t>
  </si>
  <si>
    <t>Validate External FSD References for RDN Konvensional (securities nominee account)</t>
  </si>
  <si>
    <t>Validate the requirement mapped to External FSD References: Add/Edit Nickname: refer to AD Common FSD; Top Up navigates to Local Transfer FSD</t>
  </si>
  <si>
    <t>Acct Dashboard Non-Financing!A45:C45</t>
  </si>
  <si>
    <t>TS-B1-161</t>
  </si>
  <si>
    <t>Final status and recovery for RDN Konvensional (securities nominee account)</t>
  </si>
  <si>
    <t>TS-B1-162</t>
  </si>
  <si>
    <t>UGoalSaver (term savings with scheduled debit)</t>
  </si>
  <si>
    <t>Access and open UGoalSaver (term savings with scheduled debit)</t>
  </si>
  <si>
    <t>Acct Dashboard Non-Financing!D1:D45</t>
  </si>
  <si>
    <t>TS-B1-163</t>
  </si>
  <si>
    <t>Authentication and authorisation for UGoalSaver (term savings with scheduled debit)</t>
  </si>
  <si>
    <t>TS-B1-164</t>
  </si>
  <si>
    <t>Validate Step 1 — 1.1 Account Dashboard Landing for UGoalSaver (term savings with scheduled debit)</t>
  </si>
  <si>
    <t>Acct Dashboard Non-Financing!A10:D10</t>
  </si>
  <si>
    <t>TS-B1-165</t>
  </si>
  <si>
    <t>Validate Step 2 — 1.2 Account Listing (Savings &amp; Current) for UGoalSaver (term savings with scheduled debit)</t>
  </si>
  <si>
    <t>Validate the requirement mapped to Step 2 — 1.2 Account Listing (Savings &amp; Current): Step 2 — UGoalSaver card visible in Savings &amp; Current listing</t>
  </si>
  <si>
    <t>Acct Dashboard Non-Financing!A11:D11</t>
  </si>
  <si>
    <t>TS-B1-166</t>
  </si>
  <si>
    <t>Validate Step 12 — 1.2.3 UGoalSaver Account Details for UGoalSaver (term savings with scheduled debit)</t>
  </si>
  <si>
    <t>Validate the requirement mapped to Step 12 — 1.2.3 UGoalSaver Account Details: Step 12 — Transactions / Summary / Manage tabs; Summary: term details (tenure, maturity date), scheduled debits (initial deposit, monthly debit, next debit date), returns (interest/indicative rate, accrued interest/profit), linked parent account</t>
  </si>
  <si>
    <t>Acct Dashboard Non-Financing!A21:D21</t>
  </si>
  <si>
    <t>TS-B1-167</t>
  </si>
  <si>
    <t>Validate ViewAllTrans — Transaction History Display Rule for UGoalSaver (term savings with scheduled debit)</t>
  </si>
  <si>
    <t>Acct Dashboard Non-Financing!A40:D40</t>
  </si>
  <si>
    <t>TS-B1-168</t>
  </si>
  <si>
    <t>Validate Sorting / Display Order for UGoalSaver (term savings with scheduled debit)</t>
  </si>
  <si>
    <t>Acct Dashboard Non-Financing!A41:D41</t>
  </si>
  <si>
    <t>TS-B1-169</t>
  </si>
  <si>
    <t>Validate Joint-AND Account Restrictions for UGoalSaver (term savings with scheduled debit)</t>
  </si>
  <si>
    <t>Validate the requirement mapped to Joint-AND Account Restrictions: Not applicable (UGoalSaver cannot be joint)</t>
  </si>
  <si>
    <t>Acct Dashboard Non-Financing!A42:D42</t>
  </si>
  <si>
    <t>TS-B1-170</t>
  </si>
  <si>
    <t>Validate Business Profile / IBO Disclaimer for UGoalSaver (term savings with scheduled debit)</t>
  </si>
  <si>
    <t>Acct Dashboard Non-Financing!A43:D43</t>
  </si>
  <si>
    <t>TS-B1-171</t>
  </si>
  <si>
    <t>Validate External FSD References for UGoalSaver (term savings with scheduled debit)</t>
  </si>
  <si>
    <t>Validate the requirement mapped to External FSD References: Add/Edit Nickname: refer to AD Common FSD</t>
  </si>
  <si>
    <t>Acct Dashboard Non-Financing!A45:D45</t>
  </si>
  <si>
    <t>TS-B1-172</t>
  </si>
  <si>
    <t>Final status and recovery for UGoalSaver (term savings with scheduled debit)</t>
  </si>
  <si>
    <t>TS-B1-173</t>
  </si>
  <si>
    <t>MyPlan Plus / MaybankGift (term savings with auto-debit and gift campaign)</t>
  </si>
  <si>
    <t>Access and open MyPlan Plus / MaybankGift (term savings with auto-debit and gift campaign)</t>
  </si>
  <si>
    <t>Acct Dashboard Non-Financing!E1:E45</t>
  </si>
  <si>
    <t>TS-B1-174</t>
  </si>
  <si>
    <t>Authentication and authorisation for MyPlan Plus / MaybankGift (term savings with auto-debit and gift campaign)</t>
  </si>
  <si>
    <t>TS-B1-175</t>
  </si>
  <si>
    <t>Validate Step 1 — 1.1 Account Dashboard Landing for MyPlan Plus / MaybankGift (term savings with auto-debit and gift campaign)</t>
  </si>
  <si>
    <t>Acct Dashboard Non-Financing!A10:E10</t>
  </si>
  <si>
    <t>TS-B1-176</t>
  </si>
  <si>
    <t>Validate Step 2 — 1.2 Account Listing (Savings &amp; Current) for MyPlan Plus / MaybankGift (term savings with auto-debit and gift campaign)</t>
  </si>
  <si>
    <t>Validate the requirement mapped to Step 2 — 1.2 Account Listing (Savings &amp; Current): Step 2 — MyPlan Plus card visible in Savings &amp; Current listing</t>
  </si>
  <si>
    <t>Acct Dashboard Non-Financing!A11:E11</t>
  </si>
  <si>
    <t>TS-B1-177</t>
  </si>
  <si>
    <t>Validate Step 13 — 1.2.4 MyPlan Plus (MaybankGift) Account Details for MyPlan Plus / MaybankGift (term savings with auto-debit and gift campaign)</t>
  </si>
  <si>
    <t>Validate the requirement mapped to Step 13 — 1.2.4 MyPlan Plus (MaybankGift) Account Details: Step 13 — Transactions / Summary / Manage tabs; Summary: term details, scheduled debits, failed auto-debit attempts (tooltip drawer), returns, MaybankGift banner (in-app webview), penalty/cancellation charge, linked parent account; &gt;3 failed debits closes account — Needs PO/BA clarification (post sign-off item)</t>
  </si>
  <si>
    <t>Acct Dashboard Non-Financing!A22:E22</t>
  </si>
  <si>
    <t>TS-B1-178</t>
  </si>
  <si>
    <t>Validate ViewAllTrans — Transaction History Display Rule for MyPlan Plus / MaybankGift (term savings with auto-debit and gift campaign)</t>
  </si>
  <si>
    <t>Acct Dashboard Non-Financing!A40:E40</t>
  </si>
  <si>
    <t>TS-B1-179</t>
  </si>
  <si>
    <t>Validate Sorting / Display Order for MyPlan Plus / MaybankGift (term savings with auto-debit and gift campaign)</t>
  </si>
  <si>
    <t>Acct Dashboard Non-Financing!A41:E41</t>
  </si>
  <si>
    <t>TS-B1-180</t>
  </si>
  <si>
    <t>Validate Joint-AND Account Restrictions for MyPlan Plus / MaybankGift (term savings with auto-debit and gift campaign)</t>
  </si>
  <si>
    <t>Validate the requirement mapped to Joint-AND Account Restrictions: Not applicable (MyPlan Plus cannot be joint)</t>
  </si>
  <si>
    <t>Acct Dashboard Non-Financing!A42:E42</t>
  </si>
  <si>
    <t>TS-B1-181</t>
  </si>
  <si>
    <t>Validate Business Profile / IBO Disclaimer for MyPlan Plus / MaybankGift (term savings with auto-debit and gift campaign)</t>
  </si>
  <si>
    <t>Acct Dashboard Non-Financing!A43:E43</t>
  </si>
  <si>
    <t>TS-B1-182</t>
  </si>
  <si>
    <t>Validate External FSD References for MyPlan Plus / MaybankGift (term savings with auto-debit and gift campaign)</t>
  </si>
  <si>
    <t>Acct Dashboard Non-Financing!A45:E45</t>
  </si>
  <si>
    <t>TS-B1-183</t>
  </si>
  <si>
    <t>Final status and recovery for MyPlan Plus / MaybankGift (term savings with auto-debit and gift campaign)</t>
  </si>
  <si>
    <t>TS-B1-184</t>
  </si>
  <si>
    <t>MyPlan Term Savings (term savings with auto-debit)</t>
  </si>
  <si>
    <t>Access and open MyPlan Term Savings (term savings with auto-debit)</t>
  </si>
  <si>
    <t>Acct Dashboard Non-Financing!F1:F45</t>
  </si>
  <si>
    <t>TS-B1-185</t>
  </si>
  <si>
    <t>Authentication and authorisation for MyPlan Term Savings (term savings with auto-debit)</t>
  </si>
  <si>
    <t>TS-B1-186</t>
  </si>
  <si>
    <t>Validate Step 1 — 1.1 Account Dashboard Landing for MyPlan Term Savings (term savings with auto-debit)</t>
  </si>
  <si>
    <t>Acct Dashboard Non-Financing!A10:F10</t>
  </si>
  <si>
    <t>TS-B1-187</t>
  </si>
  <si>
    <t>Validate Step 2 — 1.2 Account Listing (Savings &amp; Current) for MyPlan Term Savings (term savings with auto-debit)</t>
  </si>
  <si>
    <t>Validate the requirement mapped to Step 2 — 1.2 Account Listing (Savings &amp; Current): Step 2 — MyPlan Term Savings card visible in Savings &amp; Current listing</t>
  </si>
  <si>
    <t>Acct Dashboard Non-Financing!A11:F11</t>
  </si>
  <si>
    <t>TS-B1-188</t>
  </si>
  <si>
    <t>Validate Step 5 — 1.2.1.2 ViewAllTrans for MyPlan Term Savings (term savings with auto-debit)</t>
  </si>
  <si>
    <t>Validate the requirement mapped to Step 5 — 1.2.1.2 ViewAllTrans: Step 5</t>
  </si>
  <si>
    <t>Acct Dashboard Non-Financing!A14:F14</t>
  </si>
  <si>
    <t>TS-B1-189</t>
  </si>
  <si>
    <t>Validate Step 14 — 1.2.5 MyPlan Term Savings Account Details for MyPlan Term Savings (term savings with auto-debit)</t>
  </si>
  <si>
    <t>Validate the requirement mapped to Step 14 — 1.2.5 MyPlan Term Savings Account Details: Step 14 — Transactions / Summary / Manage tabs; Summary: term details, scheduled debits, failed auto-debit attempts (tooltip drawer), returns, penalty/cancellation charge, linked parent account; &gt;3 failed debits closes account — Needs PO/BA clarification (post sign-off item)</t>
  </si>
  <si>
    <t>Acct Dashboard Non-Financing!A23:F23</t>
  </si>
  <si>
    <t>TS-B1-190</t>
  </si>
  <si>
    <t>Validate ViewAllTrans — Transaction History Display Rule for MyPlan Term Savings (term savings with auto-debit)</t>
  </si>
  <si>
    <t>Acct Dashboard Non-Financing!A40:F40</t>
  </si>
  <si>
    <t>TS-B1-191</t>
  </si>
  <si>
    <t>Validate Sorting / Display Order for MyPlan Term Savings (term savings with auto-debit)</t>
  </si>
  <si>
    <t>Acct Dashboard Non-Financing!A41:F41</t>
  </si>
  <si>
    <t>TS-B1-192</t>
  </si>
  <si>
    <t>Validate Joint-AND Account Restrictions for MyPlan Term Savings (term savings with auto-debit)</t>
  </si>
  <si>
    <t>Validate the requirement mapped to Joint-AND Account Restrictions: Not applicable (MyPlan Term Savings cannot be joint)</t>
  </si>
  <si>
    <t>Acct Dashboard Non-Financing!A42:F42</t>
  </si>
  <si>
    <t>TS-B1-193</t>
  </si>
  <si>
    <t>Validate Business Profile / IBO Disclaimer for MyPlan Term Savings (term savings with auto-debit)</t>
  </si>
  <si>
    <t>Acct Dashboard Non-Financing!A43:F43</t>
  </si>
  <si>
    <t>TS-B1-194</t>
  </si>
  <si>
    <t>Validate External FSD References for MyPlan Term Savings (term savings with auto-debit)</t>
  </si>
  <si>
    <t>Acct Dashboard Non-Financing!A45:F45</t>
  </si>
  <si>
    <t>TS-B1-195</t>
  </si>
  <si>
    <t>Final status and recovery for MyPlan Term Savings (term savings with auto-debit)</t>
  </si>
  <si>
    <t>TS-B1-196</t>
  </si>
  <si>
    <t>Global Access Account — multicurrency IDR-base</t>
  </si>
  <si>
    <t>Access and open Global Access Account — multicurrency IDR-base</t>
  </si>
  <si>
    <t>Acct Dashboard Non-Financing!G1:G45</t>
  </si>
  <si>
    <t>TS-B1-197</t>
  </si>
  <si>
    <t>Authentication and authorisation for Global Access Account — multicurrency IDR-base</t>
  </si>
  <si>
    <t>TS-B1-198</t>
  </si>
  <si>
    <t>Validate Step 1 — 1.1 Account Dashboard Landing for Global Access Account — multicurrency IDR-base</t>
  </si>
  <si>
    <t>Acct Dashboard Non-Financing!A10:G10</t>
  </si>
  <si>
    <t>TS-B1-199</t>
  </si>
  <si>
    <t>Validate Step 2 — 1.2 Account Listing (Savings &amp; Current) for Global Access Account — multicurrency IDR-base</t>
  </si>
  <si>
    <t>Validate the requirement mapped to Step 2 — 1.2 Account Listing (Savings &amp; Current): Step 2 — GAA card visible in Savings &amp; Current listing; balance shown with '≈' if FCY present</t>
  </si>
  <si>
    <t>Acct Dashboard Non-Financing!A11:G11</t>
  </si>
  <si>
    <t>TS-B1-200</t>
  </si>
  <si>
    <t>Validate Step 5 — 1.2.1.2 ViewAllTrans for Global Access Account — multicurrency IDR-base</t>
  </si>
  <si>
    <t>Validate the requirement mapped to Step 5 — 1.2.1.2 ViewAllTrans: Step 5 — Transaction Currency filter applicable</t>
  </si>
  <si>
    <t>Acct Dashboard Non-Financing!A14:G14</t>
  </si>
  <si>
    <t>TS-B1-201</t>
  </si>
  <si>
    <t>Validate Step 6 — 1.2.1.3 ManageLinkedCard for Global Access Account — multicurrency IDR-base</t>
  </si>
  <si>
    <t>Validate the requirement mapped to Step 6 — 1.2.1.3 ManageLinkedCard: Step 6 — only GAA debit cards eligible</t>
  </si>
  <si>
    <t>Acct Dashboard Non-Financing!A15:G15</t>
  </si>
  <si>
    <t>TS-B1-202</t>
  </si>
  <si>
    <t>Validate Step 7 — 1.2.1.4 BlockAccount for Global Access Account — multicurrency IDR-base</t>
  </si>
  <si>
    <t>Validate the requirement mapped to Step 7 — 1.2.1.4 BlockAccount: Step 7</t>
  </si>
  <si>
    <t>Acct Dashboard Non-Financing!A16:G16</t>
  </si>
  <si>
    <t>TS-B1-203</t>
  </si>
  <si>
    <t>Validate Step 15 — 1.2.6 Global Access Account Details for Global Access Account — multicurrency IDR-base</t>
  </si>
  <si>
    <t>Validate the requirement mapped to Step 15 — 1.2.6 Global Access Account Details: Step 15 — Transactions / Manage tabs (no Summary tab); My Currencies section (IDR base, FCY buckets sorted by IDR first then latest transacted); Add New Currency; View All if &gt;5 currencies; Quick Actions: Convert Currency, Transfer (local/overseas), Currency Calculator, Exchange Rates, View Statements; Manage: Add/Edit Nickname, Set as Primary, Auto Sweep, Manage Linked Card, Block Account</t>
  </si>
  <si>
    <t>Acct Dashboard Non-Financing!A24:G24</t>
  </si>
  <si>
    <t>TS-B1-204</t>
  </si>
  <si>
    <t>Validate Step 16 — 1.2.6.1 Add Currency for Global Access Account — multicurrency IDR-base</t>
  </si>
  <si>
    <t>Validate the requirement mapped to Step 16 — 1.2.6.1 Add Currency: Step 16 — Add Currency drawer from GAA Account Details; search by currency code/name/alias (min 2 chars); top 5 traded displayed first; only unadded currencies shown; on selection: currency added at end of My Currencies list, snackbar "Currency added"</t>
  </si>
  <si>
    <t>Acct Dashboard Non-Financing!A25:G25</t>
  </si>
  <si>
    <t>TS-B1-205</t>
  </si>
  <si>
    <t>Validate Step 17 — 1.2.6.2 View Currency Details for Global Access Account — multicurrency IDR-base</t>
  </si>
  <si>
    <t>Validate the requirement mapped to Step 17 — 1.2.6.2 View Currency Details: Step 17 — Currency Details screen per currency; currency chevron to switch; Transactions / Summary tabs (IDR: no Manage tab; FCY: Transactions / Summary / Manage tabs); Balance per currency; Account Balance drawer; Quick Actions per currency</t>
  </si>
  <si>
    <t>Acct Dashboard Non-Financing!A26:G26</t>
  </si>
  <si>
    <t>TS-B1-206</t>
  </si>
  <si>
    <t>Validate Step 18 — 1.2.6.3 Remove Currency for Global Access Account — multicurrency IDR-base</t>
  </si>
  <si>
    <t>Validate the requirement mapped to Step 18 — 1.2.6.3 Remove Currency: Step 18 — applicable for non-IDR currencies only; if zero balance: remove directly (no S2U); if non-zero balance: Convert Currency flow (S2U required); if linked to Term Savings: blocked with snackbar; currency removal hides bucket (not deleted); conversion fee per RFX module</t>
  </si>
  <si>
    <t>Acct Dashboard Non-Financing!A27:G27</t>
  </si>
  <si>
    <t>TS-B1-207</t>
  </si>
  <si>
    <t>Validate ViewAllTrans — Transaction History Display Rule for Global Access Account — multicurrency IDR-base</t>
  </si>
  <si>
    <t>Validate the requirement mapped to ViewAllTrans — Transaction History Display Rule: Transactions tab: latest 10; YTD + last 2 years; all currencies shown regardless of currency; ViewAllTrans via sticky hyperlink (appears after first scroll)</t>
  </si>
  <si>
    <t>Acct Dashboard Non-Financing!A40:G40</t>
  </si>
  <si>
    <t>TS-B1-208</t>
  </si>
  <si>
    <t>Validate Joint-AND Account Restrictions for Global Access Account — multicurrency IDR-base</t>
  </si>
  <si>
    <t>Validate the requirement mapped to Joint-AND Account Restrictions: Joint-AND restrictions apply same as CASA per NGBO config</t>
  </si>
  <si>
    <t>Acct Dashboard Non-Financing!A42:G42</t>
  </si>
  <si>
    <t>TS-B1-209</t>
  </si>
  <si>
    <t>Validate Business Profile / IBO Disclaimer for Global Access Account — multicurrency IDR-base</t>
  </si>
  <si>
    <t>Acct Dashboard Non-Financing!A43:G43</t>
  </si>
  <si>
    <t>TS-B1-210</t>
  </si>
  <si>
    <t>Validate External FSD References for Global Access Account — multicurrency IDR-base</t>
  </si>
  <si>
    <t>Validate the requirement mapped to External FSD References: Add/Edit Nickname: refer to AD Common FSD; Set as Primary: refer to AD Common FSD; Auto Sweep: refer to AD Common FSD; Manage Linked Card: refer to 1.2.1.3; Block Account: refer to 1.2.1.4; View Statements: refer to Document FSD</t>
  </si>
  <si>
    <t>Acct Dashboard Non-Financing!A45:G45</t>
  </si>
  <si>
    <t>TS-B1-211</t>
  </si>
  <si>
    <t>Final status and recovery for Global Access Account — multicurrency IDR-base</t>
  </si>
  <si>
    <t>TS-B1-212</t>
  </si>
  <si>
    <t>Giro Multicurrency Account — USD-base</t>
  </si>
  <si>
    <t>Access and open Giro Multicurrency Account — USD-base</t>
  </si>
  <si>
    <t>Acct Dashboard Non-Financing!H1:H45</t>
  </si>
  <si>
    <t>TS-B1-213</t>
  </si>
  <si>
    <t>Authentication and authorisation for Giro Multicurrency Account — USD-base</t>
  </si>
  <si>
    <t>TS-B1-214</t>
  </si>
  <si>
    <t>Validate Step 1 — 1.1 Account Dashboard Landing for Giro Multicurrency Account — USD-base</t>
  </si>
  <si>
    <t>Acct Dashboard Non-Financing!A10:H10</t>
  </si>
  <si>
    <t>TS-B1-215</t>
  </si>
  <si>
    <t>Validate Step 2 — 1.2 Account Listing (Savings &amp; Current) for Giro Multicurrency Account — USD-base</t>
  </si>
  <si>
    <t>Validate the requirement mapped to Step 2 — 1.2 Account Listing (Savings &amp; Current): Step 2 — Giro MCA card visible in Savings &amp; Current listing; balance in USD</t>
  </si>
  <si>
    <t>Acct Dashboard Non-Financing!A11:H11</t>
  </si>
  <si>
    <t>TS-B1-216</t>
  </si>
  <si>
    <t>Validate Step 5 — 1.2.1.2 ViewAllTrans for Giro Multicurrency Account — USD-base</t>
  </si>
  <si>
    <t>Acct Dashboard Non-Financing!A14:H14</t>
  </si>
  <si>
    <t>TS-B1-217</t>
  </si>
  <si>
    <t>Validate Step 6 — 1.2.1.3 ManageLinkedCard for Giro Multicurrency Account — USD-base</t>
  </si>
  <si>
    <t>Validate the requirement mapped to Step 6 — 1.2.1.3 ManageLinkedCard: Step 6 — applicable per business rules</t>
  </si>
  <si>
    <t>Acct Dashboard Non-Financing!A15:H15</t>
  </si>
  <si>
    <t>TS-B1-218</t>
  </si>
  <si>
    <t>Validate Step 7 — 1.2.1.4 BlockAccount for Giro Multicurrency Account — USD-base</t>
  </si>
  <si>
    <t>Acct Dashboard Non-Financing!A16:H16</t>
  </si>
  <si>
    <t>TS-B1-219</t>
  </si>
  <si>
    <t>Validate Step 17 — 1.2.6.2 View Currency Details for Giro Multicurrency Account — USD-base</t>
  </si>
  <si>
    <t>Validate the requirement mapped to Step 17 — 1.2.6.2 View Currency Details: Step 17 — Currency Details reused per 1.2.6.2; USD base has no Manage tab; FCY buckets have Transactions / Summary only (Needs PO/BA clarification — MCA Manage tab scope)</t>
  </si>
  <si>
    <t>Acct Dashboard Non-Financing!A26:H26</t>
  </si>
  <si>
    <t>TS-B1-220</t>
  </si>
  <si>
    <t>Validate Step 19 — 1.2.7 Giro Multicurrency Account Details for Giro Multicurrency Account — USD-base</t>
  </si>
  <si>
    <t>Validate the requirement mapped to Step 19 — 1.2.7 Giro Multicurrency Account Details: Step 19 — Transactions / Manage tabs; USD base currency; My Currencies (USD first, then latest transacted, then newly added; allowed: USD, SGD, AUD, GBP, EUR, JPY, CNH); overdraft applicable; Manage: Add/Edit Nickname, Set as Primary, Manage Linked Card, Block Account; FCY deposit via branch/ATM auto-displays bucket</t>
  </si>
  <si>
    <t>Acct Dashboard Non-Financing!A28:H28</t>
  </si>
  <si>
    <t>TS-B1-221</t>
  </si>
  <si>
    <t>Validate ViewAllTrans — Transaction History Display Rule for Giro Multicurrency Account — USD-base</t>
  </si>
  <si>
    <t>Acct Dashboard Non-Financing!A40:H40</t>
  </si>
  <si>
    <t>TS-B1-222</t>
  </si>
  <si>
    <t>Validate Joint-AND Account Restrictions for Giro Multicurrency Account — USD-base</t>
  </si>
  <si>
    <t>Acct Dashboard Non-Financing!A42:H42</t>
  </si>
  <si>
    <t>TS-B1-223</t>
  </si>
  <si>
    <t>Validate Business Profile / IBO Disclaimer for Giro Multicurrency Account — USD-base</t>
  </si>
  <si>
    <t>Acct Dashboard Non-Financing!A43:H43</t>
  </si>
  <si>
    <t>TS-B1-224</t>
  </si>
  <si>
    <t>Validate External FSD References for Giro Multicurrency Account — USD-base</t>
  </si>
  <si>
    <t>Validate the requirement mapped to External FSD References: Add/Edit Nickname: refer to AD Common FSD; Set as Primary: refer to AD Common FSD; Manage Linked Card: refer to 1.2.1.3; Block Account: refer to 1.2.1.4; View Statements: refer to Document FSD</t>
  </si>
  <si>
    <t>Acct Dashboard Non-Financing!A45:H45</t>
  </si>
  <si>
    <t>TS-B1-225</t>
  </si>
  <si>
    <t>Final status and recovery for Giro Multicurrency Account — USD-base</t>
  </si>
  <si>
    <t>TS-B1-226</t>
  </si>
  <si>
    <t>Dashboard — Cards</t>
  </si>
  <si>
    <t>Debit Card (all product codes per NGBO BIN-PAN mapping)</t>
  </si>
  <si>
    <t>Access and open Debit Card (all product codes per NGBO BIN-PAN mapping)</t>
  </si>
  <si>
    <t>Validate the configured entry point, customer eligibility, and initial page for Dashboard — Cards.</t>
  </si>
  <si>
    <t>Acct Dashboard Non-Financing!I1:I45</t>
  </si>
  <si>
    <t>TS-B1-227</t>
  </si>
  <si>
    <t>Authentication and authorisation for Debit Card (all product codes per NGBO BIN-PAN mapping)</t>
  </si>
  <si>
    <t>Validate all authentication requirements stated for Dashboard — Cards.</t>
  </si>
  <si>
    <t>TS-B1-228</t>
  </si>
  <si>
    <t>Validate Step 1 — 1.1 Account Dashboard Landing for Debit Card (all product codes per NGBO BIN-PAN mapping)</t>
  </si>
  <si>
    <t>Validate the requirement mapped to Step 1 — 1.1 Account Dashboard Landing: Step 1 — Cards tab selected (Credit default; inverted if no CC)</t>
  </si>
  <si>
    <t>Acct Dashboard Non-Financing!A10:I10</t>
  </si>
  <si>
    <t>TS-B1-229</t>
  </si>
  <si>
    <t>Validate Step 20 — 1.3 Debit Card Dashboard for Debit Card (all product codes per NGBO BIN-PAN mapping)</t>
  </si>
  <si>
    <t>Validate the requirement mapped to Step 20 — 1.3 Debit Card Dashboard: Step 20 — Cards tab → Debit Card sub-tab; card listing with image, product name, masked card number, cardholder name, status label; Activate Now button for Pending Activation cards (not clickable otherwise); upsell banner; business profile disclaimer</t>
  </si>
  <si>
    <t>Acct Dashboard Non-Financing!A29:I29</t>
  </si>
  <si>
    <t>TS-B1-230</t>
  </si>
  <si>
    <t>Validate Step 21 — 1.3.1 Card Activation for Debit Card (all product codes per NGBO BIN-PAN mapping)</t>
  </si>
  <si>
    <t>Validate the requirement mapped to Step 21 — 1.3.1 Card Activation: Conditional Step 21 — only for Pending Activation cards; Activate Debit Card screen → declaration → Set Debit Card PIN (6-digit, PIN rules) → S2U → Acknowledgement (Activation Successful / Request Unsuccessful / Authorisation Failed)</t>
  </si>
  <si>
    <t>Acct Dashboard Non-Financing!A30:I30</t>
  </si>
  <si>
    <t>TS-B1-231</t>
  </si>
  <si>
    <t>Validate Step 22 — 1.3.2 Card Details for Debit Card (all product codes per NGBO BIN-PAN mapping)</t>
  </si>
  <si>
    <t>Validate the requirement mapped to Step 22 — 1.3.2 Card Details: Step 22 — card image with status overlay; card product name, number (masked last 4 unmasked), cardholder name, nickname; Add/Edit Nickname; Manage Linked Accounts; Security: Temporarily Block / Unblock, Reset Card PIN, Replace Card; Card Details Quick Action (S2U → 30s countdown drawer with cardholder name, card number, expiry, CVV/CVC — copy to clipboard)</t>
  </si>
  <si>
    <t>Acct Dashboard Non-Financing!A31:I31</t>
  </si>
  <si>
    <t>TS-B1-232</t>
  </si>
  <si>
    <t>Validate Step 23 — 1.3.2.1 Linked Accounts for Debit Card (all product codes per NGBO BIN-PAN mapping)</t>
  </si>
  <si>
    <t>Validate the requirement mapped to Step 23 — 1.3.2.1 Linked Accounts: Step 23 — view / add / remove linked accounts (max 8); set default account (IDR accounts only; S2U required for default change); Available Accounts filtered by BIN-PAN NGBO mapping; GAA card shows only GAA accounts; non-GAA card excludes GAA accounts; Confirmation → S2U → Acknowledgement (Linked Accounts Updated / Unsuccessful / Auth Failed)</t>
  </si>
  <si>
    <t>Acct Dashboard Non-Financing!A32:I32</t>
  </si>
  <si>
    <t>TS-B1-233</t>
  </si>
  <si>
    <t>Validate Step 24 — 1.3.2.2 Reset Card PIN for Debit Card (all product codes per NGBO BIN-PAN mapping)</t>
  </si>
  <si>
    <t>Validate the requirement mapped to Step 24 — 1.3.2.2 Reset Card PIN: Step 24 — New PIN + Confirm PIN (6-digit, PIN rules); S2U → Acknowledgement (Card PIN Updated / Request Unsuccessful / Auth Failed); max 3 resets per day (NGBO-configurable)</t>
  </si>
  <si>
    <t>Acct Dashboard Non-Financing!A33:I33</t>
  </si>
  <si>
    <t>TS-B1-234</t>
  </si>
  <si>
    <t>Validate Step 25 — 1.3.2.3 Block &amp; Unblock Card for Debit Card (all product codes per NGBO BIN-PAN mapping)</t>
  </si>
  <si>
    <t>Validate the requirement mapped to Step 25 — 1.3.2.3 Block &amp; Unblock Card: Step 25 — Temporarily Block: pop-up → S2U → Card Temporarily Blocked / Unsuccessful / Auth Failed; Unblock Card: direct S2U → Card Unblocked / Unsuccessful / Auth Failed; Blocked (bank-blocked) card: Temporarily Block greyed and disabled</t>
  </si>
  <si>
    <t>Acct Dashboard Non-Financing!A34:I34</t>
  </si>
  <si>
    <t>TS-B1-235</t>
  </si>
  <si>
    <t>Validate Step 26 — 1.3.2.4 Replace Card for Debit Card (all product codes per NGBO BIN-PAN mapping)</t>
  </si>
  <si>
    <t>Validate the requirement mapped to Step 26 — 1.3.2.4 Replace Card: Step 26 — Select Replacement Method (Deliver to address / Collect at branch) → Replace Card screen (disclaimer, mailing address) → Optional Change Mailing Address → Confirmation → S2U → Acknowledgement; charge rule: free if expiring within 3 months; replacement fee otherwise; Collect at branch: QR code generated (UUID v4, 24h expiry, invalidated on branch scan); card remains active until new card activated</t>
  </si>
  <si>
    <t>Acct Dashboard Non-Financing!A35:I35</t>
  </si>
  <si>
    <t>TS-B1-236</t>
  </si>
  <si>
    <t>Validate ViewAllTrans — Transaction History Display Rule for Debit Card (all product codes per NGBO BIN-PAN mapping)</t>
  </si>
  <si>
    <t>Validate the requirement mapped to ViewAllTrans — Transaction History Display Rule: Not applicable</t>
  </si>
  <si>
    <t>Acct Dashboard Non-Financing!A40:I40</t>
  </si>
  <si>
    <t>TS-B1-237</t>
  </si>
  <si>
    <t>Validate Sorting / Display Order for Debit Card (all product codes per NGBO BIN-PAN mapping)</t>
  </si>
  <si>
    <t>Validate the requirement mapped to Sorting / Display Order: Debit cards sorted per Common worksheet (refer to Common FSD)</t>
  </si>
  <si>
    <t>Acct Dashboard Non-Financing!A41:I41</t>
  </si>
  <si>
    <t>TS-B1-238</t>
  </si>
  <si>
    <t>Validate Joint-AND Account Restrictions for Debit Card (all product codes per NGBO BIN-PAN mapping)</t>
  </si>
  <si>
    <t>Validate the requirement mapped to Joint-AND Account Restrictions: Not applicable at card level</t>
  </si>
  <si>
    <t>Acct Dashboard Non-Financing!A42:I42</t>
  </si>
  <si>
    <t>TS-B1-239</t>
  </si>
  <si>
    <t>Validate Business Profile / IBO Disclaimer for Debit Card (all product codes per NGBO BIN-PAN mapping)</t>
  </si>
  <si>
    <t>Validate the requirement mapped to Business Profile / IBO Disclaimer: Disclaimer box displayed if business profile set up; upon IBO: only personal cards displayed</t>
  </si>
  <si>
    <t>Acct Dashboard Non-Financing!A43:I43</t>
  </si>
  <si>
    <t>TS-B1-240</t>
  </si>
  <si>
    <t>Validate Notification Triggers for Debit Card (all product codes per NGBO BIN-PAN mapping)</t>
  </si>
  <si>
    <t>Validate the requirement mapped to Notification Triggers: Card Activation: SMS + Email + PN (success only, no failure notification); Reset Card PIN: success → SMS + Email + PN; failure → Email + PN; Block/Unblock Card: success → SMS + Email + PN; failure → Email only; Replace Card: SMS + Email + PN; Linked Accounts: Email + PN</t>
  </si>
  <si>
    <t>Acct Dashboard Non-Financing!A44:I44</t>
  </si>
  <si>
    <t>TS-B1-241</t>
  </si>
  <si>
    <t>Validate External FSD References for Debit Card (all product codes per NGBO BIN-PAN mapping)</t>
  </si>
  <si>
    <t>Validate the requirement mapped to External FSD References: Card Activation declaration: refer to NGBO; Apply Debit Card: refer to Apply STP Non Financing FSD; Card Replacement — QR branch collection: refer to Apply NF FSD; S2U: refer to A&amp;A FSD; Authorisation Failed: refer to Common FSD; Masking: refer to Common FSD; CTA Share &amp; Done: refer to Common FSD; Edit Function: refer to Common FSD</t>
  </si>
  <si>
    <t>Acct Dashboard Non-Financing!A45:I45</t>
  </si>
  <si>
    <t>TS-B1-242</t>
  </si>
  <si>
    <t>Final status and recovery for Debit Card (all product codes per NGBO BIN-PAN mapping)</t>
  </si>
  <si>
    <t>Validate successful completion, failure handling, and final-state integrity for Dashboard — Cards.</t>
  </si>
  <si>
    <t>TS-B1-243</t>
  </si>
  <si>
    <t>Dashboard — Insurance</t>
  </si>
  <si>
    <t>Health insurance; Life with Unit Link; Life Traditional (Takaful inclusive)</t>
  </si>
  <si>
    <t>Access and open Health insurance; Life with Unit Link; Life Traditional (Takaful inclusive)</t>
  </si>
  <si>
    <t>Validate the configured entry point, customer eligibility, and initial page for Dashboard — Insurance.</t>
  </si>
  <si>
    <t>Acct Dashboard Non-Financing!J1:J45</t>
  </si>
  <si>
    <t>TS-B1-244</t>
  </si>
  <si>
    <t>Authentication and authorisation for Health insurance; Life with Unit Link; Life Traditional (Takaful inclusive)</t>
  </si>
  <si>
    <t>Validate all authentication requirements stated for Dashboard — Insurance.</t>
  </si>
  <si>
    <t>TS-B1-245</t>
  </si>
  <si>
    <t>Validate Step 1 — 1.1 Account Dashboard Landing for Health insurance; Life with Unit Link; Life Traditional (Takaful inclusive)</t>
  </si>
  <si>
    <t>Validate the requirement mapped to Step 1 — 1.1 Account Dashboard Landing: Step 1 — Insurance/Takaful tab selected</t>
  </si>
  <si>
    <t>Acct Dashboard Non-Financing!A10:J10</t>
  </si>
  <si>
    <t>TS-B1-246</t>
  </si>
  <si>
    <t>Validate Step 27 — 1.4 Insurance Dashboard for Health insurance; Life with Unit Link; Life Traditional (Takaful inclusive)</t>
  </si>
  <si>
    <t>Validate the requirement mapped to Step 27 — 1.4 Insurance Dashboard: Step 27 — Insurance/Takaful tab; policy cards (product name, nickname defaulting to policyholder name, policy number, status label, type label Traditional/Unit Link); Total Investment-linked Value displayed only if Unit Link products present (with/without '≈' per IDR/FCY); Eye Icon to mask/unmask investment values; upsell banner</t>
  </si>
  <si>
    <t>Acct Dashboard Non-Financing!A36:J36</t>
  </si>
  <si>
    <t>TS-B1-247</t>
  </si>
  <si>
    <t>Validate Step 28 — 1.4.1 Health for Health insurance; Life with Unit Link; Life Traditional (Takaful inclusive)</t>
  </si>
  <si>
    <t>Validate the requirement mapped to Step 28 — 1.4.1 Health: Conditional Step 28 — for Health policies; Summary / Manage tabs; policy identification, coverage period, premium details (sum assured, basic premium, payment frequency), next payment date, claim procedure (PDF viewer / in-app webview), product and service information summary; Policy Status Guide drawer; Edit Nickname (Manage tab)</t>
  </si>
  <si>
    <t>Acct Dashboard Non-Financing!A37:J37</t>
  </si>
  <si>
    <t>TS-B1-248</t>
  </si>
  <si>
    <t>Validate Step 29 — 1.4.2 Life with UnitLink for Health insurance; Life with Unit Link; Life Traditional (Takaful inclusive)</t>
  </si>
  <si>
    <t>Validate the requirement mapped to Step 29 — 1.4.2 Life with UnitLink: Conditional Step 29 — for Life Unit Link policies; Summary / Manage tabs; Fund Holdings section (Show all n &gt;; fund name, units, NAV as of today, investment value per fund; max 2 shown on main screen); policy identification, coverage period, premium details, total premium paid, next/last payment dates, claim procedure, product info summary; Edit Nickname (Manage tab)</t>
  </si>
  <si>
    <t>Acct Dashboard Non-Financing!A38:J38</t>
  </si>
  <si>
    <t>TS-B1-249</t>
  </si>
  <si>
    <t>Validate Step 30 — 1.4.3 Life Traditional for Health insurance; Life with Unit Link; Life Traditional (Takaful inclusive)</t>
  </si>
  <si>
    <t>Validate the requirement mapped to Step 30 — 1.4.3 Life Traditional: Conditional Step 30 — for Life Traditional policies; Summary / Manage tabs; policy identification, coverage period, premium details, total premium paid, next/last payment dates, claim procedure, product info summary; Edit Nickname (Manage tab); no fund holdings section</t>
  </si>
  <si>
    <t>Acct Dashboard Non-Financing!A39:J39</t>
  </si>
  <si>
    <t>TS-B1-250</t>
  </si>
  <si>
    <t>Validate ViewAllTrans — Transaction History Display Rule for Health insurance; Life with Unit Link; Life Traditional (Takaful inclusive)</t>
  </si>
  <si>
    <t>Acct Dashboard Non-Financing!A40:J40</t>
  </si>
  <si>
    <t>TS-B1-251</t>
  </si>
  <si>
    <t>Validate Sorting / Display Order for Health insurance; Life with Unit Link; Life Traditional (Takaful inclusive)</t>
  </si>
  <si>
    <t>Validate the requirement mapped to Sorting / Display Order: Policies sorted per Insurance Dashboard rules — Needs PO/BA clarification (no explicit sort rule stated in this FSD)</t>
  </si>
  <si>
    <t>Acct Dashboard Non-Financing!A41:J41</t>
  </si>
  <si>
    <t>TS-B1-252</t>
  </si>
  <si>
    <t>Validate Joint-AND Account Restrictions for Health insurance; Life with Unit Link; Life Traditional (Takaful inclusive)</t>
  </si>
  <si>
    <t>Validate the requirement mapped to Joint-AND Account Restrictions: Not applicable</t>
  </si>
  <si>
    <t>Acct Dashboard Non-Financing!A42:J42</t>
  </si>
  <si>
    <t>TS-B1-253</t>
  </si>
  <si>
    <t>Validate Business Profile / IBO Disclaimer for Health insurance; Life with Unit Link; Life Traditional (Takaful inclusive)</t>
  </si>
  <si>
    <t>Acct Dashboard Non-Financing!A43:J43</t>
  </si>
  <si>
    <t>TS-B1-254</t>
  </si>
  <si>
    <t>Validate External FSD References for Health insurance; Life with Unit Link; Life Traditional (Takaful inclusive)</t>
  </si>
  <si>
    <t>Validate the requirement mapped to External FSD References: Claim Procedure / Product Info Summary: managed via CMS (PDF or webview); refer to respective insurance sub-FSD for transactional actions; Policy Status mapping: refer to Common worksheet</t>
  </si>
  <si>
    <t>Acct Dashboard Non-Financing!A45:J45</t>
  </si>
  <si>
    <t>TS-B1-255</t>
  </si>
  <si>
    <t>Final status and recovery for Health insurance; Life with Unit Link; Life Traditional (Takaful inclusive)</t>
  </si>
  <si>
    <t>Validate successful completion, failure handling, and final-state integrity for Dashboard — Insurance.</t>
  </si>
  <si>
    <t>Test Case ID</t>
  </si>
  <si>
    <t>Test Case Title</t>
  </si>
  <si>
    <t>Preconditions</t>
  </si>
  <si>
    <t>Test Data / Variants</t>
  </si>
  <si>
    <t>Test Steps</t>
  </si>
  <si>
    <t>Expected Result</t>
  </si>
  <si>
    <t>Authentication Requirement</t>
  </si>
  <si>
    <t>Possible Final Status</t>
  </si>
  <si>
    <t>Execution Status</t>
  </si>
  <si>
    <t>Actual Result</t>
  </si>
  <si>
    <t>Defect ID</t>
  </si>
  <si>
    <t>Notes</t>
  </si>
  <si>
    <t>TC-B1-0001</t>
  </si>
  <si>
    <t>Open Personal Loan (Conventional) from valid entry point</t>
  </si>
  <si>
    <t>Positive</t>
  </si>
  <si>
    <t>Eligible user: Loan account holder</t>
  </si>
  <si>
    <t>1. Sign in at the required access level.
2. Navigate using: Loan Dashboard - Landing.
3. Select Personal Loan (Conventional).</t>
  </si>
  <si>
    <t>The correct Dashboard - Loan page opens and relevant product information is displayed without error.</t>
  </si>
  <si>
    <t>Not specified in FSD</t>
  </si>
  <si>
    <t>Active / Overdue / Closed</t>
  </si>
  <si>
    <t>Not Run</t>
  </si>
  <si>
    <t>TC-B1-0002</t>
  </si>
  <si>
    <t>Validate ineligible or unavailable state for Personal Loan (Conventional)</t>
  </si>
  <si>
    <t>User or product does not meet one configured eligibility condition. Eligible baseline: Loan account holder</t>
  </si>
  <si>
    <t>1. Prepare an ineligible, unsupported, blocked, or unavailable test profile.
2. Navigate using: Loan Dashboard - Landing.
3. Attempt to open Personal Loan (Conventional).</t>
  </si>
  <si>
    <t>Access is prevented or the feature is hidden/disabled. A clear message is shown and no unauthorised data or action is exposed.</t>
  </si>
  <si>
    <t>TC-B1-0003</t>
  </si>
  <si>
    <t>Complete required authentication for Personal Loan (Conventional)</t>
  </si>
  <si>
    <t>Eligible user; authentication method is active. Requirement: Not specified in FSD</t>
  </si>
  <si>
    <t>1. Start the protected action.
2. Complete the configured authentication with valid credentials.
3. Continue the journey.</t>
  </si>
  <si>
    <t>Authentication succeeds, the protected action continues once, and the user returns to the correct journey context.</t>
  </si>
  <si>
    <t>TC-B1-0004</t>
  </si>
  <si>
    <t>Reject invalid, cancelled, or expired authentication for Personal Loan (Conventional)</t>
  </si>
  <si>
    <t>Negative / Security</t>
  </si>
  <si>
    <t>Eligible user; protected action requires authentication. Requirement: Not specified in FSD</t>
  </si>
  <si>
    <t>1. Start the protected action.
2. Enter invalid credentials, cancel, or allow the challenge to expire.
3. Observe the result.</t>
  </si>
  <si>
    <t>The action is not performed. The configured failure/lockout message is shown, sensitive data remains protected, and retry behavior follows the requirement.</t>
  </si>
  <si>
    <t>TC-B1-0005</t>
  </si>
  <si>
    <t>Eligible user and product are available. User has reached the preceding journey step.</t>
  </si>
  <si>
    <t>1. Open Personal Loan (Conventional).
2. Navigate to Common Rules Reference.
3. Perform the action or trigger described by: Refer to Account Dashboard Common FSD.
4. Observe the page, validation, navigation, and resulting state.</t>
  </si>
  <si>
    <t>Common Rules Reference behaves according to the mapped requirement (Refer to Account Dashboard Common FSD); data, controls, navigation, and status are accurate and consistent.</t>
  </si>
  <si>
    <t>TC-B1-0006</t>
  </si>
  <si>
    <t>1. Open Personal Loan (Conventional).
2. Navigate to 1.1 Loan Dashboard - Landing.
3. Perform the action or trigger described by: Step 1.
4. Observe the page, validation, navigation, and resulting state.</t>
  </si>
  <si>
    <t>1.1 Loan Dashboard - Landing behaves according to the mapped requirement (Step 1); data, controls, navigation, and status are accurate and consistent.</t>
  </si>
  <si>
    <t>TC-B1-0007</t>
  </si>
  <si>
    <t>1. Open Personal Loan (Conventional).
2. Navigate to 1.2 Personal Loan Acc.
3. Perform the action or trigger described by: Step 2.
4. Observe the page, validation, navigation, and resulting state.</t>
  </si>
  <si>
    <t>1.2 Personal Loan Acc behaves according to the mapped requirement (Step 2); data, controls, navigation, and status are accurate and consistent.</t>
  </si>
  <si>
    <t>TC-B1-0008</t>
  </si>
  <si>
    <t>Eligible user and product are available. Trigger the stated condition: Conditional Step 3 - when View all transactions is selected</t>
  </si>
  <si>
    <t>1. Open Personal Loan (Conventional).
2. Navigate to 1.2.1 View All Trans.
3. Perform the action or trigger described by: Conditional Step 3 - when View all transactions is selected.
4. Observe the page, validation, navigation, and resulting state.</t>
  </si>
  <si>
    <t>1.2.1 View All Trans behaves according to the mapped requirement (Conditional Step 3 - when View all transactions is selected); data, controls, navigation, and status are accurate and consistent.</t>
  </si>
  <si>
    <t>Conditional coverage required.</t>
  </si>
  <si>
    <t>TC-B1-0009</t>
  </si>
  <si>
    <t>1. Open Personal Loan (Conventional).
2. Navigate to 1.2.2 PL Conventional Summary.
3. Perform the action or trigger described by: Step 4.
4. Observe the page, validation, navigation, and resulting state.</t>
  </si>
  <si>
    <t>1.2.2 PL Conventional Summary behaves according to the mapped requirement (Step 4); data, controls, navigation, and status are accurate and consistent.</t>
  </si>
  <si>
    <t>TC-B1-0010</t>
  </si>
  <si>
    <t>1. Open Personal Loan (Conventional).
2. Navigate to 1.2.3 PL Conventional Manage.
3. Perform the action or trigger described by: Step 5.
4. Observe the page, validation, navigation, and resulting state.</t>
  </si>
  <si>
    <t>1.2.3 PL Conventional Manage behaves according to the mapped requirement (Step 5); data, controls, navigation, and status are accurate and consistent.</t>
  </si>
  <si>
    <t>TC-B1-0011</t>
  </si>
  <si>
    <t>Validate successful final state for Personal Loan (Conventional)</t>
  </si>
  <si>
    <t>All required inputs and services are valid. Expected statuses: Active / Overdue / Closed</t>
  </si>
  <si>
    <t>1. Complete the end-to-end journey with valid data.
2. Submit/confirm the final action.
3. Verify result, receipt/notification where applicable, and persisted state.</t>
  </si>
  <si>
    <t>A valid success status from the requirement is shown. The transaction or change is applied once, persisted, and reflected on refresh.</t>
  </si>
  <si>
    <t>TC-B1-0012</t>
  </si>
  <si>
    <t>Validate service failure and retry for Personal Loan (Conventional)</t>
  </si>
  <si>
    <t>Journey is available; simulate a controlled downstream timeout or unsuccessful response. Expected statuses: Active / Overdue / Closed</t>
  </si>
  <si>
    <t>1. Progress to the final action.
2. Trigger a timeout, unavailable service, or unsuccessful response.
3. Verify the error message and retry behavior.
4. Retry after service recovery.</t>
  </si>
  <si>
    <t>No duplicate action occurs. The configured unsuccessful/processing state is shown, retry is safe, and final status becomes consistent after recovery.</t>
  </si>
  <si>
    <t>TC-B1-0013</t>
  </si>
  <si>
    <t>Open Personal Loan (Shariah) from valid entry point</t>
  </si>
  <si>
    <t>1. Sign in at the required access level.
2. Navigate using: Loan Dashboard - Landing.
3. Select Personal Loan (Shariah).</t>
  </si>
  <si>
    <t>TC-B1-0014</t>
  </si>
  <si>
    <t>Validate ineligible or unavailable state for Personal Loan (Shariah)</t>
  </si>
  <si>
    <t>1. Prepare an ineligible, unsupported, blocked, or unavailable test profile.
2. Navigate using: Loan Dashboard - Landing.
3. Attempt to open Personal Loan (Shariah).</t>
  </si>
  <si>
    <t>TC-B1-0015</t>
  </si>
  <si>
    <t>Complete required authentication for Personal Loan (Shariah)</t>
  </si>
  <si>
    <t>TC-B1-0016</t>
  </si>
  <si>
    <t>Reject invalid, cancelled, or expired authentication for Personal Loan (Shariah)</t>
  </si>
  <si>
    <t>TC-B1-0017</t>
  </si>
  <si>
    <t>1. Open Personal Loan (Shariah).
2. Navigate to Common Rules Reference.
3. Perform the action or trigger described by: Refer to Account Dashboard Common FSD.
4. Observe the page, validation, navigation, and resulting state.</t>
  </si>
  <si>
    <t>TC-B1-0018</t>
  </si>
  <si>
    <t>1. Open Personal Loan (Shariah).
2. Navigate to 1.1 Loan Dashboard - Landing.
3. Perform the action or trigger described by: Step 1.
4. Observe the page, validation, navigation, and resulting state.</t>
  </si>
  <si>
    <t>TC-B1-0019</t>
  </si>
  <si>
    <t>1. Open Personal Loan (Shariah).
2. Navigate to 1.2.1 View All Trans.
3. Perform the action or trigger described by: Conditional Step 3 - when View all transactions is selected.
4. Observe the page, validation, navigation, and resulting state.</t>
  </si>
  <si>
    <t>TC-B1-0020</t>
  </si>
  <si>
    <t>1. Open Personal Loan (Shariah).
2. Navigate to 1.2.4 PL Shariah Acc.
3. Perform the action or trigger described by: Step 6.
4. Observe the page, validation, navigation, and resulting state.</t>
  </si>
  <si>
    <t>1.2.4 PL Shariah Acc behaves according to the mapped requirement (Step 6); data, controls, navigation, and status are accurate and consistent.</t>
  </si>
  <si>
    <t>TC-B1-0021</t>
  </si>
  <si>
    <t>1. Open Personal Loan (Shariah).
2. Navigate to 1.2.5 PL Shariah Summary.
3. Perform the action or trigger described by: Step 7.
4. Observe the page, validation, navigation, and resulting state.</t>
  </si>
  <si>
    <t>1.2.5 PL Shariah Summary behaves according to the mapped requirement (Step 7); data, controls, navigation, and status are accurate and consistent.</t>
  </si>
  <si>
    <t>TC-B1-0022</t>
  </si>
  <si>
    <t>1. Open Personal Loan (Shariah).
2. Navigate to 1.2.6 PL Shariah Manage.
3. Perform the action or trigger described by: Step 8.
4. Observe the page, validation, navigation, and resulting state.</t>
  </si>
  <si>
    <t>1.2.6 PL Shariah Manage behaves according to the mapped requirement (Step 8); data, controls, navigation, and status are accurate and consistent.</t>
  </si>
  <si>
    <t>TC-B1-0023</t>
  </si>
  <si>
    <t>Validate successful final state for Personal Loan (Shariah)</t>
  </si>
  <si>
    <t>TC-B1-0024</t>
  </si>
  <si>
    <t>Validate service failure and retry for Personal Loan (Shariah)</t>
  </si>
  <si>
    <t>TC-B1-0025</t>
  </si>
  <si>
    <t>Open Auto Loan (Conventional) from valid entry point</t>
  </si>
  <si>
    <t>1. Sign in at the required access level.
2. Navigate using: Loan Dashboard - Landing.
3. Select Auto Loan (Conventional).</t>
  </si>
  <si>
    <t>TC-B1-0026</t>
  </si>
  <si>
    <t>Validate ineligible or unavailable state for Auto Loan (Conventional)</t>
  </si>
  <si>
    <t>1. Prepare an ineligible, unsupported, blocked, or unavailable test profile.
2. Navigate using: Loan Dashboard - Landing.
3. Attempt to open Auto Loan (Conventional).</t>
  </si>
  <si>
    <t>TC-B1-0027</t>
  </si>
  <si>
    <t>Complete required authentication for Auto Loan (Conventional)</t>
  </si>
  <si>
    <t>TC-B1-0028</t>
  </si>
  <si>
    <t>Reject invalid, cancelled, or expired authentication for Auto Loan (Conventional)</t>
  </si>
  <si>
    <t>TC-B1-0029</t>
  </si>
  <si>
    <t>1. Open Auto Loan (Conventional).
2. Navigate to Common Rules Reference.
3. Perform the action or trigger described by: Refer to Account Dashboard Common FSD.
4. Observe the page, validation, navigation, and resulting state.</t>
  </si>
  <si>
    <t>TC-B1-0030</t>
  </si>
  <si>
    <t>1. Open Auto Loan (Conventional).
2. Navigate to 1.1 Loan Dashboard - Landing.
3. Perform the action or trigger described by: Step 1.
4. Observe the page, validation, navigation, and resulting state.</t>
  </si>
  <si>
    <t>TC-B1-0031</t>
  </si>
  <si>
    <t>1. Open Auto Loan (Conventional).
2. Navigate to 1.2.1 View All Trans.
3. Perform the action or trigger described by: Conditional Step 3 - when View all transactions is selected.
4. Observe the page, validation, navigation, and resulting state.</t>
  </si>
  <si>
    <t>TC-B1-0032</t>
  </si>
  <si>
    <t>1. Open Auto Loan (Conventional).
2. Navigate to 1.3 Auto Loan Acc.
3. Perform the action or trigger described by: Step 9.
4. Observe the page, validation, navigation, and resulting state.</t>
  </si>
  <si>
    <t>1.3 Auto Loan Acc behaves according to the mapped requirement (Step 9); data, controls, navigation, and status are accurate and consistent.</t>
  </si>
  <si>
    <t>TC-B1-0033</t>
  </si>
  <si>
    <t>Validate successful final state for Auto Loan (Conventional)</t>
  </si>
  <si>
    <t>TC-B1-0034</t>
  </si>
  <si>
    <t>Validate service failure and retry for Auto Loan (Conventional)</t>
  </si>
  <si>
    <t>TC-B1-0035</t>
  </si>
  <si>
    <t>Open Auto Loan (Shariah) from valid entry point</t>
  </si>
  <si>
    <t>1. Sign in at the required access level.
2. Navigate using: Loan Dashboard - Landing.
3. Select Auto Loan (Shariah).</t>
  </si>
  <si>
    <t>TC-B1-0036</t>
  </si>
  <si>
    <t>Validate ineligible or unavailable state for Auto Loan (Shariah)</t>
  </si>
  <si>
    <t>1. Prepare an ineligible, unsupported, blocked, or unavailable test profile.
2. Navigate using: Loan Dashboard - Landing.
3. Attempt to open Auto Loan (Shariah).</t>
  </si>
  <si>
    <t>TC-B1-0037</t>
  </si>
  <si>
    <t>Complete required authentication for Auto Loan (Shariah)</t>
  </si>
  <si>
    <t>TC-B1-0038</t>
  </si>
  <si>
    <t>Reject invalid, cancelled, or expired authentication for Auto Loan (Shariah)</t>
  </si>
  <si>
    <t>TC-B1-0039</t>
  </si>
  <si>
    <t>1. Open Auto Loan (Shariah).
2. Navigate to Common Rules Reference.
3. Perform the action or trigger described by: Refer to Account Dashboard Common FSD.
4. Observe the page, validation, navigation, and resulting state.</t>
  </si>
  <si>
    <t>TC-B1-0040</t>
  </si>
  <si>
    <t>1. Open Auto Loan (Shariah).
2. Navigate to 1.1 Loan Dashboard - Landing.
3. Perform the action or trigger described by: Step 1.
4. Observe the page, validation, navigation, and resulting state.</t>
  </si>
  <si>
    <t>TC-B1-0041</t>
  </si>
  <si>
    <t>1. Open Auto Loan (Shariah).
2. Navigate to 1.2.1 View All Trans.
3. Perform the action or trigger described by: Conditional Step 3 - when View all transactions is selected.
4. Observe the page, validation, navigation, and resulting state.</t>
  </si>
  <si>
    <t>TC-B1-0042</t>
  </si>
  <si>
    <t>1. Open Auto Loan (Shariah).
2. Navigate to 1.3.1 Auto Loan Shariah.
3. Perform the action or trigger described by: Step 10.
4. Observe the page, validation, navigation, and resulting state.</t>
  </si>
  <si>
    <t>1.3.1 Auto Loan Shariah behaves according to the mapped requirement (Step 10); data, controls, navigation, and status are accurate and consistent.</t>
  </si>
  <si>
    <t>TC-B1-0043</t>
  </si>
  <si>
    <t>Validate successful final state for Auto Loan (Shariah)</t>
  </si>
  <si>
    <t>TC-B1-0044</t>
  </si>
  <si>
    <t>Validate service failure and retry for Auto Loan (Shariah)</t>
  </si>
  <si>
    <t>TC-B1-0045</t>
  </si>
  <si>
    <t>Open Mortgage Loan (Conventional) from valid entry point</t>
  </si>
  <si>
    <t>1. Sign in at the required access level.
2. Navigate using: Loan Dashboard - Landing.
3. Select Mortgage Loan (Conventional).</t>
  </si>
  <si>
    <t>TC-B1-0046</t>
  </si>
  <si>
    <t>Validate ineligible or unavailable state for Mortgage Loan (Conventional)</t>
  </si>
  <si>
    <t>1. Prepare an ineligible, unsupported, blocked, or unavailable test profile.
2. Navigate using: Loan Dashboard - Landing.
3. Attempt to open Mortgage Loan (Conventional).</t>
  </si>
  <si>
    <t>TC-B1-0047</t>
  </si>
  <si>
    <t>Complete required authentication for Mortgage Loan (Conventional)</t>
  </si>
  <si>
    <t>TC-B1-0048</t>
  </si>
  <si>
    <t>Reject invalid, cancelled, or expired authentication for Mortgage Loan (Conventional)</t>
  </si>
  <si>
    <t>TC-B1-0049</t>
  </si>
  <si>
    <t>1. Open Mortgage Loan (Conventional).
2. Navigate to Common Rules Reference.
3. Perform the action or trigger described by: Refer to Account Dashboard Common FSD.
4. Observe the page, validation, navigation, and resulting state.</t>
  </si>
  <si>
    <t>TC-B1-0050</t>
  </si>
  <si>
    <t>1. Open Mortgage Loan (Conventional).
2. Navigate to 1.1 Loan Dashboard - Landing.
3. Perform the action or trigger described by: Step 1.
4. Observe the page, validation, navigation, and resulting state.</t>
  </si>
  <si>
    <t>TC-B1-0051</t>
  </si>
  <si>
    <t>1. Open Mortgage Loan (Conventional).
2. Navigate to 1.2.1 View All Trans.
3. Perform the action or trigger described by: Conditional Step 3 - when View all transactions is selected.
4. Observe the page, validation, navigation, and resulting state.</t>
  </si>
  <si>
    <t>TC-B1-0052</t>
  </si>
  <si>
    <t>1. Open Mortgage Loan (Conventional).
2. Navigate to 1.4 Mortgage Loan Acc.
3. Perform the action or trigger described by: Step 11.
4. Observe the page, validation, navigation, and resulting state.</t>
  </si>
  <si>
    <t>1.4 Mortgage Loan Acc behaves according to the mapped requirement (Step 11); data, controls, navigation, and status are accurate and consistent.</t>
  </si>
  <si>
    <t>TC-B1-0053</t>
  </si>
  <si>
    <t>Validate successful final state for Mortgage Loan (Conventional)</t>
  </si>
  <si>
    <t>TC-B1-0054</t>
  </si>
  <si>
    <t>Validate service failure and retry for Mortgage Loan (Conventional)</t>
  </si>
  <si>
    <t>TC-B1-0055</t>
  </si>
  <si>
    <t>Open Mortgage Loan (Shariah) from valid entry point</t>
  </si>
  <si>
    <t>1. Sign in at the required access level.
2. Navigate using: Loan Dashboard - Landing.
3. Select Mortgage Loan (Shariah).</t>
  </si>
  <si>
    <t>TC-B1-0056</t>
  </si>
  <si>
    <t>Validate ineligible or unavailable state for Mortgage Loan (Shariah)</t>
  </si>
  <si>
    <t>1. Prepare an ineligible, unsupported, blocked, or unavailable test profile.
2. Navigate using: Loan Dashboard - Landing.
3. Attempt to open Mortgage Loan (Shariah).</t>
  </si>
  <si>
    <t>TC-B1-0057</t>
  </si>
  <si>
    <t>Complete required authentication for Mortgage Loan (Shariah)</t>
  </si>
  <si>
    <t>TC-B1-0058</t>
  </si>
  <si>
    <t>Reject invalid, cancelled, or expired authentication for Mortgage Loan (Shariah)</t>
  </si>
  <si>
    <t>TC-B1-0059</t>
  </si>
  <si>
    <t>1. Open Mortgage Loan (Shariah).
2. Navigate to Common Rules Reference.
3. Perform the action or trigger described by: Refer to Account Dashboard Common FSD.
4. Observe the page, validation, navigation, and resulting state.</t>
  </si>
  <si>
    <t>TC-B1-0060</t>
  </si>
  <si>
    <t>1. Open Mortgage Loan (Shariah).
2. Navigate to 1.1 Loan Dashboard - Landing.
3. Perform the action or trigger described by: Step 1.
4. Observe the page, validation, navigation, and resulting state.</t>
  </si>
  <si>
    <t>TC-B1-0061</t>
  </si>
  <si>
    <t>1. Open Mortgage Loan (Shariah).
2. Navigate to 1.2.1 View All Trans.
3. Perform the action or trigger described by: Conditional Step 3 - when View all transactions is selected.
4. Observe the page, validation, navigation, and resulting state.</t>
  </si>
  <si>
    <t>TC-B1-0062</t>
  </si>
  <si>
    <t>1. Open Mortgage Loan (Shariah).
2. Navigate to 1.4.1 Mortgage Loan Shariah.
3. Perform the action or trigger described by: Step 12.
4. Observe the page, validation, navigation, and resulting state.</t>
  </si>
  <si>
    <t>1.4.1 Mortgage Loan Shariah behaves according to the mapped requirement (Step 12); data, controls, navigation, and status are accurate and consistent.</t>
  </si>
  <si>
    <t>TC-B1-0063</t>
  </si>
  <si>
    <t>Validate successful final state for Mortgage Loan (Shariah)</t>
  </si>
  <si>
    <t>TC-B1-0064</t>
  </si>
  <si>
    <t>Validate service failure and retry for Mortgage Loan (Shariah)</t>
  </si>
  <si>
    <t>TC-B1-0065</t>
  </si>
  <si>
    <t>Open Credit Card (Visa/Mastercard) from valid entry point</t>
  </si>
  <si>
    <t>Eligible user: Principal cardholder and supplementary context</t>
  </si>
  <si>
    <t>1. Sign in at the required access level.
2. Navigate using: CC Dashboard - Landing.
3. Select Credit Card (Visa/Mastercard).</t>
  </si>
  <si>
    <t>The correct Dashboard - Credit Card / Card Management page opens and relevant product information is displayed without error.</t>
  </si>
  <si>
    <t>A&amp;A - refer to Authentication &amp; Authorisation FSD</t>
  </si>
  <si>
    <t>Request submitted / Request unsuccessful / Authorisation failed / Processing / Completed (per feature)</t>
  </si>
  <si>
    <t>TC-B1-0066</t>
  </si>
  <si>
    <t>Validate ineligible or unavailable state for Credit Card (Visa/Mastercard)</t>
  </si>
  <si>
    <t>User or product does not meet one configured eligibility condition. Eligible baseline: Principal cardholder and supplementary context</t>
  </si>
  <si>
    <t>1. Prepare an ineligible, unsupported, blocked, or unavailable test profile.
2. Navigate using: CC Dashboard - Landing.
3. Attempt to open Credit Card (Visa/Mastercard).</t>
  </si>
  <si>
    <t>TC-B1-0067</t>
  </si>
  <si>
    <t>Complete required authentication for Credit Card (Visa/Mastercard)</t>
  </si>
  <si>
    <t>Eligible user; authentication method is active. Requirement: A&amp;A - refer to Authentication &amp; Authorisation FSD</t>
  </si>
  <si>
    <t>TC-B1-0068</t>
  </si>
  <si>
    <t>Reject invalid, cancelled, or expired authentication for Credit Card (Visa/Mastercard)</t>
  </si>
  <si>
    <t>Eligible user; protected action requires authentication. Requirement: A&amp;A - refer to Authentication &amp; Authorisation FSD</t>
  </si>
  <si>
    <t>TC-B1-0069</t>
  </si>
  <si>
    <t>1. Open Credit Card (Visa/Mastercard).
2. Navigate to Common Rules Reference.
3. Perform the action or trigger described by: Refer to Account Dashboard Common FSD.
4. Observe the page, validation, navigation, and resulting state.</t>
  </si>
  <si>
    <t>TC-B1-0070</t>
  </si>
  <si>
    <t>1. Open Credit Card (Visa/Mastercard).
2. Navigate to 2.1 CC Dashboard - Landing.
3. Perform the action or trigger described by: Step 13.
4. Observe the page, validation, navigation, and resulting state.</t>
  </si>
  <si>
    <t>2.1 CC Dashboard - Landing behaves according to the mapped requirement (Step 13); data, controls, navigation, and status are accurate and consistent.</t>
  </si>
  <si>
    <t>TC-B1-0071</t>
  </si>
  <si>
    <t>Eligible user and product are available. Trigger the stated condition: Optional Step 14 - when Card Details quick action is tapped</t>
  </si>
  <si>
    <t>1. Open Credit Card (Visa/Mastercard).
2. Navigate to 2.1.2 Card Details.
3. Perform the action or trigger described by: Optional Step 14 - when Card Details quick action is tapped.
4. Observe the page, validation, navigation, and resulting state.</t>
  </si>
  <si>
    <t>2.1.2 Card Details behaves according to the mapped requirement (Optional Step 14 - when Card Details quick action is tapped); data, controls, navigation, and status are accurate and consistent.</t>
  </si>
  <si>
    <t>TC-B1-0072</t>
  </si>
  <si>
    <t>Eligible user and product are available. Trigger the stated condition: Conditional Step 15 - pending activation and card type Visa/Mastercard</t>
  </si>
  <si>
    <t>1. Open Credit Card (Visa/Mastercard).
2. Navigate to 2.1.3 CC Activation.
3. Perform the action or trigger described by: Conditional Step 15 - pending activation and card type Visa/Mastercard.
4. Observe the page, validation, navigation, and resulting state.</t>
  </si>
  <si>
    <t>2.1.3 CC Activation behaves according to the mapped requirement (Conditional Step 15 - pending activation and card type Visa/Mastercard); data, controls, navigation, and status are accurate and consistent.</t>
  </si>
  <si>
    <t>TC-B1-0073</t>
  </si>
  <si>
    <t>1. Open Credit Card (Visa/Mastercard).
2. Navigate to 2.2 CC &gt; Transactions.
3. Perform the action or trigger described by: Step 17.
4. Observe the page, validation, navigation, and resulting state.</t>
  </si>
  <si>
    <t>2.2 CC &gt; Transactions behaves according to the mapped requirement (Step 17); data, controls, navigation, and status are accurate and consistent.</t>
  </si>
  <si>
    <t>TC-B1-0074</t>
  </si>
  <si>
    <t>Eligible user and product are available. Trigger the stated condition: Optional Step 18 - when View all transactions is selected</t>
  </si>
  <si>
    <t>1. Open Credit Card (Visa/Mastercard).
2. Navigate to 2.2.1 CC View All Trans.
3. Perform the action or trigger described by: Optional Step 18 - when View all transactions is selected.
4. Observe the page, validation, navigation, and resulting state.</t>
  </si>
  <si>
    <t>2.2.1 CC View All Trans behaves according to the mapped requirement (Optional Step 18 - when View all transactions is selected); data, controls, navigation, and status are accurate and consistent.</t>
  </si>
  <si>
    <t>TC-B1-0075</t>
  </si>
  <si>
    <t>Eligible user and product are available. Trigger the stated condition: Conditional Step 19 - Refer to Rewards FSD</t>
  </si>
  <si>
    <t>1. Open Credit Card (Visa/Mastercard).
2. Navigate to 2.2.1.1 Convert TREATS.
3. Perform the action or trigger described by: Conditional Step 19 - Refer to Rewards FSD.
4. Observe the page, validation, navigation, and resulting state.</t>
  </si>
  <si>
    <t>2.2.1.1 Convert TREATS behaves according to the mapped requirement (Conditional Step 19 - Refer to Rewards FSD); data, controls, navigation, and status are accurate and consistent.</t>
  </si>
  <si>
    <t>TC-B1-0076</t>
  </si>
  <si>
    <t>Eligible user and product are available. Trigger the stated condition: Conditional Step 20 - when receipt-eligible transaction is selected</t>
  </si>
  <si>
    <t>1. Open Credit Card (Visa/Mastercard).
2. Navigate to 2.2.1.2 View Receipts.
3. Perform the action or trigger described by: Conditional Step 20 - when receipt-eligible transaction is selected.
4. Observe the page, validation, navigation, and resulting state.</t>
  </si>
  <si>
    <t>2.2.1.2 View Receipts behaves according to the mapped requirement (Conditional Step 20 - when receipt-eligible transaction is selected); data, controls, navigation, and status are accurate and consistent.</t>
  </si>
  <si>
    <t>TC-B1-0077</t>
  </si>
  <si>
    <t>Eligible user and product are available. Trigger the stated condition: Conditional Step 21 - Needs PO/BA clarification (JIRA TBC; integration "?")</t>
  </si>
  <si>
    <t>1. Open Credit Card (Visa/Mastercard).
2. Navigate to 2.2.1.3 Card Statement.
3. Perform the action or trigger described by: Conditional Step 21 - Needs PO/BA clarification (JIRA TBC; integration "?").
4. Observe the page, validation, navigation, and resulting state.</t>
  </si>
  <si>
    <t>2.2.1.3 Card Statement behaves according to the mapped requirement (Conditional Step 21 - Needs PO/BA clarification (JIRA TBC; integration "?")); data, controls, navigation, and status are accurate and consistent.</t>
  </si>
  <si>
    <t>TC-B1-0078</t>
  </si>
  <si>
    <t>1. Open Credit Card (Visa/Mastercard).
2. Navigate to 2.3 CC &gt; Summary.
3. Perform the action or trigger described by: Step 22.
4. Observe the page, validation, navigation, and resulting state.</t>
  </si>
  <si>
    <t>2.3 CC &gt; Summary behaves according to the mapped requirement (Step 22); data, controls, navigation, and status are accurate and consistent.</t>
  </si>
  <si>
    <t>TC-B1-0079</t>
  </si>
  <si>
    <t>1. Open Credit Card (Visa/Mastercard).
2. Navigate to 2.4 CC &gt; Manage.
3. Perform the action or trigger described by: Step 23.
4. Observe the page, validation, navigation, and resulting state.</t>
  </si>
  <si>
    <t>2.4 CC &gt; Manage behaves according to the mapped requirement (Step 23); data, controls, navigation, and status are accurate and consistent.</t>
  </si>
  <si>
    <t>TC-B1-0080</t>
  </si>
  <si>
    <t>Eligible user and product are available. Trigger the stated condition: Conditional Step 24 - if XCash eligible and enabled</t>
  </si>
  <si>
    <t>1. Open Credit Card (Visa/Mastercard).
2. Navigate to 2.4.1 XCash.
3. Perform the action or trigger described by: Conditional Step 24 - if XCash eligible and enabled.
4. Observe the page, validation, navigation, and resulting state.</t>
  </si>
  <si>
    <t>2.4.1 XCash behaves according to the mapped requirement (Conditional Step 24 - if XCash eligible and enabled); data, controls, navigation, and status are accurate and consistent.</t>
  </si>
  <si>
    <t>TC-B1-0081</t>
  </si>
  <si>
    <t>Eligible user and product are available. Trigger the stated condition: Conditional Step 25 - if proceeding with XCash</t>
  </si>
  <si>
    <t>1. Open Credit Card (Visa/Mastercard).
2. Navigate to 2.4.1.1 XCash Apply Input.
3. Perform the action or trigger described by: Conditional Step 25 - if proceeding with XCash.
4. Observe the page, validation, navigation, and resulting state.</t>
  </si>
  <si>
    <t>2.4.1.1 XCash Apply Input behaves according to the mapped requirement (Conditional Step 25 - if proceeding with XCash); data, controls, navigation, and status are accurate and consistent.</t>
  </si>
  <si>
    <t>TC-B1-0082</t>
  </si>
  <si>
    <t>Eligible user and product are available. Trigger the stated condition: Conditional Step 26 - if proceeding with XCash</t>
  </si>
  <si>
    <t>1. Open Credit Card (Visa/Mastercard).
2. Navigate to 2.4.1.2 XCash Apply Acc.
3. Perform the action or trigger described by: Conditional Step 26 - if proceeding with XCash.
4. Observe the page, validation, navigation, and resulting state.</t>
  </si>
  <si>
    <t>2.4.1.2 XCash Apply Acc behaves according to the mapped requirement (Conditional Step 26 - if proceeding with XCash); data, controls, navigation, and status are accurate and consistent.</t>
  </si>
  <si>
    <t>TC-B1-0083</t>
  </si>
  <si>
    <t>Eligible user and product are available. Trigger the stated condition: Conditional Step 27 - if proceeding with XCash</t>
  </si>
  <si>
    <t>1. Open Credit Card (Visa/Mastercard).
2. Navigate to 2.4.1.3 XCash Apply TnC.
3. Perform the action or trigger described by: Conditional Step 27 - if proceeding with XCash.
4. Observe the page, validation, navigation, and resulting state.</t>
  </si>
  <si>
    <t>2.4.1.3 XCash Apply TnC behaves according to the mapped requirement (Conditional Step 27 - if proceeding with XCash); data, controls, navigation, and status are accurate and consistent.</t>
  </si>
  <si>
    <t>TC-B1-0084</t>
  </si>
  <si>
    <t>Eligible user and product are available. Trigger the stated condition: Conditional Step 28 - if proceeding with XCash</t>
  </si>
  <si>
    <t>1. Open Credit Card (Visa/Mastercard).
2. Navigate to 2.4.1.4 XCash Apply Confirm.
3. Perform the action or trigger described by: Conditional Step 28 - if proceeding with XCash.
4. Observe the page, validation, navigation, and resulting state.</t>
  </si>
  <si>
    <t>2.4.1.4 XCash Apply Confirm behaves according to the mapped requirement (Conditional Step 28 - if proceeding with XCash); data, controls, navigation, and status are accurate and consistent.</t>
  </si>
  <si>
    <t>TC-B1-0085</t>
  </si>
  <si>
    <t>Eligible user and product are available. Trigger the stated condition: Conditional Step 29 - if proceeding with XCash</t>
  </si>
  <si>
    <t>1. Open Credit Card (Visa/Mastercard).
2. Navigate to 2.4.1.5 XCash Apply Ack.
3. Perform the action or trigger described by: Conditional Step 29 - if proceeding with XCash.
4. Observe the page, validation, navigation, and resulting state.</t>
  </si>
  <si>
    <t>2.4.1.5 XCash Apply Ack behaves according to the mapped requirement (Conditional Step 29 - if proceeding with XCash); data, controls, navigation, and status are accurate and consistent.</t>
  </si>
  <si>
    <t>TC-B1-0086</t>
  </si>
  <si>
    <t>Eligible user and product are available. Trigger the stated condition: Conditional Step 30 - if proceeding with XCash</t>
  </si>
  <si>
    <t>1. Open Credit Card (Visa/Mastercard).
2. Navigate to 2.4.1.6 XCash Rcpt &amp; Notif.
3. Perform the action or trigger described by: Conditional Step 30 - if proceeding with XCash.
4. Observe the page, validation, navigation, and resulting state.</t>
  </si>
  <si>
    <t>2.4.1.6 XCash Rcpt &amp; Notif behaves according to the mapped requirement (Conditional Step 30 - if proceeding with XCash); data, controls, navigation, and status are accurate and consistent.</t>
  </si>
  <si>
    <t>TC-B1-0087</t>
  </si>
  <si>
    <t>Eligible user and product are available. Trigger the stated condition: Conditional Step 31 - if eligible transaction exists</t>
  </si>
  <si>
    <t>1. Open Credit Card (Visa/Mastercard).
2. Navigate to 2.4.2 Instalment Convert.
3. Perform the action or trigger described by: Conditional Step 31 - if eligible transaction exists.
4. Observe the page, validation, navigation, and resulting state.</t>
  </si>
  <si>
    <t>2.4.2 Instalment Convert behaves according to the mapped requirement (Conditional Step 31 - if eligible transaction exists); data, controls, navigation, and status are accurate and consistent.</t>
  </si>
  <si>
    <t>TC-B1-0088</t>
  </si>
  <si>
    <t>Eligible user and product are available. Trigger the stated condition: Conditional Step 32 - if proceeding with instalment conversion</t>
  </si>
  <si>
    <t>1. Open Credit Card (Visa/Mastercard).
2. Navigate to 2.4.2.1 Inst Conv TnC.
3. Perform the action or trigger described by: Conditional Step 32 - if proceeding with instalment conversion.
4. Observe the page, validation, navigation, and resulting state.</t>
  </si>
  <si>
    <t>2.4.2.1 Inst Conv TnC behaves according to the mapped requirement (Conditional Step 32 - if proceeding with instalment conversion); data, controls, navigation, and status are accurate and consistent.</t>
  </si>
  <si>
    <t>TC-B1-0089</t>
  </si>
  <si>
    <t>Eligible user and product are available. Trigger the stated condition: Conditional Step 33 - if proceeding with instalment conversion</t>
  </si>
  <si>
    <t>1. Open Credit Card (Visa/Mastercard).
2. Navigate to 2.4.2.2 Inst Conv Confirm.
3. Perform the action or trigger described by: Conditional Step 33 - if proceeding with instalment conversion.
4. Observe the page, validation, navigation, and resulting state.</t>
  </si>
  <si>
    <t>2.4.2.2 Inst Conv Confirm behaves according to the mapped requirement (Conditional Step 33 - if proceeding with instalment conversion); data, controls, navigation, and status are accurate and consistent.</t>
  </si>
  <si>
    <t>TC-B1-0090</t>
  </si>
  <si>
    <t>Eligible user and product are available. Trigger the stated condition: Conditional Step 34 - if proceeding with instalment conversion</t>
  </si>
  <si>
    <t>1. Open Credit Card (Visa/Mastercard).
2. Navigate to 2.4.2.3 Inst Conv Ack.
3. Perform the action or trigger described by: Conditional Step 34 - if proceeding with instalment conversion.
4. Observe the page, validation, navigation, and resulting state.</t>
  </si>
  <si>
    <t>2.4.2.3 Inst Conv Ack behaves according to the mapped requirement (Conditional Step 34 - if proceeding with instalment conversion); data, controls, navigation, and status are accurate and consistent.</t>
  </si>
  <si>
    <t>TC-B1-0091</t>
  </si>
  <si>
    <t>Eligible user and product are available. Trigger the stated condition: Conditional Step 35 - if proceeding with instalment conversion</t>
  </si>
  <si>
    <t>1. Open Credit Card (Visa/Mastercard).
2. Navigate to 2.4.2.4 Inst Conv Rcpt &amp; Notif.
3. Perform the action or trigger described by: Conditional Step 35 - if proceeding with instalment conversion.
4. Observe the page, validation, navigation, and resulting state.</t>
  </si>
  <si>
    <t>2.4.2.4 Inst Conv Rcpt &amp; Notif behaves according to the mapped requirement (Conditional Step 35 - if proceeding with instalment conversion); data, controls, navigation, and status are accurate and consistent.</t>
  </si>
  <si>
    <t>TC-B1-0092</t>
  </si>
  <si>
    <t>Eligible user and product are available. Trigger the stated condition: Conditional Step 36 - if card eligible per MoB and policy</t>
  </si>
  <si>
    <t>1. Open Credit Card (Visa/Mastercard).
2. Navigate to 2.4.3 Increase Credit Limit.
3. Perform the action or trigger described by: Conditional Step 36 - if card eligible per MoB and policy.
4. Observe the page, validation, navigation, and resulting state.</t>
  </si>
  <si>
    <t>2.4.3 Increase Credit Limit behaves according to the mapped requirement (Conditional Step 36 - if card eligible per MoB and policy); data, controls, navigation, and status are accurate and consistent.</t>
  </si>
  <si>
    <t>TC-B1-0093</t>
  </si>
  <si>
    <t>Eligible user and product are available. Trigger the stated condition: Conditional Step 37 - if Permanent selected</t>
  </si>
  <si>
    <t>1. Open Credit Card (Visa/Mastercard).
2. Navigate to 2.4.3.1 ICL Permanent.
3. Perform the action or trigger described by: Conditional Step 37 - if Permanent selected.
4. Observe the page, validation, navigation, and resulting state.</t>
  </si>
  <si>
    <t>2.4.3.1 ICL Permanent behaves according to the mapped requirement (Conditional Step 37 - if Permanent selected); data, controls, navigation, and status are accurate and consistent.</t>
  </si>
  <si>
    <t>TC-B1-0094</t>
  </si>
  <si>
    <t>Eligible user and product are available. Trigger the stated condition: Conditional Step 38 - if Temporary selected</t>
  </si>
  <si>
    <t>1. Open Credit Card (Visa/Mastercard).
2. Navigate to 2.4.3.2 ICL Temporary.
3. Perform the action or trigger described by: Conditional Step 38 - if Temporary selected.
4. Observe the page, validation, navigation, and resulting state.</t>
  </si>
  <si>
    <t>2.4.3.2 ICL Temporary behaves according to the mapped requirement (Conditional Step 38 - if Temporary selected); data, controls, navigation, and status are accurate and consistent.</t>
  </si>
  <si>
    <t>TC-B1-0095</t>
  </si>
  <si>
    <t>Eligible user and product are available. Trigger the stated condition: Conditional Step 39 - if proceeding with ICL</t>
  </si>
  <si>
    <t>1. Open Credit Card (Visa/Mastercard).
2. Navigate to 2.4.3.3 ICL TnC.
3. Perform the action or trigger described by: Conditional Step 39 - if proceeding with ICL.
4. Observe the page, validation, navigation, and resulting state.</t>
  </si>
  <si>
    <t>2.4.3.3 ICL TnC behaves according to the mapped requirement (Conditional Step 39 - if proceeding with ICL); data, controls, navigation, and status are accurate and consistent.</t>
  </si>
  <si>
    <t>TC-B1-0096</t>
  </si>
  <si>
    <t>Eligible user and product are available. Trigger the stated condition: Conditional Step 40 - if proceeding with ICL</t>
  </si>
  <si>
    <t>1. Open Credit Card (Visa/Mastercard).
2. Navigate to 2.4.3.4 ICL Confirm.
3. Perform the action or trigger described by: Conditional Step 40 - if proceeding with ICL.
4. Observe the page, validation, navigation, and resulting state.</t>
  </si>
  <si>
    <t>2.4.3.4 ICL Confirm behaves according to the mapped requirement (Conditional Step 40 - if proceeding with ICL); data, controls, navigation, and status are accurate and consistent.</t>
  </si>
  <si>
    <t>TC-B1-0097</t>
  </si>
  <si>
    <t>Eligible user and product are available. Trigger the stated condition: Conditional Step 41 - if proceeding with ICL</t>
  </si>
  <si>
    <t>1. Open Credit Card (Visa/Mastercard).
2. Navigate to 2.4.3.5 ICL Ack.
3. Perform the action or trigger described by: Conditional Step 41 - if proceeding with ICL.
4. Observe the page, validation, navigation, and resulting state.</t>
  </si>
  <si>
    <t>2.4.3.5 ICL Ack behaves according to the mapped requirement (Conditional Step 41 - if proceeding with ICL); data, controls, navigation, and status are accurate and consistent.</t>
  </si>
  <si>
    <t>TC-B1-0098</t>
  </si>
  <si>
    <t>Eligible user and product are available. Trigger the stated condition: Conditional Step 42 - if proceeding with ICL</t>
  </si>
  <si>
    <t>1. Open Credit Card (Visa/Mastercard).
2. Navigate to 2.4.3.6 ICL Rcpt &amp; Notif.
3. Perform the action or trigger described by: Conditional Step 42 - if proceeding with ICL.
4. Observe the page, validation, navigation, and resulting state.</t>
  </si>
  <si>
    <t>2.4.3.6 ICL Rcpt &amp; Notif behaves according to the mapped requirement (Conditional Step 42 - if proceeding with ICL); data, controls, navigation, and status are accurate and consistent.</t>
  </si>
  <si>
    <t>TC-B1-0099</t>
  </si>
  <si>
    <t>Eligible user and product are available. Trigger the stated condition: Conditional Step 43 - for Active card block action</t>
  </si>
  <si>
    <t>1. Open Credit Card (Visa/Mastercard).
2. Navigate to 2.4.4 Block Card.
3. Perform the action or trigger described by: Conditional Step 43 - for Active card block action.
4. Observe the page, validation, navigation, and resulting state.</t>
  </si>
  <si>
    <t>2.4.4 Block Card behaves according to the mapped requirement (Conditional Step 43 - for Active card block action); data, controls, navigation, and status are accurate and consistent.</t>
  </si>
  <si>
    <t>TC-B1-0100</t>
  </si>
  <si>
    <t>Eligible user and product are available. Trigger the stated condition: Conditional Step 44 - if block action submitted</t>
  </si>
  <si>
    <t>1. Open Credit Card (Visa/Mastercard).
2. Navigate to 2.4.4.1 Block Card Ack.
3. Perform the action or trigger described by: Conditional Step 44 - if block action submitted.
4. Observe the page, validation, navigation, and resulting state.</t>
  </si>
  <si>
    <t>2.4.4.1 Block Card Ack behaves according to the mapped requirement (Conditional Step 44 - if block action submitted); data, controls, navigation, and status are accurate and consistent.</t>
  </si>
  <si>
    <t>TC-B1-0101</t>
  </si>
  <si>
    <t>Eligible user and product are available. Trigger the stated condition: Conditional Step 45 - if block action submitted</t>
  </si>
  <si>
    <t>1. Open Credit Card (Visa/Mastercard).
2. Navigate to 2.4.4.2 Block Card Notif.
3. Perform the action or trigger described by: Conditional Step 45 - if block action submitted.
4. Observe the page, validation, navigation, and resulting state.</t>
  </si>
  <si>
    <t>2.4.4.2 Block Card Notif behaves according to the mapped requirement (Conditional Step 45 - if block action submitted); data, controls, navigation, and status are accurate and consistent.</t>
  </si>
  <si>
    <t>TC-B1-0102</t>
  </si>
  <si>
    <t>Eligible user and product are available. Trigger the stated condition: Conditional Step 46 - when card is temporarily blocked by eligible channel</t>
  </si>
  <si>
    <t>1. Open Credit Card (Visa/Mastercard).
2. Navigate to 2.4.5 Unblock Card.
3. Perform the action or trigger described by: Conditional Step 46 - when card is temporarily blocked by eligible channel.
4. Observe the page, validation, navigation, and resulting state.</t>
  </si>
  <si>
    <t>2.4.5 Unblock Card behaves according to the mapped requirement (Conditional Step 46 - when card is temporarily blocked by eligible channel); data, controls, navigation, and status are accurate and consistent.</t>
  </si>
  <si>
    <t>TC-B1-0103</t>
  </si>
  <si>
    <t>Eligible user and product are available. Trigger the stated condition: Conditional Step 47 - if unblock action submitted</t>
  </si>
  <si>
    <t>1. Open Credit Card (Visa/Mastercard).
2. Navigate to 2.4.5.1 Unblock Card Ack.
3. Perform the action or trigger described by: Conditional Step 47 - if unblock action submitted.
4. Observe the page, validation, navigation, and resulting state.</t>
  </si>
  <si>
    <t>2.4.5.1 Unblock Card Ack behaves according to the mapped requirement (Conditional Step 47 - if unblock action submitted); data, controls, navigation, and status are accurate and consistent.</t>
  </si>
  <si>
    <t>TC-B1-0104</t>
  </si>
  <si>
    <t>Eligible user and product are available. Trigger the stated condition: Conditional Step 48 - if unblock action submitted</t>
  </si>
  <si>
    <t>1. Open Credit Card (Visa/Mastercard).
2. Navigate to 2.4.5.2 Unblock Card Notif.
3. Perform the action or trigger described by: Conditional Step 48 - if unblock action submitted.
4. Observe the page, validation, navigation, and resulting state.</t>
  </si>
  <si>
    <t>2.4.5.2 Unblock Card Notif behaves according to the mapped requirement (Conditional Step 48 - if unblock action submitted); data, controls, navigation, and status are accurate and consistent.</t>
  </si>
  <si>
    <t>TC-B1-0105</t>
  </si>
  <si>
    <t>Eligible user and product are available. Trigger the stated condition: Conditional Step 49 - replace card flow</t>
  </si>
  <si>
    <t>1. Open Credit Card (Visa/Mastercard).
2. Navigate to 2.4.6 Replace &amp; Renew Card.
3. Perform the action or trigger described by: Conditional Step 49 - replace card flow.
4. Observe the page, validation, navigation, and resulting state.</t>
  </si>
  <si>
    <t>2.4.6 Replace &amp; Renew Card behaves according to the mapped requirement (Conditional Step 49 - replace card flow); data, controls, navigation, and status are accurate and consistent.</t>
  </si>
  <si>
    <t>TC-B1-0106</t>
  </si>
  <si>
    <t>Eligible user and product are available. Trigger the stated condition: Conditional Step 50 - if replace request submitted</t>
  </si>
  <si>
    <t>1. Open Credit Card (Visa/Mastercard).
2. Navigate to 2.4.6.1 R&amp;R Ack.
3. Perform the action or trigger described by: Conditional Step 50 - if replace request submitted.
4. Observe the page, validation, navigation, and resulting state.</t>
  </si>
  <si>
    <t>2.4.6.1 R&amp;R Ack behaves according to the mapped requirement (Conditional Step 50 - if replace request submitted); data, controls, navigation, and status are accurate and consistent.</t>
  </si>
  <si>
    <t>TC-B1-0107</t>
  </si>
  <si>
    <t>Eligible user and product are available. Trigger the stated condition: Conditional Step 51 - if replace request submitted</t>
  </si>
  <si>
    <t>1. Open Credit Card (Visa/Mastercard).
2. Navigate to 2.4.6.2 R&amp;R Notif.
3. Perform the action or trigger described by: Conditional Step 51 - if replace request submitted.
4. Observe the page, validation, navigation, and resulting state.</t>
  </si>
  <si>
    <t>2.4.6.2 R&amp;R Notif behaves according to the mapped requirement (Conditional Step 51 - if replace request submitted); data, controls, navigation, and status are accurate and consistent.</t>
  </si>
  <si>
    <t>TC-B1-0108</t>
  </si>
  <si>
    <t>Eligible user and product are available. Trigger the stated condition: Conditional Step 52 - reset PIN flow</t>
  </si>
  <si>
    <t>1. Open Credit Card (Visa/Mastercard).
2. Navigate to 2.4.7 Reset PIN.
3. Perform the action or trigger described by: Conditional Step 52 - reset PIN flow.
4. Observe the page, validation, navigation, and resulting state.</t>
  </si>
  <si>
    <t>2.4.7 Reset PIN behaves according to the mapped requirement (Conditional Step 52 - reset PIN flow); data, controls, navigation, and status are accurate and consistent.</t>
  </si>
  <si>
    <t>TC-B1-0109</t>
  </si>
  <si>
    <t>Eligible user and product are available. Trigger the stated condition: Conditional Step 53 - block code matrix governs status/feature gating</t>
  </si>
  <si>
    <t>1. Open Credit Card (Visa/Mastercard).
2. Navigate to 2.4.8 Block Code.
3. Perform the action or trigger described by: Conditional Step 53 - block code matrix governs status/feature gating.
4. Observe the page, validation, navigation, and resulting state.</t>
  </si>
  <si>
    <t>2.4.8 Block Code behaves according to the mapped requirement (Conditional Step 53 - block code matrix governs status/feature gating); data, controls, navigation, and status are accurate and consistent.</t>
  </si>
  <si>
    <t>TC-B1-0110</t>
  </si>
  <si>
    <t>Validate successful final state for Credit Card (Visa/Mastercard)</t>
  </si>
  <si>
    <t>All required inputs and services are valid. Expected statuses: Request submitted / Request unsuccessful / Authorisation failed / Processing / Completed (per feature)</t>
  </si>
  <si>
    <t>TC-B1-0111</t>
  </si>
  <si>
    <t>Validate service failure and retry for Credit Card (Visa/Mastercard)</t>
  </si>
  <si>
    <t>Journey is available; simulate a controlled downstream timeout or unsuccessful response. Expected statuses: Request submitted / Request unsuccessful / Authorisation failed / Processing / Completed (per feature)</t>
  </si>
  <si>
    <t>TC-B1-0112</t>
  </si>
  <si>
    <t>Open Credit Card (JCB) from valid entry point</t>
  </si>
  <si>
    <t>1. Sign in at the required access level.
2. Navigate using: CC Dashboard - Landing.
3. Select Credit Card (JCB).</t>
  </si>
  <si>
    <t>TC-B1-0113</t>
  </si>
  <si>
    <t>Validate ineligible or unavailable state for Credit Card (JCB)</t>
  </si>
  <si>
    <t>1. Prepare an ineligible, unsupported, blocked, or unavailable test profile.
2. Navigate using: CC Dashboard - Landing.
3. Attempt to open Credit Card (JCB).</t>
  </si>
  <si>
    <t>TC-B1-0114</t>
  </si>
  <si>
    <t>Complete required authentication for Credit Card (JCB)</t>
  </si>
  <si>
    <t>TC-B1-0115</t>
  </si>
  <si>
    <t>Reject invalid, cancelled, or expired authentication for Credit Card (JCB)</t>
  </si>
  <si>
    <t>TC-B1-0116</t>
  </si>
  <si>
    <t>1. Open Credit Card (JCB).
2. Navigate to Common Rules Reference.
3. Perform the action or trigger described by: Refer to Account Dashboard Common FSD.
4. Observe the page, validation, navigation, and resulting state.</t>
  </si>
  <si>
    <t>TC-B1-0117</t>
  </si>
  <si>
    <t>1. Open Credit Card (JCB).
2. Navigate to 2.1 CC Dashboard - Landing.
3. Perform the action or trigger described by: Step 13.
4. Observe the page, validation, navigation, and resulting state.</t>
  </si>
  <si>
    <t>TC-B1-0118</t>
  </si>
  <si>
    <t>1. Open Credit Card (JCB).
2. Navigate to 2.1.2 Card Details.
3. Perform the action or trigger described by: Optional Step 14 - when Card Details quick action is tapped.
4. Observe the page, validation, navigation, and resulting state.</t>
  </si>
  <si>
    <t>TC-B1-0119</t>
  </si>
  <si>
    <t>Eligible user and product are available. Trigger the stated condition: Conditional Step 16 - pending activation and card type JCB</t>
  </si>
  <si>
    <t>1. Open Credit Card (JCB).
2. Navigate to 2.1.4 JCB CC Activation.
3. Perform the action or trigger described by: Conditional Step 16 - pending activation and card type JCB.
4. Observe the page, validation, navigation, and resulting state.</t>
  </si>
  <si>
    <t>2.1.4 JCB CC Activation behaves according to the mapped requirement (Conditional Step 16 - pending activation and card type JCB); data, controls, navigation, and status are accurate and consistent.</t>
  </si>
  <si>
    <t>TC-B1-0120</t>
  </si>
  <si>
    <t>1. Open Credit Card (JCB).
2. Navigate to 2.2 CC &gt; Transactions.
3. Perform the action or trigger described by: Step 17.
4. Observe the page, validation, navigation, and resulting state.</t>
  </si>
  <si>
    <t>TC-B1-0121</t>
  </si>
  <si>
    <t>1. Open Credit Card (JCB).
2. Navigate to 2.2.1 CC View All Trans.
3. Perform the action or trigger described by: Optional Step 18 - when View all transactions is selected.
4. Observe the page, validation, navigation, and resulting state.</t>
  </si>
  <si>
    <t>TC-B1-0122</t>
  </si>
  <si>
    <t>1. Open Credit Card (JCB).
2. Navigate to 2.2.1.1 Convert TREATS.
3. Perform the action or trigger described by: Conditional Step 19 - Refer to Rewards FSD.
4. Observe the page, validation, navigation, and resulting state.</t>
  </si>
  <si>
    <t>TC-B1-0123</t>
  </si>
  <si>
    <t>1. Open Credit Card (JCB).
2. Navigate to 2.2.1.2 View Receipts.
3. Perform the action or trigger described by: Conditional Step 20 - when receipt-eligible transaction is selected.
4. Observe the page, validation, navigation, and resulting state.</t>
  </si>
  <si>
    <t>TC-B1-0124</t>
  </si>
  <si>
    <t>1. Open Credit Card (JCB).
2. Navigate to 2.2.1.3 Card Statement.
3. Perform the action or trigger described by: Conditional Step 21 - Needs PO/BA clarification (JIRA TBC; integration "?").
4. Observe the page, validation, navigation, and resulting state.</t>
  </si>
  <si>
    <t>TC-B1-0125</t>
  </si>
  <si>
    <t>1. Open Credit Card (JCB).
2. Navigate to 2.3 CC &gt; Summary.
3. Perform the action or trigger described by: Step 22.
4. Observe the page, validation, navigation, and resulting state.</t>
  </si>
  <si>
    <t>TC-B1-0126</t>
  </si>
  <si>
    <t>1. Open Credit Card (JCB).
2. Navigate to 2.4 CC &gt; Manage.
3. Perform the action or trigger described by: Step 23.
4. Observe the page, validation, navigation, and resulting state.</t>
  </si>
  <si>
    <t>TC-B1-0127</t>
  </si>
  <si>
    <t>1. Open Credit Card (JCB).
2. Navigate to 2.4.1 XCash.
3. Perform the action or trigger described by: Conditional Step 24 - if XCash eligible and enabled.
4. Observe the page, validation, navigation, and resulting state.</t>
  </si>
  <si>
    <t>TC-B1-0128</t>
  </si>
  <si>
    <t>1. Open Credit Card (JCB).
2. Navigate to 2.4.1.1 XCash Apply Input.
3. Perform the action or trigger described by: Conditional Step 25 - if proceeding with XCash.
4. Observe the page, validation, navigation, and resulting state.</t>
  </si>
  <si>
    <t>TC-B1-0129</t>
  </si>
  <si>
    <t>1. Open Credit Card (JCB).
2. Navigate to 2.4.1.2 XCash Apply Acc.
3. Perform the action or trigger described by: Conditional Step 26 - if proceeding with XCash.
4. Observe the page, validation, navigation, and resulting state.</t>
  </si>
  <si>
    <t>TC-B1-0130</t>
  </si>
  <si>
    <t>1. Open Credit Card (JCB).
2. Navigate to 2.4.1.3 XCash Apply TnC.
3. Perform the action or trigger described by: Conditional Step 27 - if proceeding with XCash.
4. Observe the page, validation, navigation, and resulting state.</t>
  </si>
  <si>
    <t>TC-B1-0131</t>
  </si>
  <si>
    <t>1. Open Credit Card (JCB).
2. Navigate to 2.4.1.4 XCash Apply Confirm.
3. Perform the action or trigger described by: Conditional Step 28 - if proceeding with XCash.
4. Observe the page, validation, navigation, and resulting state.</t>
  </si>
  <si>
    <t>TC-B1-0132</t>
  </si>
  <si>
    <t>1. Open Credit Card (JCB).
2. Navigate to 2.4.1.5 XCash Apply Ack.
3. Perform the action or trigger described by: Conditional Step 29 - if proceeding with XCash.
4. Observe the page, validation, navigation, and resulting state.</t>
  </si>
  <si>
    <t>TC-B1-0133</t>
  </si>
  <si>
    <t>1. Open Credit Card (JCB).
2. Navigate to 2.4.1.6 XCash Rcpt &amp; Notif.
3. Perform the action or trigger described by: Conditional Step 30 - if proceeding with XCash.
4. Observe the page, validation, navigation, and resulting state.</t>
  </si>
  <si>
    <t>TC-B1-0134</t>
  </si>
  <si>
    <t>1. Open Credit Card (JCB).
2. Navigate to 2.4.2 Instalment Convert.
3. Perform the action or trigger described by: Conditional Step 31 - if eligible transaction exists.
4. Observe the page, validation, navigation, and resulting state.</t>
  </si>
  <si>
    <t>TC-B1-0135</t>
  </si>
  <si>
    <t>1. Open Credit Card (JCB).
2. Navigate to 2.4.2.1 Inst Conv TnC.
3. Perform the action or trigger described by: Conditional Step 32 - if proceeding with instalment conversion.
4. Observe the page, validation, navigation, and resulting state.</t>
  </si>
  <si>
    <t>TC-B1-0136</t>
  </si>
  <si>
    <t>1. Open Credit Card (JCB).
2. Navigate to 2.4.2.2 Inst Conv Confirm.
3. Perform the action or trigger described by: Conditional Step 33 - if proceeding with instalment conversion.
4. Observe the page, validation, navigation, and resulting state.</t>
  </si>
  <si>
    <t>TC-B1-0137</t>
  </si>
  <si>
    <t>1. Open Credit Card (JCB).
2. Navigate to 2.4.2.3 Inst Conv Ack.
3. Perform the action or trigger described by: Conditional Step 34 - if proceeding with instalment conversion.
4. Observe the page, validation, navigation, and resulting state.</t>
  </si>
  <si>
    <t>TC-B1-0138</t>
  </si>
  <si>
    <t>1. Open Credit Card (JCB).
2. Navigate to 2.4.2.4 Inst Conv Rcpt &amp; Notif.
3. Perform the action or trigger described by: Conditional Step 35 - if proceeding with instalment conversion.
4. Observe the page, validation, navigation, and resulting state.</t>
  </si>
  <si>
    <t>TC-B1-0139</t>
  </si>
  <si>
    <t>1. Open Credit Card (JCB).
2. Navigate to 2.4.3 Increase Credit Limit.
3. Perform the action or trigger described by: Conditional Step 36 - if card eligible per MoB and policy.
4. Observe the page, validation, navigation, and resulting state.</t>
  </si>
  <si>
    <t>TC-B1-0140</t>
  </si>
  <si>
    <t>1. Open Credit Card (JCB).
2. Navigate to 2.4.3.1 ICL Permanent.
3. Perform the action or trigger described by: Conditional Step 37 - if Permanent selected.
4. Observe the page, validation, navigation, and resulting state.</t>
  </si>
  <si>
    <t>TC-B1-0141</t>
  </si>
  <si>
    <t>1. Open Credit Card (JCB).
2. Navigate to 2.4.3.2 ICL Temporary.
3. Perform the action or trigger described by: Conditional Step 38 - if Temporary selected.
4. Observe the page, validation, navigation, and resulting state.</t>
  </si>
  <si>
    <t>TC-B1-0142</t>
  </si>
  <si>
    <t>1. Open Credit Card (JCB).
2. Navigate to 2.4.3.3 ICL TnC.
3. Perform the action or trigger described by: Conditional Step 39 - if proceeding with ICL.
4. Observe the page, validation, navigation, and resulting state.</t>
  </si>
  <si>
    <t>TC-B1-0143</t>
  </si>
  <si>
    <t>1. Open Credit Card (JCB).
2. Navigate to 2.4.3.4 ICL Confirm.
3. Perform the action or trigger described by: Conditional Step 40 - if proceeding with ICL.
4. Observe the page, validation, navigation, and resulting state.</t>
  </si>
  <si>
    <t>TC-B1-0144</t>
  </si>
  <si>
    <t>1. Open Credit Card (JCB).
2. Navigate to 2.4.3.5 ICL Ack.
3. Perform the action or trigger described by: Conditional Step 41 - if proceeding with ICL.
4. Observe the page, validation, navigation, and resulting state.</t>
  </si>
  <si>
    <t>TC-B1-0145</t>
  </si>
  <si>
    <t>1. Open Credit Card (JCB).
2. Navigate to 2.4.3.6 ICL Rcpt &amp; Notif.
3. Perform the action or trigger described by: Conditional Step 42 - if proceeding with ICL.
4. Observe the page, validation, navigation, and resulting state.</t>
  </si>
  <si>
    <t>TC-B1-0146</t>
  </si>
  <si>
    <t>1. Open Credit Card (JCB).
2. Navigate to 2.4.4 Block Card.
3. Perform the action or trigger described by: Conditional Step 43 - for Active card block action.
4. Observe the page, validation, navigation, and resulting state.</t>
  </si>
  <si>
    <t>TC-B1-0147</t>
  </si>
  <si>
    <t>1. Open Credit Card (JCB).
2. Navigate to 2.4.4.1 Block Card Ack.
3. Perform the action or trigger described by: Conditional Step 44 - if block action submitted.
4. Observe the page, validation, navigation, and resulting state.</t>
  </si>
  <si>
    <t>TC-B1-0148</t>
  </si>
  <si>
    <t>1. Open Credit Card (JCB).
2. Navigate to 2.4.4.2 Block Card Notif.
3. Perform the action or trigger described by: Conditional Step 45 - if block action submitted.
4. Observe the page, validation, navigation, and resulting state.</t>
  </si>
  <si>
    <t>TC-B1-0149</t>
  </si>
  <si>
    <t>1. Open Credit Card (JCB).
2. Navigate to 2.4.5 Unblock Card.
3. Perform the action or trigger described by: Conditional Step 46 - when card is temporarily blocked by eligible channel.
4. Observe the page, validation, navigation, and resulting state.</t>
  </si>
  <si>
    <t>TC-B1-0150</t>
  </si>
  <si>
    <t>1. Open Credit Card (JCB).
2. Navigate to 2.4.5.1 Unblock Card Ack.
3. Perform the action or trigger described by: Conditional Step 47 - if unblock action submitted.
4. Observe the page, validation, navigation, and resulting state.</t>
  </si>
  <si>
    <t>TC-B1-0151</t>
  </si>
  <si>
    <t>1. Open Credit Card (JCB).
2. Navigate to 2.4.5.2 Unblock Card Notif.
3. Perform the action or trigger described by: Conditional Step 48 - if unblock action submitted.
4. Observe the page, validation, navigation, and resulting state.</t>
  </si>
  <si>
    <t>TC-B1-0152</t>
  </si>
  <si>
    <t>1. Open Credit Card (JCB).
2. Navigate to 2.4.6 Replace &amp; Renew Card.
3. Perform the action or trigger described by: Conditional Step 49 - replace card flow.
4. Observe the page, validation, navigation, and resulting state.</t>
  </si>
  <si>
    <t>TC-B1-0153</t>
  </si>
  <si>
    <t>1. Open Credit Card (JCB).
2. Navigate to 2.4.6.1 R&amp;R Ack.
3. Perform the action or trigger described by: Conditional Step 50 - if replace request submitted.
4. Observe the page, validation, navigation, and resulting state.</t>
  </si>
  <si>
    <t>TC-B1-0154</t>
  </si>
  <si>
    <t>1. Open Credit Card (JCB).
2. Navigate to 2.4.6.2 R&amp;R Notif.
3. Perform the action or trigger described by: Conditional Step 51 - if replace request submitted.
4. Observe the page, validation, navigation, and resulting state.</t>
  </si>
  <si>
    <t>TC-B1-0155</t>
  </si>
  <si>
    <t>1. Open Credit Card (JCB).
2. Navigate to 2.4.7 Reset PIN.
3. Perform the action or trigger described by: Conditional Step 52 - reset PIN flow.
4. Observe the page, validation, navigation, and resulting state.</t>
  </si>
  <si>
    <t>TC-B1-0156</t>
  </si>
  <si>
    <t>1. Open Credit Card (JCB).
2. Navigate to 2.4.8 Block Code.
3. Perform the action or trigger described by: Conditional Step 53 - block code matrix governs status/feature gating.
4. Observe the page, validation, navigation, and resulting state.</t>
  </si>
  <si>
    <t>TC-B1-0157</t>
  </si>
  <si>
    <t>Validate successful final state for Credit Card (JCB)</t>
  </si>
  <si>
    <t>TC-B1-0158</t>
  </si>
  <si>
    <t>Validate service failure and retry for Credit Card (JCB)</t>
  </si>
  <si>
    <t>TC-B1-0159</t>
  </si>
  <si>
    <t>Open CASA: Regular Savings Account; Current Account (conventional and shariah) from valid entry point</t>
  </si>
  <si>
    <t>Eligible user: L3 post-login M2U ID holder with CASA account; personal (individual) — Joint-AND restrictions apply per NGBO config</t>
  </si>
  <si>
    <t>Account / Card / Policy Type: Active / Inactive / Blocked / Dormant / Closed CASA; IDR or FCY; Conventional or Shariah; with or without overdraft; with or without linked term savings; with or without linked debit card; Currency / FCY Criteria: IDR default; FCY applicable for Current Account and Global Access sub-accounts; overdraft in IDR; balance aggregation with / without '≈' depending on FCY presence</t>
  </si>
  <si>
    <t>1. Sign in at the required access level.
2. Navigate using: Account Dashboard Landing → Savings &amp; Current tab (default selected); or direct tap on account card.
3. Select CASA: Regular Savings Account; Current Account (conventional and shariah).</t>
  </si>
  <si>
    <t>The correct Dashboard — Deposits page opens and relevant product information is displayed without error.</t>
  </si>
  <si>
    <t>L1 → redirect to Login (A&amp;A FSD); L3 → direct access; S2U required for: Manage Linked Card, Block Account, Reactivate Account (Inactive)</t>
  </si>
  <si>
    <t>Account details displayed; Transaction list displayed; S2U success / unsuccessful / authorisation failed for Manage Linked Card, Block Account, Reactivate Account</t>
  </si>
  <si>
    <t>TC-B1-0160</t>
  </si>
  <si>
    <t>Validate ineligible or unavailable state for CASA: Regular Savings Account; Current Account (conventional and shariah)</t>
  </si>
  <si>
    <t>User or product does not meet one configured eligibility condition. Eligible baseline: L3 post-login M2U ID holder with CASA account; personal (individual) — Joint-AND restrictions apply per NGBO config</t>
  </si>
  <si>
    <t>1. Prepare an ineligible, unsupported, blocked, or unavailable test profile.
2. Navigate using: Account Dashboard Landing → Savings &amp; Current tab (default selected); or direct tap on account card.
3. Attempt to open CASA: Regular Savings Account; Current Account (conventional and shariah).</t>
  </si>
  <si>
    <t>TC-B1-0161</t>
  </si>
  <si>
    <t>Complete required authentication for CASA: Regular Savings Account; Current Account (conventional and shariah)</t>
  </si>
  <si>
    <t>Eligible user; authentication method is active. Requirement: L1 → redirect to Login (A&amp;A FSD); L3 → direct access; S2U required for: Manage Linked Card, Block Account, Reactivate Account (Inactive)</t>
  </si>
  <si>
    <t>TC-B1-0162</t>
  </si>
  <si>
    <t>Reject invalid, cancelled, or expired authentication for CASA: Regular Savings Account; Current Account (conventional and shariah)</t>
  </si>
  <si>
    <t>Eligible user; protected action requires authentication. Requirement: L1 → redirect to Login (A&amp;A FSD); L3 → direct access; S2U required for: Manage Linked Card, Block Account, Reactivate Account (Inactive)</t>
  </si>
  <si>
    <t>TC-B1-0163</t>
  </si>
  <si>
    <t>1. Open CASA: Regular Savings Account; Current Account (conventional and shariah).
2. Navigate to Step 1 — 1.1 Account Dashboard Landing.
3. Perform the action or trigger described by: Step 1.
4. Observe the page, validation, navigation, and resulting state.</t>
  </si>
  <si>
    <t>Step 1 — 1.1 Account Dashboard Landing behaves according to the mapped requirement (Step 1); data, controls, navigation, and status are accurate and consistent.</t>
  </si>
  <si>
    <t>TC-B1-0164</t>
  </si>
  <si>
    <t>Eligible user and product are available. Trigger the stated condition: Step 2 — displays account card; total balance with/without '≈'; Tabung banner/card; upsell banner; business profile disclaimer if applicable</t>
  </si>
  <si>
    <t>1. Open CASA: Regular Savings Account; Current Account (conventional and shariah).
2. Navigate to Step 2 — 1.2 Account Listing (Savings &amp; Current).
3. Perform the action or trigger described by: Step 2 — displays account card; total balance with/without '≈'; Tabung banner/card; upsell banner; business profile disclaimer if applicable.
4. Observe the page, validation, navigation, and resulting state.</t>
  </si>
  <si>
    <t>Step 2 — 1.2 Account Listing (Savings &amp; Current) behaves according to the mapped requirement (Step 2 — displays account card; total balance with/without '≈'; Tabung banner/card; upsell banner; business profile disclaimer if applicable); data, controls, navigation, and status are accurate and consistent.</t>
  </si>
  <si>
    <t>TC-B1-0165</t>
  </si>
  <si>
    <t>1. Open CASA: Regular Savings Account; Current Account (conventional and shariah).
2. Navigate to Step 3 — 1.2.1 CASA Account Details.
3. Perform the action or trigger described by: Step 3 — Transactions / Summary / Manage tabs; account balance drawer; linked term savings section; Quick Actions (Transfer, Pay, eWallet, View Statements, View linked card); Set Primary; Manage Linked Card; Block Account available per eligibility.
4. Observe the page, validation, navigation, and resulting state.</t>
  </si>
  <si>
    <t>Step 3 — 1.2.1 CASA Account Details behaves according to the mapped requirement (Step 3 — Transactions / Summary / Manage tabs; account balance drawer; linked term savings section; Quick Actions (Transfer, Pay, eWallet, View Statements, View linked card); Set Primary; Manage Linked Card; Block Account available per eligibility); data, controls, navigation, and status are accurate and consistent.</t>
  </si>
  <si>
    <t>TC-B1-0166</t>
  </si>
  <si>
    <t>1. Open CASA: Regular Savings Account; Current Account (conventional and shariah).
2. Navigate to Step 4 — 1.2.1.1 Transaction Details.
3. Perform the action or trigger described by: Step 4 — tap any transaction in Transactions tab or ViewAllTrans; displays per transaction type matrix (Overseas Transfer, Currency Exchange, Pay Using Card, Scan &amp; Pay, Transfer, Money In/Out variants).
4. Observe the page, validation, navigation, and resulting state.</t>
  </si>
  <si>
    <t>Step 4 — 1.2.1.1 Transaction Details behaves according to the mapped requirement (Step 4 — tap any transaction in Transactions tab or ViewAllTrans; displays per transaction type matrix (Overseas Transfer, Currency Exchange, Pay Using Card, Scan &amp; Pay, Transfer, Money In/Out variants)); data, controls, navigation, and status are accurate and consistent.</t>
  </si>
  <si>
    <t>TC-B1-0167</t>
  </si>
  <si>
    <t>1. Open CASA: Regular Savings Account; Current Account (conventional and shariah).
2. Navigate to Step 5 — 1.2.1.2 ViewAllTrans.
3. Perform the action or trigger described by: Step 5 — search, filter (Money In/Out, Transaction Currency for GAA/MCA, Time Range, Custom date), export (PDF/CSV/XLSX, Send to Email / Save to device).
4. Observe the page, validation, navigation, and resulting state.</t>
  </si>
  <si>
    <t>Step 5 — 1.2.1.2 ViewAllTrans behaves according to the mapped requirement (Step 5 — search, filter (Money In/Out, Transaction Currency for GAA/MCA, Time Range, Custom date), export (PDF/CSV/XLSX, Send to Email / Save to device)); data, controls, navigation, and status are accurate and consistent.</t>
  </si>
  <si>
    <t>TC-B1-0168</t>
  </si>
  <si>
    <t>Eligible user and product are available. Trigger the stated condition: Step 6 — view/link/unlink/update linked debit card; S2U required; Global Access account displays only GAA cards; non-GAA account excludes GAA cards; max 8 linked accounts per card; default account restriction</t>
  </si>
  <si>
    <t>1. Open CASA: Regular Savings Account; Current Account (conventional and shariah).
2. Navigate to Step 6 — 1.2.1.3 ManageLinkedCard.
3. Perform the action or trigger described by: Step 6 — view/link/unlink/update linked debit card; S2U required; Global Access account displays only GAA cards; non-GAA account excludes GAA cards; max 8 linked accounts per card; default account restriction.
4. Observe the page, validation, navigation, and resulting state.</t>
  </si>
  <si>
    <t>Step 6 — 1.2.1.3 ManageLinkedCard behaves according to the mapped requirement (Step 6 — view/link/unlink/update linked debit card; S2U required; Global Access account displays only GAA cards; non-GAA account excludes GAA cards; max 8 linked accounts per card; default account restriction); data, controls, navigation, and status are accurate and consistent.</t>
  </si>
  <si>
    <t>TC-B1-0169</t>
  </si>
  <si>
    <t>1. Open CASA: Regular Savings Account; Current Account (conventional and shariah).
2. Navigate to Step 7 — 1.2.1.4 BlockAccount.
3. Perform the action or trigger described by: Step 7 — single or multi-select block; S2U required; eligible accounts per product code / segment ID / status Active; post-block: Frozen status, Quick Actions greyed except View Statements, Manage greyed except Add/Edit Nickname.
4. Observe the page, validation, navigation, and resulting state.</t>
  </si>
  <si>
    <t>Step 7 — 1.2.1.4 BlockAccount behaves according to the mapped requirement (Step 7 — single or multi-select block; S2U required; eligible accounts per product code / segment ID / status Active; post-block: Frozen status, Quick Actions greyed except View Statements, Manage greyed except Add/Edit Nickname); data, controls, navigation, and status are accurate and consistent.</t>
  </si>
  <si>
    <t>TC-B1-0170</t>
  </si>
  <si>
    <t>Eligible user and product are available. Trigger the stated condition: Conditional Step 8 — displayed when account status is Dormant; all Quick Actions and Manage greyed except View Statements and Add/Edit Nickname; dormancy PN+email notifications 1 month prior and on effective date</t>
  </si>
  <si>
    <t>1. Open CASA: Regular Savings Account; Current Account (conventional and shariah).
2. Navigate to Step 8 — 1.2.1.5 DormantAccount.
3. Perform the action or trigger described by: Conditional Step 8 — displayed when account status is Dormant; all Quick Actions and Manage greyed except View Statements and Add/Edit Nickname; dormancy PN+email notifications 1 month prior and on effective date.
4. Observe the page, validation, navigation, and resulting state.</t>
  </si>
  <si>
    <t>Step 8 — 1.2.1.5 DormantAccount behaves according to the mapped requirement (Conditional Step 8 — displayed when account status is Dormant; all Quick Actions and Manage greyed except View Statements and Add/Edit Nickname; dormancy PN+email notifications 1 month prior and on effective date); data, controls, navigation, and status are accurate and consistent.</t>
  </si>
  <si>
    <t>TC-B1-0171</t>
  </si>
  <si>
    <t>Eligible user and product are available. Trigger the stated condition: Conditional Step 9 — displayed when account status is Inactive; Reactivate button displayed (except excluded product codes 319, 826, 209, 219, 279, 806); Update Personal Details → Confirmation → S2U → Acknowledgement; Account Reactivated / Update Unsuccessful</t>
  </si>
  <si>
    <t>1. Open CASA: Regular Savings Account; Current Account (conventional and shariah).
2. Navigate to Step 9 — 1.2.1.6 Inactive Account.
3. Perform the action or trigger described by: Conditional Step 9 — displayed when account status is Inactive; Reactivate button displayed (except excluded product codes 319, 826, 209, 219, 279, 806); Update Personal Details → Confirmation → S2U → Acknowledgement; Account Reactivated / Update Unsuccessful.
4. Observe the page, validation, navigation, and resulting state.</t>
  </si>
  <si>
    <t>Step 9 — 1.2.1.6 Inactive Account behaves according to the mapped requirement (Conditional Step 9 — displayed when account status is Inactive; Reactivate button displayed (except excluded product codes 319, 826, 209, 219, 279, 806); Update Personal Details → Confirmation → S2U → Acknowledgement; Account Reactivated / Update Unsuccessful); data, controls, navigation, and status are accurate and consistent.</t>
  </si>
  <si>
    <t>TC-B1-0172</t>
  </si>
  <si>
    <t>Eligible user and product are available. Trigger the stated condition: Conditional Step 10 — displayed up to 90 days after closing date (NGBO-parameterised; 0 = not displayed); View Statements only; all other actions disabled</t>
  </si>
  <si>
    <t>1. Open CASA: Regular Savings Account; Current Account (conventional and shariah).
2. Navigate to Step 10 — 1.2.1.7 Closed Account.
3. Perform the action or trigger described by: Conditional Step 10 — displayed up to 90 days after closing date (NGBO-parameterised; 0 = not displayed); View Statements only; all other actions disabled.
4. Observe the page, validation, navigation, and resulting state.</t>
  </si>
  <si>
    <t>Step 10 — 1.2.1.7 Closed Account behaves according to the mapped requirement (Conditional Step 10 — displayed up to 90 days after closing date (NGBO-parameterised; 0 = not displayed); View Statements only; all other actions disabled); data, controls, navigation, and status are accurate and consistent.</t>
  </si>
  <si>
    <t>TC-B1-0173</t>
  </si>
  <si>
    <t>Eligible user and product are available. Trigger the stated condition: Transactions tab shows latest 10 (YTD + last 24 months); "View All Transactions" hyperlink shown only if &gt;10 transactions</t>
  </si>
  <si>
    <t>1. Open CASA: Regular Savings Account; Current Account (conventional and shariah).
2. Navigate to ViewAllTrans — Transaction History Display Rule.
3. Perform the action or trigger described by: Transactions tab shows latest 10 (YTD + last 24 months); "View All Transactions" hyperlink shown only if &gt;10 transactions.
4. Observe the page, validation, navigation, and resulting state.</t>
  </si>
  <si>
    <t>ViewAllTrans — Transaction History Display Rule behaves according to the mapped requirement (Transactions tab shows latest 10 (YTD + last 24 months); "View All Transactions" hyperlink shown only if &gt;10 transactions); data, controls, navigation, and status are accurate and consistent.</t>
  </si>
  <si>
    <t>TC-B1-0174</t>
  </si>
  <si>
    <t>Eligible user and product are available. Trigger the stated condition: Disclaimer box displayed if business profile set up; for this release all accounts shown; upon IBO: only personal accounts displayed</t>
  </si>
  <si>
    <t>1. Open CASA: Regular Savings Account; Current Account (conventional and shariah).
2. Navigate to Business Profile / IBO Disclaimer.
3. Perform the action or trigger described by: Disclaimer box displayed if business profile set up; for this release all accounts shown; upon IBO: only personal accounts displayed.
4. Observe the page, validation, navigation, and resulting state.</t>
  </si>
  <si>
    <t>Business Profile / IBO Disclaimer behaves according to the mapped requirement (Disclaimer box displayed if business profile set up; for this release all accounts shown; upon IBO: only personal accounts displayed); data, controls, navigation, and status are accurate and consistent.</t>
  </si>
  <si>
    <t>TC-B1-0175</t>
  </si>
  <si>
    <t>1. Open CASA: Regular Savings Account; Current Account (conventional and shariah).
2. Navigate to External FSD References.
3. Perform the action or trigger described by: Login: refer to A&amp;A FSD; Set as Primary: refer to AD Common FSD; Add/Edit Nickname: refer to AD Common FSD; Tabung: refer to Tabung FSD; Apply Deposit: refer to Apply STP Non Financing FSD; View Statements: refer to Document FSD; Transfer: refer to Local Transfer FSD; Pay Bills: refer to Money Out FSD; Common Authorisation Failed: refer to Common FSD; Common Masking Rules: refer to Common FSD; Edit Function Rules: refer to Common FSD.
4. Observe the page, validation, navigation, and resulting state.</t>
  </si>
  <si>
    <t>External FSD References behaves according to the mapped requirement (Login: refer to A&amp;A FSD; Set as Primary: refer to AD Common FSD; Add/Edit Nickname: refer to AD Common FSD; Tabung: refer to Tabung FSD; Apply Deposit: refer to Apply STP Non Financing FSD; View Statements: refer to Document FSD; Transfer: refer to Local Transfer FSD; Pay Bills: refer to Money Out FSD; Common Authorisation Failed: refer to Common FSD; Common Masking Rules: refer to Common FSD; Edit Function Rules: refer to Common FSD); data, controls, navigation, and status are accurate and consistent.</t>
  </si>
  <si>
    <t>TC-B1-0176</t>
  </si>
  <si>
    <t>Validate successful final state for CASA: Regular Savings Account; Current Account (conventional and shariah)</t>
  </si>
  <si>
    <t>All required inputs and services are valid. Expected statuses: Account details displayed; Transaction list displayed; S2U success / unsuccessful / authorisation failed for Manage Linked Card, Block Account, Reactivate Account</t>
  </si>
  <si>
    <t>TC-B1-0177</t>
  </si>
  <si>
    <t>Validate service failure and retry for CASA: Regular Savings Account; Current Account (conventional and shariah)</t>
  </si>
  <si>
    <t>Journey is available; simulate a controlled downstream timeout or unsuccessful response. Expected statuses: Account details displayed; Transaction list displayed; S2U success / unsuccessful / authorisation failed for Manage Linked Card, Block Account, Reactivate Account</t>
  </si>
  <si>
    <t>TC-B1-0178</t>
  </si>
  <si>
    <t>Open RDN Konvensional (securities nominee account) from valid entry point</t>
  </si>
  <si>
    <t>Eligible user: L3 post-login; personal individual account holder</t>
  </si>
  <si>
    <t>Account / Card / Policy Type: Active RDNK; IDR; no primary, no joint-AND primary; linked to securities firm; Currency / FCY Criteria: IDR only</t>
  </si>
  <si>
    <t>1. Sign in at the required access level.
2. Navigate using: Account Dashboard Landing → Savings &amp; Current tab → RDN card.
3. Select RDN Konvensional (securities nominee account).</t>
  </si>
  <si>
    <t>L3 direct access; no S2U for view; S2U for linked card / block actions per 1.2.1.x</t>
  </si>
  <si>
    <t>Account details displayed; transaction list displayed</t>
  </si>
  <si>
    <t>TC-B1-0179</t>
  </si>
  <si>
    <t>Validate ineligible or unavailable state for RDN Konvensional (securities nominee account)</t>
  </si>
  <si>
    <t>User or product does not meet one configured eligibility condition. Eligible baseline: L3 post-login; personal individual account holder</t>
  </si>
  <si>
    <t>1. Prepare an ineligible, unsupported, blocked, or unavailable test profile.
2. Navigate using: Account Dashboard Landing → Savings &amp; Current tab → RDN card.
3. Attempt to open RDN Konvensional (securities nominee account).</t>
  </si>
  <si>
    <t>TC-B1-0180</t>
  </si>
  <si>
    <t>Complete required authentication for RDN Konvensional (securities nominee account)</t>
  </si>
  <si>
    <t>Eligible user; authentication method is active. Requirement: L3 direct access; no S2U for view; S2U for linked card / block actions per 1.2.1.x</t>
  </si>
  <si>
    <t>TC-B1-0181</t>
  </si>
  <si>
    <t>Reject invalid, cancelled, or expired authentication for RDN Konvensional (securities nominee account)</t>
  </si>
  <si>
    <t>Eligible user; protected action requires authentication. Requirement: L3 direct access; no S2U for view; S2U for linked card / block actions per 1.2.1.x</t>
  </si>
  <si>
    <t>TC-B1-0182</t>
  </si>
  <si>
    <t>1. Open RDN Konvensional (securities nominee account).
2. Navigate to Step 1 — 1.1 Account Dashboard Landing.
3. Perform the action or trigger described by: Step 1.
4. Observe the page, validation, navigation, and resulting state.</t>
  </si>
  <si>
    <t>TC-B1-0183</t>
  </si>
  <si>
    <t>1. Open RDN Konvensional (securities nominee account).
2. Navigate to Step 2 — 1.2 Account Listing (Savings &amp; Current).
3. Perform the action or trigger described by: Step 2 — RDNK card visible in Savings &amp; Current listing.
4. Observe the page, validation, navigation, and resulting state.</t>
  </si>
  <si>
    <t>Step 2 — 1.2 Account Listing (Savings &amp; Current) behaves according to the mapped requirement (Step 2 — RDNK card visible in Savings &amp; Current listing); data, controls, navigation, and status are accurate and consistent.</t>
  </si>
  <si>
    <t>TC-B1-0184</t>
  </si>
  <si>
    <t>1. Open RDN Konvensional (securities nominee account).
2. Navigate to Step 11 — 1.2.2 RDN Konvensional Account Details.
3. Perform the action or trigger described by: Step 11 — Transactions / Summary / Manage tabs; Top Up Quick Action navigates to Local Transfer Own Account with RDN as destination; security company displayed; no primary label; no block account eligibility per product code exclusion.
4. Observe the page, validation, navigation, and resulting state.</t>
  </si>
  <si>
    <t>Step 11 — 1.2.2 RDN Konvensional Account Details behaves according to the mapped requirement (Step 11 — Transactions / Summary / Manage tabs; Top Up Quick Action navigates to Local Transfer Own Account with RDN as destination; security company displayed; no primary label; no block account eligibility per product code exclusion); data, controls, navigation, and status are accurate and consistent.</t>
  </si>
  <si>
    <t>TC-B1-0185</t>
  </si>
  <si>
    <t>1. Open RDN Konvensional (securities nominee account).
2. Navigate to ViewAllTrans — Transaction History Display Rule.
3. Perform the action or trigger described by: Transactions tab: latest 10; YTD + last 2 years; ViewAllTrans via sticky hyperlink.
4. Observe the page, validation, navigation, and resulting state.</t>
  </si>
  <si>
    <t>ViewAllTrans — Transaction History Display Rule behaves according to the mapped requirement (Transactions tab: latest 10; YTD + last 2 years; ViewAllTrans via sticky hyperlink); data, controls, navigation, and status are accurate and consistent.</t>
  </si>
  <si>
    <t>TC-B1-0186</t>
  </si>
  <si>
    <t>1. Open RDN Konvensional (securities nominee account).
2. Navigate to Sorting / Display Order.
3. Perform the action or trigger described by: Sorted within Savings &amp; Current by product name then account number.
4. Observe the page, validation, navigation, and resulting state.</t>
  </si>
  <si>
    <t>Sorting / Display Order behaves according to the mapped requirement (Sorted within Savings &amp; Current by product name then account number); data, controls, navigation, and status are accurate and consistent.</t>
  </si>
  <si>
    <t>TC-B1-0187</t>
  </si>
  <si>
    <t>Eligible user and product are available. Trigger the stated condition: Not applicable (no joint-AND for RDNK)</t>
  </si>
  <si>
    <t>1. Open RDN Konvensional (securities nominee account).
2. Navigate to Joint-AND Account Restrictions.
3. Perform the action or trigger described by: Not applicable (no joint-AND for RDNK).
4. Observe the page, validation, navigation, and resulting state.</t>
  </si>
  <si>
    <t>Joint-AND Account Restrictions behaves according to the mapped requirement (Not applicable (no joint-AND for RDNK)); data, controls, navigation, and status are accurate and consistent.</t>
  </si>
  <si>
    <t>TC-B1-0188</t>
  </si>
  <si>
    <t>Eligible user and product are available. Trigger the stated condition: Not applicable</t>
  </si>
  <si>
    <t>1. Open RDN Konvensional (securities nominee account).
2. Navigate to Business Profile / IBO Disclaimer.
3. Perform the action or trigger described by: Not applicable.
4. Observe the page, validation, navigation, and resulting state.</t>
  </si>
  <si>
    <t>Business Profile / IBO Disclaimer behaves according to the mapped requirement (Not applicable); data, controls, navigation, and status are accurate and consistent.</t>
  </si>
  <si>
    <t>TC-B1-0189</t>
  </si>
  <si>
    <t>1. Open RDN Konvensional (securities nominee account).
2. Navigate to External FSD References.
3. Perform the action or trigger described by: Add/Edit Nickname: refer to AD Common FSD; Top Up navigates to Local Transfer FSD.
4. Observe the page, validation, navigation, and resulting state.</t>
  </si>
  <si>
    <t>External FSD References behaves according to the mapped requirement (Add/Edit Nickname: refer to AD Common FSD; Top Up navigates to Local Transfer FSD); data, controls, navigation, and status are accurate and consistent.</t>
  </si>
  <si>
    <t>TC-B1-0190</t>
  </si>
  <si>
    <t>Validate successful final state for RDN Konvensional (securities nominee account)</t>
  </si>
  <si>
    <t>All required inputs and services are valid. Expected statuses: Account details displayed; transaction list displayed</t>
  </si>
  <si>
    <t>TC-B1-0191</t>
  </si>
  <si>
    <t>Validate service failure and retry for RDN Konvensional (securities nominee account)</t>
  </si>
  <si>
    <t>Journey is available; simulate a controlled downstream timeout or unsuccessful response. Expected statuses: Account details displayed; transaction list displayed</t>
  </si>
  <si>
    <t>TC-B1-0192</t>
  </si>
  <si>
    <t>Open UGoalSaver (term savings with scheduled debit) from valid entry point</t>
  </si>
  <si>
    <t>Eligible user: L3 post-login; individual account holder (no joint, no primary)</t>
  </si>
  <si>
    <t>Account / Card / Policy Type: Active UGoalSaver; conventional or shariah; with linked parent account; Currency / FCY Criteria: IDR only; Inferred — requires confirmation for FCY variant</t>
  </si>
  <si>
    <t>1. Sign in at the required access level.
2. Navigate using: Account Dashboard Landing → Savings &amp; Current tab → UGoalSaver card.
3. Select UGoalSaver (term savings with scheduled debit).</t>
  </si>
  <si>
    <t>L3 direct access; no S2U for view</t>
  </si>
  <si>
    <t>TC-B1-0193</t>
  </si>
  <si>
    <t>Validate ineligible or unavailable state for UGoalSaver (term savings with scheduled debit)</t>
  </si>
  <si>
    <t>User or product does not meet one configured eligibility condition. Eligible baseline: L3 post-login; individual account holder (no joint, no primary)</t>
  </si>
  <si>
    <t>1. Prepare an ineligible, unsupported, blocked, or unavailable test profile.
2. Navigate using: Account Dashboard Landing → Savings &amp; Current tab → UGoalSaver card.
3. Attempt to open UGoalSaver (term savings with scheduled debit).</t>
  </si>
  <si>
    <t>TC-B1-0194</t>
  </si>
  <si>
    <t>Complete required authentication for UGoalSaver (term savings with scheduled debit)</t>
  </si>
  <si>
    <t>Eligible user; authentication method is active. Requirement: L3 direct access; no S2U for view</t>
  </si>
  <si>
    <t>TC-B1-0195</t>
  </si>
  <si>
    <t>Reject invalid, cancelled, or expired authentication for UGoalSaver (term savings with scheduled debit)</t>
  </si>
  <si>
    <t>Eligible user; protected action requires authentication. Requirement: L3 direct access; no S2U for view</t>
  </si>
  <si>
    <t>TC-B1-0196</t>
  </si>
  <si>
    <t>1. Open UGoalSaver (term savings with scheduled debit).
2. Navigate to Step 1 — 1.1 Account Dashboard Landing.
3. Perform the action or trigger described by: Step 1.
4. Observe the page, validation, navigation, and resulting state.</t>
  </si>
  <si>
    <t>TC-B1-0197</t>
  </si>
  <si>
    <t>1. Open UGoalSaver (term savings with scheduled debit).
2. Navigate to Step 2 — 1.2 Account Listing (Savings &amp; Current).
3. Perform the action or trigger described by: Step 2 — UGoalSaver card visible in Savings &amp; Current listing.
4. Observe the page, validation, navigation, and resulting state.</t>
  </si>
  <si>
    <t>Step 2 — 1.2 Account Listing (Savings &amp; Current) behaves according to the mapped requirement (Step 2 — UGoalSaver card visible in Savings &amp; Current listing); data, controls, navigation, and status are accurate and consistent.</t>
  </si>
  <si>
    <t>TC-B1-0198</t>
  </si>
  <si>
    <t>1. Open UGoalSaver (term savings with scheduled debit).
2. Navigate to Step 12 — 1.2.3 UGoalSaver Account Details.
3. Perform the action or trigger described by: Step 12 — Transactions / Summary / Manage tabs; Summary: term details (tenure, maturity date), scheduled debits (initial deposit, monthly debit, next debit date), returns (interest/indicative rate, accrued interest/profit), linked parent account.
4. Observe the page, validation, navigation, and resulting state.</t>
  </si>
  <si>
    <t>Step 12 — 1.2.3 UGoalSaver Account Details behaves according to the mapped requirement (Step 12 — Transactions / Summary / Manage tabs; Summary: term details (tenure, maturity date), scheduled debits (initial deposit, monthly debit, next debit date), returns (interest/indicative rate, accrued interest/profit), linked parent account); data, controls, navigation, and status are accurate and consistent.</t>
  </si>
  <si>
    <t>TC-B1-0199</t>
  </si>
  <si>
    <t>1. Open UGoalSaver (term savings with scheduled debit).
2. Navigate to ViewAllTrans — Transaction History Display Rule.
3. Perform the action or trigger described by: Transactions tab: latest 10; YTD + last 2 years; ViewAllTrans via sticky hyperlink.
4. Observe the page, validation, navigation, and resulting state.</t>
  </si>
  <si>
    <t>TC-B1-0200</t>
  </si>
  <si>
    <t>1. Open UGoalSaver (term savings with scheduled debit).
2. Navigate to Sorting / Display Order.
3. Perform the action or trigger described by: Sorted within Savings &amp; Current by product name then account number.
4. Observe the page, validation, navigation, and resulting state.</t>
  </si>
  <si>
    <t>TC-B1-0201</t>
  </si>
  <si>
    <t>Eligible user and product are available. Trigger the stated condition: Not applicable (UGoalSaver cannot be joint)</t>
  </si>
  <si>
    <t>1. Open UGoalSaver (term savings with scheduled debit).
2. Navigate to Joint-AND Account Restrictions.
3. Perform the action or trigger described by: Not applicable (UGoalSaver cannot be joint).
4. Observe the page, validation, navigation, and resulting state.</t>
  </si>
  <si>
    <t>Joint-AND Account Restrictions behaves according to the mapped requirement (Not applicable (UGoalSaver cannot be joint)); data, controls, navigation, and status are accurate and consistent.</t>
  </si>
  <si>
    <t>TC-B1-0202</t>
  </si>
  <si>
    <t>1. Open UGoalSaver (term savings with scheduled debit).
2. Navigate to Business Profile / IBO Disclaimer.
3. Perform the action or trigger described by: Not applicable.
4. Observe the page, validation, navigation, and resulting state.</t>
  </si>
  <si>
    <t>TC-B1-0203</t>
  </si>
  <si>
    <t>1. Open UGoalSaver (term savings with scheduled debit).
2. Navigate to External FSD References.
3. Perform the action or trigger described by: Add/Edit Nickname: refer to AD Common FSD.
4. Observe the page, validation, navigation, and resulting state.</t>
  </si>
  <si>
    <t>External FSD References behaves according to the mapped requirement (Add/Edit Nickname: refer to AD Common FSD); data, controls, navigation, and status are accurate and consistent.</t>
  </si>
  <si>
    <t>TC-B1-0204</t>
  </si>
  <si>
    <t>Validate successful final state for UGoalSaver (term savings with scheduled debit)</t>
  </si>
  <si>
    <t>TC-B1-0205</t>
  </si>
  <si>
    <t>Validate service failure and retry for UGoalSaver (term savings with scheduled debit)</t>
  </si>
  <si>
    <t>TC-B1-0206</t>
  </si>
  <si>
    <t>Open MyPlan Plus / MaybankGift (term savings with auto-debit and gift campaign) from valid entry point</t>
  </si>
  <si>
    <t>Account / Card / Policy Type: Active MyPlan Plus with MaybankGift; conventional or shariah; with linked parent account; Currency / FCY Criteria: IDR; FCY conversion via ECLIPSE/NGBO if account currency is FCY</t>
  </si>
  <si>
    <t>1. Sign in at the required access level.
2. Navigate using: Account Dashboard Landing → Savings &amp; Current tab → MyPlan Plus card.
3. Select MyPlan Plus / MaybankGift (term savings with auto-debit and gift campaign).</t>
  </si>
  <si>
    <t>Account details displayed; transaction list displayed; Failed auto-debit count displayed</t>
  </si>
  <si>
    <t>TC-B1-0207</t>
  </si>
  <si>
    <t>Validate ineligible or unavailable state for MyPlan Plus / MaybankGift (term savings with auto-debit and gift campaign)</t>
  </si>
  <si>
    <t>1. Prepare an ineligible, unsupported, blocked, or unavailable test profile.
2. Navigate using: Account Dashboard Landing → Savings &amp; Current tab → MyPlan Plus card.
3. Attempt to open MyPlan Plus / MaybankGift (term savings with auto-debit and gift campaign).</t>
  </si>
  <si>
    <t>TC-B1-0208</t>
  </si>
  <si>
    <t>Complete required authentication for MyPlan Plus / MaybankGift (term savings with auto-debit and gift campaign)</t>
  </si>
  <si>
    <t>TC-B1-0209</t>
  </si>
  <si>
    <t>Reject invalid, cancelled, or expired authentication for MyPlan Plus / MaybankGift (term savings with auto-debit and gift campaign)</t>
  </si>
  <si>
    <t>TC-B1-0210</t>
  </si>
  <si>
    <t>1. Open MyPlan Plus / MaybankGift (term savings with auto-debit and gift campaign).
2. Navigate to Step 1 — 1.1 Account Dashboard Landing.
3. Perform the action or trigger described by: Step 1.
4. Observe the page, validation, navigation, and resulting state.</t>
  </si>
  <si>
    <t>TC-B1-0211</t>
  </si>
  <si>
    <t>1. Open MyPlan Plus / MaybankGift (term savings with auto-debit and gift campaign).
2. Navigate to Step 2 — 1.2 Account Listing (Savings &amp; Current).
3. Perform the action or trigger described by: Step 2 — MyPlan Plus card visible in Savings &amp; Current listing.
4. Observe the page, validation, navigation, and resulting state.</t>
  </si>
  <si>
    <t>Step 2 — 1.2 Account Listing (Savings &amp; Current) behaves according to the mapped requirement (Step 2 — MyPlan Plus card visible in Savings &amp; Current listing); data, controls, navigation, and status are accurate and consistent.</t>
  </si>
  <si>
    <t>TC-B1-0212</t>
  </si>
  <si>
    <t>1. Open MyPlan Plus / MaybankGift (term savings with auto-debit and gift campaign).
2. Navigate to Step 13 — 1.2.4 MyPlan Plus (MaybankGift) Account Details.
3. Perform the action or trigger described by: Step 13 — Transactions / Summary / Manage tabs; Summary: term details, scheduled debits, failed auto-debit attempts (tooltip drawer), returns, MaybankGift banner (in-app webview), penalty/cancellation charge, linked parent account; &gt;3 failed debits closes account — Needs PO/BA clarification (post sign-off item).
4. Observe the page, validation, navigation, and resulting state.</t>
  </si>
  <si>
    <t>Step 13 — 1.2.4 MyPlan Plus (MaybankGift) Account Details behaves according to the mapped requirement (Step 13 — Transactions / Summary / Manage tabs; Summary: term details, scheduled debits, failed auto-debit attempts (tooltip drawer), returns, MaybankGift banner (in-app webview), penalty/cancellation charge, linked parent account; &gt;3 failed debits closes account — Needs PO/BA clarification (post sign-off item)); data, controls, navigation, and status are accurate and consistent.</t>
  </si>
  <si>
    <t>TC-B1-0213</t>
  </si>
  <si>
    <t>1. Open MyPlan Plus / MaybankGift (term savings with auto-debit and gift campaign).
2. Navigate to ViewAllTrans — Transaction History Display Rule.
3. Perform the action or trigger described by: Transactions tab: latest 10; YTD + last 2 years; ViewAllTrans via sticky hyperlink.
4. Observe the page, validation, navigation, and resulting state.</t>
  </si>
  <si>
    <t>TC-B1-0214</t>
  </si>
  <si>
    <t>1. Open MyPlan Plus / MaybankGift (term savings with auto-debit and gift campaign).
2. Navigate to Sorting / Display Order.
3. Perform the action or trigger described by: Sorted within Savings &amp; Current by product name then account number.
4. Observe the page, validation, navigation, and resulting state.</t>
  </si>
  <si>
    <t>TC-B1-0215</t>
  </si>
  <si>
    <t>Eligible user and product are available. Trigger the stated condition: Not applicable (MyPlan Plus cannot be joint)</t>
  </si>
  <si>
    <t>1. Open MyPlan Plus / MaybankGift (term savings with auto-debit and gift campaign).
2. Navigate to Joint-AND Account Restrictions.
3. Perform the action or trigger described by: Not applicable (MyPlan Plus cannot be joint).
4. Observe the page, validation, navigation, and resulting state.</t>
  </si>
  <si>
    <t>Joint-AND Account Restrictions behaves according to the mapped requirement (Not applicable (MyPlan Plus cannot be joint)); data, controls, navigation, and status are accurate and consistent.</t>
  </si>
  <si>
    <t>TC-B1-0216</t>
  </si>
  <si>
    <t>1. Open MyPlan Plus / MaybankGift (term savings with auto-debit and gift campaign).
2. Navigate to Business Profile / IBO Disclaimer.
3. Perform the action or trigger described by: Not applicable.
4. Observe the page, validation, navigation, and resulting state.</t>
  </si>
  <si>
    <t>TC-B1-0217</t>
  </si>
  <si>
    <t>1. Open MyPlan Plus / MaybankGift (term savings with auto-debit and gift campaign).
2. Navigate to External FSD References.
3. Perform the action or trigger described by: Add/Edit Nickname: refer to AD Common FSD.
4. Observe the page, validation, navigation, and resulting state.</t>
  </si>
  <si>
    <t>TC-B1-0218</t>
  </si>
  <si>
    <t>Validate successful final state for MyPlan Plus / MaybankGift (term savings with auto-debit and gift campaign)</t>
  </si>
  <si>
    <t>All required inputs and services are valid. Expected statuses: Account details displayed; transaction list displayed; Failed auto-debit count displayed</t>
  </si>
  <si>
    <t>TC-B1-0219</t>
  </si>
  <si>
    <t>Validate service failure and retry for MyPlan Plus / MaybankGift (term savings with auto-debit and gift campaign)</t>
  </si>
  <si>
    <t>Journey is available; simulate a controlled downstream timeout or unsuccessful response. Expected statuses: Account details displayed; transaction list displayed; Failed auto-debit count displayed</t>
  </si>
  <si>
    <t>TC-B1-0220</t>
  </si>
  <si>
    <t>Open MyPlan Term Savings (term savings with auto-debit) from valid entry point</t>
  </si>
  <si>
    <t>Account / Card / Policy Type: Active MyPlan Term Savings; conventional or shariah; with linked parent account; Currency / FCY Criteria: IDR; penalty/cancellation charges in IDR</t>
  </si>
  <si>
    <t>1. Sign in at the required access level.
2. Navigate using: Account Dashboard Landing → Savings &amp; Current tab → MyPlan Term Savings card.
3. Select MyPlan Term Savings (term savings with auto-debit).</t>
  </si>
  <si>
    <t>TC-B1-0221</t>
  </si>
  <si>
    <t>Validate ineligible or unavailable state for MyPlan Term Savings (term savings with auto-debit)</t>
  </si>
  <si>
    <t>1. Prepare an ineligible, unsupported, blocked, or unavailable test profile.
2. Navigate using: Account Dashboard Landing → Savings &amp; Current tab → MyPlan Term Savings card.
3. Attempt to open MyPlan Term Savings (term savings with auto-debit).</t>
  </si>
  <si>
    <t>TC-B1-0222</t>
  </si>
  <si>
    <t>Complete required authentication for MyPlan Term Savings (term savings with auto-debit)</t>
  </si>
  <si>
    <t>TC-B1-0223</t>
  </si>
  <si>
    <t>Reject invalid, cancelled, or expired authentication for MyPlan Term Savings (term savings with auto-debit)</t>
  </si>
  <si>
    <t>TC-B1-0224</t>
  </si>
  <si>
    <t>1. Open MyPlan Term Savings (term savings with auto-debit).
2. Navigate to Step 1 — 1.1 Account Dashboard Landing.
3. Perform the action or trigger described by: Step 1.
4. Observe the page, validation, navigation, and resulting state.</t>
  </si>
  <si>
    <t>TC-B1-0225</t>
  </si>
  <si>
    <t>1. Open MyPlan Term Savings (term savings with auto-debit).
2. Navigate to Step 2 — 1.2 Account Listing (Savings &amp; Current).
3. Perform the action or trigger described by: Step 2 — MyPlan Term Savings card visible in Savings &amp; Current listing.
4. Observe the page, validation, navigation, and resulting state.</t>
  </si>
  <si>
    <t>Step 2 — 1.2 Account Listing (Savings &amp; Current) behaves according to the mapped requirement (Step 2 — MyPlan Term Savings card visible in Savings &amp; Current listing); data, controls, navigation, and status are accurate and consistent.</t>
  </si>
  <si>
    <t>TC-B1-0226</t>
  </si>
  <si>
    <t>1. Open MyPlan Term Savings (term savings with auto-debit).
2. Navigate to Step 5 — 1.2.1.2 ViewAllTrans.
3. Perform the action or trigger described by: Step 5.
4. Observe the page, validation, navigation, and resulting state.</t>
  </si>
  <si>
    <t>Step 5 — 1.2.1.2 ViewAllTrans behaves according to the mapped requirement (Step 5); data, controls, navigation, and status are accurate and consistent.</t>
  </si>
  <si>
    <t>TC-B1-0227</t>
  </si>
  <si>
    <t>1. Open MyPlan Term Savings (term savings with auto-debit).
2. Navigate to Step 14 — 1.2.5 MyPlan Term Savings Account Details.
3. Perform the action or trigger described by: Step 14 — Transactions / Summary / Manage tabs; Summary: term details, scheduled debits, failed auto-debit attempts (tooltip drawer), returns, penalty/cancellation charge, linked parent account; &gt;3 failed debits closes account — Needs PO/BA clarification (post sign-off item).
4. Observe the page, validation, navigation, and resulting state.</t>
  </si>
  <si>
    <t>Step 14 — 1.2.5 MyPlan Term Savings Account Details behaves according to the mapped requirement (Step 14 — Transactions / Summary / Manage tabs; Summary: term details, scheduled debits, failed auto-debit attempts (tooltip drawer), returns, penalty/cancellation charge, linked parent account; &gt;3 failed debits closes account — Needs PO/BA clarification (post sign-off item)); data, controls, navigation, and status are accurate and consistent.</t>
  </si>
  <si>
    <t>TC-B1-0228</t>
  </si>
  <si>
    <t>1. Open MyPlan Term Savings (term savings with auto-debit).
2. Navigate to ViewAllTrans — Transaction History Display Rule.
3. Perform the action or trigger described by: Transactions tab: latest 10; YTD + last 2 years; ViewAllTrans via sticky hyperlink.
4. Observe the page, validation, navigation, and resulting state.</t>
  </si>
  <si>
    <t>TC-B1-0229</t>
  </si>
  <si>
    <t>1. Open MyPlan Term Savings (term savings with auto-debit).
2. Navigate to Sorting / Display Order.
3. Perform the action or trigger described by: Sorted within Savings &amp; Current by product name then account number.
4. Observe the page, validation, navigation, and resulting state.</t>
  </si>
  <si>
    <t>TC-B1-0230</t>
  </si>
  <si>
    <t>Eligible user and product are available. Trigger the stated condition: Not applicable (MyPlan Term Savings cannot be joint)</t>
  </si>
  <si>
    <t>1. Open MyPlan Term Savings (term savings with auto-debit).
2. Navigate to Joint-AND Account Restrictions.
3. Perform the action or trigger described by: Not applicable (MyPlan Term Savings cannot be joint).
4. Observe the page, validation, navigation, and resulting state.</t>
  </si>
  <si>
    <t>Joint-AND Account Restrictions behaves according to the mapped requirement (Not applicable (MyPlan Term Savings cannot be joint)); data, controls, navigation, and status are accurate and consistent.</t>
  </si>
  <si>
    <t>TC-B1-0231</t>
  </si>
  <si>
    <t>1. Open MyPlan Term Savings (term savings with auto-debit).
2. Navigate to Business Profile / IBO Disclaimer.
3. Perform the action or trigger described by: Not applicable.
4. Observe the page, validation, navigation, and resulting state.</t>
  </si>
  <si>
    <t>TC-B1-0232</t>
  </si>
  <si>
    <t>1. Open MyPlan Term Savings (term savings with auto-debit).
2. Navigate to External FSD References.
3. Perform the action or trigger described by: Add/Edit Nickname: refer to AD Common FSD.
4. Observe the page, validation, navigation, and resulting state.</t>
  </si>
  <si>
    <t>TC-B1-0233</t>
  </si>
  <si>
    <t>Validate successful final state for MyPlan Term Savings (term savings with auto-debit)</t>
  </si>
  <si>
    <t>TC-B1-0234</t>
  </si>
  <si>
    <t>Validate service failure and retry for MyPlan Term Savings (term savings with auto-debit)</t>
  </si>
  <si>
    <t>TC-B1-0235</t>
  </si>
  <si>
    <t>Open Global Access Account — multicurrency IDR-base from valid entry point</t>
  </si>
  <si>
    <t>Eligible user: L3 post-login; individual account holder; Joint-AND restrictions apply</t>
  </si>
  <si>
    <t>Account / Card / Policy Type: Active / Inactive / Blocked / Closed GAA; IDR base + FCY buckets; conventional or shariah; product codes 083–086, 341–348; Currency / FCY Criteria: IDR base + configurable FCY per country (NGBO); indicative IDR balances with '≈'; exchange rate from CMS/NGBO</t>
  </si>
  <si>
    <t>1. Sign in at the required access level.
2. Navigate using: Account Dashboard Landing → Savings &amp; Current tab → Global Access card.
3. Select Global Access Account — multicurrency IDR-base.</t>
  </si>
  <si>
    <t>L3 direct access; S2U required for: Remove Currency (with balance), Manage Linked Card, Block Account</t>
  </si>
  <si>
    <t>Account details displayed; currency buckets displayed; S2U success / unsuccessful / authorisation failed for Remove Currency, Manage Linked Card, Block Account</t>
  </si>
  <si>
    <t>TC-B1-0236</t>
  </si>
  <si>
    <t>Validate ineligible or unavailable state for Global Access Account — multicurrency IDR-base</t>
  </si>
  <si>
    <t>User or product does not meet one configured eligibility condition. Eligible baseline: L3 post-login; individual account holder; Joint-AND restrictions apply</t>
  </si>
  <si>
    <t>1. Prepare an ineligible, unsupported, blocked, or unavailable test profile.
2. Navigate using: Account Dashboard Landing → Savings &amp; Current tab → Global Access card.
3. Attempt to open Global Access Account — multicurrency IDR-base.</t>
  </si>
  <si>
    <t>TC-B1-0237</t>
  </si>
  <si>
    <t>Complete required authentication for Global Access Account — multicurrency IDR-base</t>
  </si>
  <si>
    <t>Eligible user; authentication method is active. Requirement: L3 direct access; S2U required for: Remove Currency (with balance), Manage Linked Card, Block Account</t>
  </si>
  <si>
    <t>TC-B1-0238</t>
  </si>
  <si>
    <t>Reject invalid, cancelled, or expired authentication for Global Access Account — multicurrency IDR-base</t>
  </si>
  <si>
    <t>Eligible user; protected action requires authentication. Requirement: L3 direct access; S2U required for: Remove Currency (with balance), Manage Linked Card, Block Account</t>
  </si>
  <si>
    <t>TC-B1-0239</t>
  </si>
  <si>
    <t>1. Open Global Access Account — multicurrency IDR-base.
2. Navigate to Step 1 — 1.1 Account Dashboard Landing.
3. Perform the action or trigger described by: Step 1.
4. Observe the page, validation, navigation, and resulting state.</t>
  </si>
  <si>
    <t>TC-B1-0240</t>
  </si>
  <si>
    <t>Eligible user and product are available. Trigger the stated condition: Step 2 — GAA card visible in Savings &amp; Current listing; balance shown with '≈' if FCY present</t>
  </si>
  <si>
    <t>1. Open Global Access Account — multicurrency IDR-base.
2. Navigate to Step 2 — 1.2 Account Listing (Savings &amp; Current).
3. Perform the action or trigger described by: Step 2 — GAA card visible in Savings &amp; Current listing; balance shown with '≈' if FCY present.
4. Observe the page, validation, navigation, and resulting state.</t>
  </si>
  <si>
    <t>Step 2 — 1.2 Account Listing (Savings &amp; Current) behaves according to the mapped requirement (Step 2 — GAA card visible in Savings &amp; Current listing; balance shown with '≈' if FCY present); data, controls, navigation, and status are accurate and consistent.</t>
  </si>
  <si>
    <t>TC-B1-0241</t>
  </si>
  <si>
    <t>Eligible user and product are available. Trigger the stated condition: Step 5 — Transaction Currency filter applicable</t>
  </si>
  <si>
    <t>1. Open Global Access Account — multicurrency IDR-base.
2. Navigate to Step 5 — 1.2.1.2 ViewAllTrans.
3. Perform the action or trigger described by: Step 5 — Transaction Currency filter applicable.
4. Observe the page, validation, navigation, and resulting state.</t>
  </si>
  <si>
    <t>Step 5 — 1.2.1.2 ViewAllTrans behaves according to the mapped requirement (Step 5 — Transaction Currency filter applicable); data, controls, navigation, and status are accurate and consistent.</t>
  </si>
  <si>
    <t>TC-B1-0242</t>
  </si>
  <si>
    <t>Eligible user and product are available. Trigger the stated condition: Step 6 — only GAA debit cards eligible</t>
  </si>
  <si>
    <t>1. Open Global Access Account — multicurrency IDR-base.
2. Navigate to Step 6 — 1.2.1.3 ManageLinkedCard.
3. Perform the action or trigger described by: Step 6 — only GAA debit cards eligible.
4. Observe the page, validation, navigation, and resulting state.</t>
  </si>
  <si>
    <t>Step 6 — 1.2.1.3 ManageLinkedCard behaves according to the mapped requirement (Step 6 — only GAA debit cards eligible); data, controls, navigation, and status are accurate and consistent.</t>
  </si>
  <si>
    <t>TC-B1-0243</t>
  </si>
  <si>
    <t>1. Open Global Access Account — multicurrency IDR-base.
2. Navigate to Step 7 — 1.2.1.4 BlockAccount.
3. Perform the action or trigger described by: Step 7.
4. Observe the page, validation, navigation, and resulting state.</t>
  </si>
  <si>
    <t>Step 7 — 1.2.1.4 BlockAccount behaves according to the mapped requirement (Step 7); data, controls, navigation, and status are accurate and consistent.</t>
  </si>
  <si>
    <t>TC-B1-0244</t>
  </si>
  <si>
    <t>Eligible user and product are available. Trigger the stated condition: Step 15 — Transactions / Manage tabs (no Summary tab); My Currencies section (IDR base, FCY buckets sorted by IDR first then latest transacted); Add New Currency; View All if &gt;5 currencies; Quick Actions: Convert Currency, Transfer (local/overseas), Currency Calculator, Exchange Rates, View Statements; Manage: Add/Edit Nickname, Set as Primary, Auto Sweep, Manage Linked Card, Block Account</t>
  </si>
  <si>
    <t>1. Open Global Access Account — multicurrency IDR-base.
2. Navigate to Step 15 — 1.2.6 Global Access Account Details.
3. Perform the action or trigger described by: Step 15 — Transactions / Manage tabs (no Summary tab); My Currencies section (IDR base, FCY buckets sorted by IDR first then latest transacted); Add New Currency; View All if &gt;5 currencies; Quick Actions: Convert Currency, Transfer (local/overseas), Currency Calculator, Exchange Rates, View Statements; Manage: Add/Edit Nickname, Set as Primary, Auto Sweep, Manage Linked Card, Block Account.
4. Observe the page, validation, navigation, and resulting state.</t>
  </si>
  <si>
    <t>Step 15 — 1.2.6 Global Access Account Details behaves according to the mapped requirement (Step 15 — Transactions / Manage tabs (no Summary tab); My Currencies section (IDR base, FCY buckets sorted by IDR first then latest transacted); Add New Currency; View All if &gt;5 currencies; Quick Actions: Convert Currency, Transfer (local/overseas), Currency Calculator, Exchange Rates, View Statements; Manage: Add/Edit Nickname, Set as Primary, Auto Sweep, Manage Linked Card, Block Account); data, controls, navigation, and status are accurate and consistent.</t>
  </si>
  <si>
    <t>TC-B1-0245</t>
  </si>
  <si>
    <t>Eligible user and product are available. Trigger the stated condition: Step 16 — Add Currency drawer from GAA Account Details; search by currency code/name/alias (min 2 chars); top 5 traded displayed first; only unadded currencies shown; on selection: currency added at end of My Currencies list, snackbar "Currency added"</t>
  </si>
  <si>
    <t>1. Open Global Access Account — multicurrency IDR-base.
2. Navigate to Step 16 — 1.2.6.1 Add Currency.
3. Perform the action or trigger described by: Step 16 — Add Currency drawer from GAA Account Details; search by currency code/name/alias (min 2 chars); top 5 traded displayed first; only unadded currencies shown; on selection: currency added at end of My Currencies list, snackbar "Currency added".
4. Observe the page, validation, navigation, and resulting state.</t>
  </si>
  <si>
    <t>Step 16 — 1.2.6.1 Add Currency behaves according to the mapped requirement (Step 16 — Add Currency drawer from GAA Account Details; search by currency code/name/alias (min 2 chars); top 5 traded displayed first; only unadded currencies shown; on selection: currency added at end of My Currencies list, snackbar "Currency added"); data, controls, navigation, and status are accurate and consistent.</t>
  </si>
  <si>
    <t>TC-B1-0246</t>
  </si>
  <si>
    <t>1. Open Global Access Account — multicurrency IDR-base.
2. Navigate to Step 17 — 1.2.6.2 View Currency Details.
3. Perform the action or trigger described by: Step 17 — Currency Details screen per currency; currency chevron to switch; Transactions / Summary tabs (IDR: no Manage tab; FCY: Transactions / Summary / Manage tabs); Balance per currency; Account Balance drawer; Quick Actions per currency.
4. Observe the page, validation, navigation, and resulting state.</t>
  </si>
  <si>
    <t>Step 17 — 1.2.6.2 View Currency Details behaves according to the mapped requirement (Step 17 — Currency Details screen per currency; currency chevron to switch; Transactions / Summary tabs (IDR: no Manage tab; FCY: Transactions / Summary / Manage tabs); Balance per currency; Account Balance drawer; Quick Actions per currency); data, controls, navigation, and status are accurate and consistent.</t>
  </si>
  <si>
    <t>TC-B1-0247</t>
  </si>
  <si>
    <t>Eligible user and product are available. Trigger the stated condition: Step 18 — applicable for non-IDR currencies only; if zero balance: remove directly (no S2U); if non-zero balance: Convert Currency flow (S2U required); if linked to Term Savings: blocked with snackbar; currency removal hides bucket (not deleted); conversion fee per RFX module</t>
  </si>
  <si>
    <t>1. Open Global Access Account — multicurrency IDR-base.
2. Navigate to Step 18 — 1.2.6.3 Remove Currency.
3. Perform the action or trigger described by: Step 18 — applicable for non-IDR currencies only; if zero balance: remove directly (no S2U); if non-zero balance: Convert Currency flow (S2U required); if linked to Term Savings: blocked with snackbar; currency removal hides bucket (not deleted); conversion fee per RFX module.
4. Observe the page, validation, navigation, and resulting state.</t>
  </si>
  <si>
    <t>Step 18 — 1.2.6.3 Remove Currency behaves according to the mapped requirement (Step 18 — applicable for non-IDR currencies only; if zero balance: remove directly (no S2U); if non-zero balance: Convert Currency flow (S2U required); if linked to Term Savings: blocked with snackbar; currency removal hides bucket (not deleted); conversion fee per RFX module); data, controls, navigation, and status are accurate and consistent.</t>
  </si>
  <si>
    <t>TC-B1-0248</t>
  </si>
  <si>
    <t>1. Open Global Access Account — multicurrency IDR-base.
2. Navigate to ViewAllTrans — Transaction History Display Rule.
3. Perform the action or trigger described by: Transactions tab: latest 10; YTD + last 2 years; all currencies shown regardless of currency; ViewAllTrans via sticky hyperlink (appears after first scroll).
4. Observe the page, validation, navigation, and resulting state.</t>
  </si>
  <si>
    <t>ViewAllTrans — Transaction History Display Rule behaves according to the mapped requirement (Transactions tab: latest 10; YTD + last 2 years; all currencies shown regardless of currency; ViewAllTrans via sticky hyperlink (appears after first scroll)); data, controls, navigation, and status are accurate and consistent.</t>
  </si>
  <si>
    <t>TC-B1-0249</t>
  </si>
  <si>
    <t>1. Open Global Access Account — multicurrency IDR-base.
2. Navigate to Joint-AND Account Restrictions.
3. Perform the action or trigger described by: Joint-AND restrictions apply same as CASA per NGBO config.
4. Observe the page, validation, navigation, and resulting state.</t>
  </si>
  <si>
    <t>Joint-AND Account Restrictions behaves according to the mapped requirement (Joint-AND restrictions apply same as CASA per NGBO config); data, controls, navigation, and status are accurate and consistent.</t>
  </si>
  <si>
    <t>TC-B1-0250</t>
  </si>
  <si>
    <t>1. Open Global Access Account — multicurrency IDR-base.
2. Navigate to Business Profile / IBO Disclaimer.
3. Perform the action or trigger described by: Not applicable.
4. Observe the page, validation, navigation, and resulting state.</t>
  </si>
  <si>
    <t>TC-B1-0251</t>
  </si>
  <si>
    <t>1. Open Global Access Account — multicurrency IDR-base.
2. Navigate to External FSD References.
3. Perform the action or trigger described by: Add/Edit Nickname: refer to AD Common FSD; Set as Primary: refer to AD Common FSD; Auto Sweep: refer to AD Common FSD; Manage Linked Card: refer to 1.2.1.3; Block Account: refer to 1.2.1.4; View Statements: refer to Document FSD.
4. Observe the page, validation, navigation, and resulting state.</t>
  </si>
  <si>
    <t>External FSD References behaves according to the mapped requirement (Add/Edit Nickname: refer to AD Common FSD; Set as Primary: refer to AD Common FSD; Auto Sweep: refer to AD Common FSD; Manage Linked Card: refer to 1.2.1.3; Block Account: refer to 1.2.1.4; View Statements: refer to Document FSD); data, controls, navigation, and status are accurate and consistent.</t>
  </si>
  <si>
    <t>TC-B1-0252</t>
  </si>
  <si>
    <t>Validate successful final state for Global Access Account — multicurrency IDR-base</t>
  </si>
  <si>
    <t>All required inputs and services are valid. Expected statuses: Account details displayed; currency buckets displayed; S2U success / unsuccessful / authorisation failed for Remove Currency, Manage Linked Card, Block Account</t>
  </si>
  <si>
    <t>TC-B1-0253</t>
  </si>
  <si>
    <t>Validate service failure and retry for Global Access Account — multicurrency IDR-base</t>
  </si>
  <si>
    <t>Journey is available; simulate a controlled downstream timeout or unsuccessful response. Expected statuses: Account details displayed; currency buckets displayed; S2U success / unsuccessful / authorisation failed for Remove Currency, Manage Linked Card, Block Account</t>
  </si>
  <si>
    <t>TC-B1-0254</t>
  </si>
  <si>
    <t>Open Giro Multicurrency Account — USD-base from valid entry point</t>
  </si>
  <si>
    <t>Account / Card / Policy Type: Active / Blocked MCA; USD base + FCY buckets; product codes 082, 298, 299; applied via branch only; Currency / FCY Criteria: USD base + USD, SGD, AUD, GBP, EUR, JPY, CNH; indicative IDR equivalents</t>
  </si>
  <si>
    <t>1. Sign in at the required access level.
2. Navigate using: Account Dashboard Landing → Savings &amp; Current tab → Giro MCA card.
3. Select Giro Multicurrency Account — USD-base.</t>
  </si>
  <si>
    <t>L3 direct access; S2U required for: Manage Linked Card, Block Account</t>
  </si>
  <si>
    <t>Account details displayed; currency buckets displayed; S2U success / unsuccessful / authorisation failed for Manage Linked Card, Block Account</t>
  </si>
  <si>
    <t>TC-B1-0255</t>
  </si>
  <si>
    <t>Validate ineligible or unavailable state for Giro Multicurrency Account — USD-base</t>
  </si>
  <si>
    <t>1. Prepare an ineligible, unsupported, blocked, or unavailable test profile.
2. Navigate using: Account Dashboard Landing → Savings &amp; Current tab → Giro MCA card.
3. Attempt to open Giro Multicurrency Account — USD-base.</t>
  </si>
  <si>
    <t>TC-B1-0256</t>
  </si>
  <si>
    <t>Complete required authentication for Giro Multicurrency Account — USD-base</t>
  </si>
  <si>
    <t>Eligible user; authentication method is active. Requirement: L3 direct access; S2U required for: Manage Linked Card, Block Account</t>
  </si>
  <si>
    <t>TC-B1-0257</t>
  </si>
  <si>
    <t>Reject invalid, cancelled, or expired authentication for Giro Multicurrency Account — USD-base</t>
  </si>
  <si>
    <t>Eligible user; protected action requires authentication. Requirement: L3 direct access; S2U required for: Manage Linked Card, Block Account</t>
  </si>
  <si>
    <t>TC-B1-0258</t>
  </si>
  <si>
    <t>1. Open Giro Multicurrency Account — USD-base.
2. Navigate to Step 1 — 1.1 Account Dashboard Landing.
3. Perform the action or trigger described by: Step 1.
4. Observe the page, validation, navigation, and resulting state.</t>
  </si>
  <si>
    <t>TC-B1-0259</t>
  </si>
  <si>
    <t>1. Open Giro Multicurrency Account — USD-base.
2. Navigate to Step 2 — 1.2 Account Listing (Savings &amp; Current).
3. Perform the action or trigger described by: Step 2 — Giro MCA card visible in Savings &amp; Current listing; balance in USD.
4. Observe the page, validation, navigation, and resulting state.</t>
  </si>
  <si>
    <t>Step 2 — 1.2 Account Listing (Savings &amp; Current) behaves according to the mapped requirement (Step 2 — Giro MCA card visible in Savings &amp; Current listing; balance in USD); data, controls, navigation, and status are accurate and consistent.</t>
  </si>
  <si>
    <t>TC-B1-0260</t>
  </si>
  <si>
    <t>1. Open Giro Multicurrency Account — USD-base.
2. Navigate to Step 5 — 1.2.1.2 ViewAllTrans.
3. Perform the action or trigger described by: Step 5 — Transaction Currency filter applicable.
4. Observe the page, validation, navigation, and resulting state.</t>
  </si>
  <si>
    <t>TC-B1-0261</t>
  </si>
  <si>
    <t>Eligible user and product are available. Trigger the stated condition: Step 6 — applicable per business rules</t>
  </si>
  <si>
    <t>1. Open Giro Multicurrency Account — USD-base.
2. Navigate to Step 6 — 1.2.1.3 ManageLinkedCard.
3. Perform the action or trigger described by: Step 6 — applicable per business rules.
4. Observe the page, validation, navigation, and resulting state.</t>
  </si>
  <si>
    <t>Step 6 — 1.2.1.3 ManageLinkedCard behaves according to the mapped requirement (Step 6 — applicable per business rules); data, controls, navigation, and status are accurate and consistent.</t>
  </si>
  <si>
    <t>TC-B1-0262</t>
  </si>
  <si>
    <t>1. Open Giro Multicurrency Account — USD-base.
2. Navigate to Step 7 — 1.2.1.4 BlockAccount.
3. Perform the action or trigger described by: Step 7.
4. Observe the page, validation, navigation, and resulting state.</t>
  </si>
  <si>
    <t>TC-B1-0263</t>
  </si>
  <si>
    <t>Eligible user and product are available. Trigger the stated condition: Step 17 — Currency Details reused per 1.2.6.2; USD base has no Manage tab; FCY buckets have Transactions / Summary only (Needs PO/BA clarification — MCA Manage tab scope)</t>
  </si>
  <si>
    <t>1. Open Giro Multicurrency Account — USD-base.
2. Navigate to Step 17 — 1.2.6.2 View Currency Details.
3. Perform the action or trigger described by: Step 17 — Currency Details reused per 1.2.6.2; USD base has no Manage tab; FCY buckets have Transactions / Summary only (Needs PO/BA clarification — MCA Manage tab scope).
4. Observe the page, validation, navigation, and resulting state.</t>
  </si>
  <si>
    <t>Step 17 — 1.2.6.2 View Currency Details behaves according to the mapped requirement (Step 17 — Currency Details reused per 1.2.6.2; USD base has no Manage tab; FCY buckets have Transactions / Summary only (Needs PO/BA clarification — MCA Manage tab scope)); data, controls, navigation, and status are accurate and consistent.</t>
  </si>
  <si>
    <t>TC-B1-0264</t>
  </si>
  <si>
    <t>Eligible user and product are available. Trigger the stated condition: Step 19 — Transactions / Manage tabs; USD base currency; My Currencies (USD first, then latest transacted, then newly added; allowed: USD, SGD, AUD, GBP, EUR, JPY, CNH); overdraft applicable; Manage: Add/Edit Nickname, Set as Primary, Manage Linked Card, Block Account; FCY deposit via branch/ATM auto-displays bucket</t>
  </si>
  <si>
    <t>1. Open Giro Multicurrency Account — USD-base.
2. Navigate to Step 19 — 1.2.7 Giro Multicurrency Account Details.
3. Perform the action or trigger described by: Step 19 — Transactions / Manage tabs; USD base currency; My Currencies (USD first, then latest transacted, then newly added; allowed: USD, SGD, AUD, GBP, EUR, JPY, CNH); overdraft applicable; Manage: Add/Edit Nickname, Set as Primary, Manage Linked Card, Block Account; FCY deposit via branch/ATM auto-displays bucket.
4. Observe the page, validation, navigation, and resulting state.</t>
  </si>
  <si>
    <t>Step 19 — 1.2.7 Giro Multicurrency Account Details behaves according to the mapped requirement (Step 19 — Transactions / Manage tabs; USD base currency; My Currencies (USD first, then latest transacted, then newly added; allowed: USD, SGD, AUD, GBP, EUR, JPY, CNH); overdraft applicable; Manage: Add/Edit Nickname, Set as Primary, Manage Linked Card, Block Account; FCY deposit via branch/ATM auto-displays bucket); data, controls, navigation, and status are accurate and consistent.</t>
  </si>
  <si>
    <t>TC-B1-0265</t>
  </si>
  <si>
    <t>1. Open Giro Multicurrency Account — USD-base.
2. Navigate to ViewAllTrans — Transaction History Display Rule.
3. Perform the action or trigger described by: Transactions tab: latest 10; YTD + last 2 years; ViewAllTrans via sticky hyperlink.
4. Observe the page, validation, navigation, and resulting state.</t>
  </si>
  <si>
    <t>TC-B1-0266</t>
  </si>
  <si>
    <t>1. Open Giro Multicurrency Account — USD-base.
2. Navigate to Joint-AND Account Restrictions.
3. Perform the action or trigger described by: Joint-AND restrictions apply same as CASA per NGBO config.
4. Observe the page, validation, navigation, and resulting state.</t>
  </si>
  <si>
    <t>TC-B1-0267</t>
  </si>
  <si>
    <t>1. Open Giro Multicurrency Account — USD-base.
2. Navigate to Business Profile / IBO Disclaimer.
3. Perform the action or trigger described by: Not applicable.
4. Observe the page, validation, navigation, and resulting state.</t>
  </si>
  <si>
    <t>TC-B1-0268</t>
  </si>
  <si>
    <t>1. Open Giro Multicurrency Account — USD-base.
2. Navigate to External FSD References.
3. Perform the action or trigger described by: Add/Edit Nickname: refer to AD Common FSD; Set as Primary: refer to AD Common FSD; Manage Linked Card: refer to 1.2.1.3; Block Account: refer to 1.2.1.4; View Statements: refer to Document FSD.
4. Observe the page, validation, navigation, and resulting state.</t>
  </si>
  <si>
    <t>External FSD References behaves according to the mapped requirement (Add/Edit Nickname: refer to AD Common FSD; Set as Primary: refer to AD Common FSD; Manage Linked Card: refer to 1.2.1.3; Block Account: refer to 1.2.1.4; View Statements: refer to Document FSD); data, controls, navigation, and status are accurate and consistent.</t>
  </si>
  <si>
    <t>TC-B1-0269</t>
  </si>
  <si>
    <t>Validate successful final state for Giro Multicurrency Account — USD-base</t>
  </si>
  <si>
    <t>All required inputs and services are valid. Expected statuses: Account details displayed; currency buckets displayed; S2U success / unsuccessful / authorisation failed for Manage Linked Card, Block Account</t>
  </si>
  <si>
    <t>TC-B1-0270</t>
  </si>
  <si>
    <t>Validate service failure and retry for Giro Multicurrency Account — USD-base</t>
  </si>
  <si>
    <t>Journey is available; simulate a controlled downstream timeout or unsuccessful response. Expected statuses: Account details displayed; currency buckets displayed; S2U success / unsuccessful / authorisation failed for Manage Linked Card, Block Account</t>
  </si>
  <si>
    <t>TC-B1-0271</t>
  </si>
  <si>
    <t>Open Debit Card (all product codes per NGBO BIN-PAN mapping) from valid entry point</t>
  </si>
  <si>
    <t>Eligible user: L3 post-login; personal card holder</t>
  </si>
  <si>
    <t>Account / Card / Policy Type: Active / Temporarily Blocked / Blocked / Pending Activation debit card; Global Access card vs standard debit card distinguished via BIN-PAN; Currency / FCY Criteria: IDR; replacement fee in IDR for FCY debit cards as well</t>
  </si>
  <si>
    <t>1. Sign in at the required access level.
2. Navigate using: Account Dashboard Landing → Cards tab → Debit Card sub-tab; or Account Details → View linked card.
3. Select Debit Card (all product codes per NGBO BIN-PAN mapping).</t>
  </si>
  <si>
    <t>The correct Dashboard — Cards page opens and relevant product information is displayed without error.</t>
  </si>
  <si>
    <t>S2U required for: Card Activation, Reset Card PIN, Block Card, Unblock Card, Replace Card, Card Details (view masked card details drawer), Change Linked Accounts</t>
  </si>
  <si>
    <t>Activation Successful / Request Unsuccessful / Authorisation Failed; Card PIN Updated / Unsuccessful / Auth Failed; Card Temporarily Blocked / Unblocked / Unsuccessful / Auth Failed; Card Replacement Successful / Unsuccessful / Auth Failed; Linked Accounts Updated / Unsuccessful / Auth Failed</t>
  </si>
  <si>
    <t>TC-B1-0272</t>
  </si>
  <si>
    <t>Validate ineligible or unavailable state for Debit Card (all product codes per NGBO BIN-PAN mapping)</t>
  </si>
  <si>
    <t>User or product does not meet one configured eligibility condition. Eligible baseline: L3 post-login; personal card holder</t>
  </si>
  <si>
    <t>1. Prepare an ineligible, unsupported, blocked, or unavailable test profile.
2. Navigate using: Account Dashboard Landing → Cards tab → Debit Card sub-tab; or Account Details → View linked card.
3. Attempt to open Debit Card (all product codes per NGBO BIN-PAN mapping).</t>
  </si>
  <si>
    <t>TC-B1-0273</t>
  </si>
  <si>
    <t>Complete required authentication for Debit Card (all product codes per NGBO BIN-PAN mapping)</t>
  </si>
  <si>
    <t>Eligible user; authentication method is active. Requirement: S2U required for: Card Activation, Reset Card PIN, Block Card, Unblock Card, Replace Card, Card Details (view masked card details drawer), Change Linked Accounts</t>
  </si>
  <si>
    <t>TC-B1-0274</t>
  </si>
  <si>
    <t>Reject invalid, cancelled, or expired authentication for Debit Card (all product codes per NGBO BIN-PAN mapping)</t>
  </si>
  <si>
    <t>Eligible user; protected action requires authentication. Requirement: S2U required for: Card Activation, Reset Card PIN, Block Card, Unblock Card, Replace Card, Card Details (view masked card details drawer), Change Linked Accounts</t>
  </si>
  <si>
    <t>TC-B1-0275</t>
  </si>
  <si>
    <t>Eligible user and product are available. Trigger the stated condition: Step 1 — Cards tab selected (Credit default; inverted if no CC)</t>
  </si>
  <si>
    <t>1. Open Debit Card (all product codes per NGBO BIN-PAN mapping).
2. Navigate to Step 1 — 1.1 Account Dashboard Landing.
3. Perform the action or trigger described by: Step 1 — Cards tab selected (Credit default; inverted if no CC).
4. Observe the page, validation, navigation, and resulting state.</t>
  </si>
  <si>
    <t>Step 1 — 1.1 Account Dashboard Landing behaves according to the mapped requirement (Step 1 — Cards tab selected (Credit default; inverted if no CC)); data, controls, navigation, and status are accurate and consistent.</t>
  </si>
  <si>
    <t>TC-B1-0276</t>
  </si>
  <si>
    <t>1. Open Debit Card (all product codes per NGBO BIN-PAN mapping).
2. Navigate to Step 20 — 1.3 Debit Card Dashboard.
3. Perform the action or trigger described by: Step 20 — Cards tab → Debit Card sub-tab; card listing with image, product name, masked card number, cardholder name, status label; Activate Now button for Pending Activation cards (not clickable otherwise); upsell banner; business profile disclaimer.
4. Observe the page, validation, navigation, and resulting state.</t>
  </si>
  <si>
    <t>Step 20 — 1.3 Debit Card Dashboard behaves according to the mapped requirement (Step 20 — Cards tab → Debit Card sub-tab; card listing with image, product name, masked card number, cardholder name, status label; Activate Now button for Pending Activation cards (not clickable otherwise); upsell banner; business profile disclaimer); data, controls, navigation, and status are accurate and consistent.</t>
  </si>
  <si>
    <t>TC-B1-0277</t>
  </si>
  <si>
    <t>Eligible user and product are available. Trigger the stated condition: Conditional Step 21 — only for Pending Activation cards; Activate Debit Card screen → declaration → Set Debit Card PIN (6-digit, PIN rules) → S2U → Acknowledgement (Activation Successful / Request Unsuccessful / Authorisation Failed)</t>
  </si>
  <si>
    <t>1. Open Debit Card (all product codes per NGBO BIN-PAN mapping).
2. Navigate to Step 21 — 1.3.1 Card Activation.
3. Perform the action or trigger described by: Conditional Step 21 — only for Pending Activation cards; Activate Debit Card screen → declaration → Set Debit Card PIN (6-digit, PIN rules) → S2U → Acknowledgement (Activation Successful / Request Unsuccessful / Authorisation Failed).
4. Observe the page, validation, navigation, and resulting state.</t>
  </si>
  <si>
    <t>Step 21 — 1.3.1 Card Activation behaves according to the mapped requirement (Conditional Step 21 — only for Pending Activation cards; Activate Debit Card screen → declaration → Set Debit Card PIN (6-digit, PIN rules) → S2U → Acknowledgement (Activation Successful / Request Unsuccessful / Authorisation Failed)); data, controls, navigation, and status are accurate and consistent.</t>
  </si>
  <si>
    <t>TC-B1-0278</t>
  </si>
  <si>
    <t>1. Open Debit Card (all product codes per NGBO BIN-PAN mapping).
2. Navigate to Step 22 — 1.3.2 Card Details.
3. Perform the action or trigger described by: Step 22 — card image with status overlay; card product name, number (masked last 4 unmasked), cardholder name, nickname; Add/Edit Nickname; Manage Linked Accounts; Security: Temporarily Block / Unblock, Reset Card PIN, Replace Card; Card Details Quick Action (S2U → 30s countdown drawer with cardholder name, card number, expiry, CVV/CVC — copy to clipboard).
4. Observe the page, validation, navigation, and resulting state.</t>
  </si>
  <si>
    <t>Step 22 — 1.3.2 Card Details behaves according to the mapped requirement (Step 22 — card image with status overlay; card product name, number (masked last 4 unmasked), cardholder name, nickname; Add/Edit Nickname; Manage Linked Accounts; Security: Temporarily Block / Unblock, Reset Card PIN, Replace Card; Card Details Quick Action (S2U → 30s countdown drawer with cardholder name, card number, expiry, CVV/CVC — copy to clipboard)); data, controls, navigation, and status are accurate and consistent.</t>
  </si>
  <si>
    <t>TC-B1-0279</t>
  </si>
  <si>
    <t>Eligible user and product are available. Trigger the stated condition: Step 23 — view / add / remove linked accounts (max 8); set default account (IDR accounts only; S2U required for default change); Available Accounts filtered by BIN-PAN NGBO mapping; GAA card shows only GAA accounts; non-GAA card excludes GAA accounts; Confirmation → S2U → Acknowledgement (Linked Accounts Updated / Unsuccessful / Auth Failed)</t>
  </si>
  <si>
    <t>1. Open Debit Card (all product codes per NGBO BIN-PAN mapping).
2. Navigate to Step 23 — 1.3.2.1 Linked Accounts.
3. Perform the action or trigger described by: Step 23 — view / add / remove linked accounts (max 8); set default account (IDR accounts only; S2U required for default change); Available Accounts filtered by BIN-PAN NGBO mapping; GAA card shows only GAA accounts; non-GAA card excludes GAA accounts; Confirmation → S2U → Acknowledgement (Linked Accounts Updated / Unsuccessful / Auth Failed).
4. Observe the page, validation, navigation, and resulting state.</t>
  </si>
  <si>
    <t>Step 23 — 1.3.2.1 Linked Accounts behaves according to the mapped requirement (Step 23 — view / add / remove linked accounts (max 8); set default account (IDR accounts only; S2U required for default change); Available Accounts filtered by BIN-PAN NGBO mapping; GAA card shows only GAA accounts; non-GAA card excludes GAA accounts; Confirmation → S2U → Acknowledgement (Linked Accounts Updated / Unsuccessful / Auth Failed)); data, controls, navigation, and status are accurate and consistent.</t>
  </si>
  <si>
    <t>TC-B1-0280</t>
  </si>
  <si>
    <t>1. Open Debit Card (all product codes per NGBO BIN-PAN mapping).
2. Navigate to Step 24 — 1.3.2.2 Reset Card PIN.
3. Perform the action or trigger described by: Step 24 — New PIN + Confirm PIN (6-digit, PIN rules); S2U → Acknowledgement (Card PIN Updated / Request Unsuccessful / Auth Failed); max 3 resets per day (NGBO-configurable).
4. Observe the page, validation, navigation, and resulting state.</t>
  </si>
  <si>
    <t>Step 24 — 1.3.2.2 Reset Card PIN behaves according to the mapped requirement (Step 24 — New PIN + Confirm PIN (6-digit, PIN rules); S2U → Acknowledgement (Card PIN Updated / Request Unsuccessful / Auth Failed); max 3 resets per day (NGBO-configurable)); data, controls, navigation, and status are accurate and consistent.</t>
  </si>
  <si>
    <t>TC-B1-0281</t>
  </si>
  <si>
    <t>1. Open Debit Card (all product codes per NGBO BIN-PAN mapping).
2. Navigate to Step 25 — 1.3.2.3 Block &amp; Unblock Card.
3. Perform the action or trigger described by: Step 25 — Temporarily Block: pop-up → S2U → Card Temporarily Blocked / Unsuccessful / Auth Failed; Unblock Card: direct S2U → Card Unblocked / Unsuccessful / Auth Failed; Blocked (bank-blocked) card: Temporarily Block greyed and disabled.
4. Observe the page, validation, navigation, and resulting state.</t>
  </si>
  <si>
    <t>Step 25 — 1.3.2.3 Block &amp; Unblock Card behaves according to the mapped requirement (Step 25 — Temporarily Block: pop-up → S2U → Card Temporarily Blocked / Unsuccessful / Auth Failed; Unblock Card: direct S2U → Card Unblocked / Unsuccessful / Auth Failed; Blocked (bank-blocked) card: Temporarily Block greyed and disabled); data, controls, navigation, and status are accurate and consistent.</t>
  </si>
  <si>
    <t>TC-B1-0282</t>
  </si>
  <si>
    <t>Eligible user and product are available. Trigger the stated condition: Step 26 — Select Replacement Method (Deliver to address / Collect at branch) → Replace Card screen (disclaimer, mailing address) → Optional Change Mailing Address → Confirmation → S2U → Acknowledgement; charge rule: free if expiring within 3 months; replacement fee otherwise; Collect at branch: QR code generated (UUID v4, 24h expiry, invalidated on branch scan); card remains active until new card activated</t>
  </si>
  <si>
    <t>1. Open Debit Card (all product codes per NGBO BIN-PAN mapping).
2. Navigate to Step 26 — 1.3.2.4 Replace Card.
3. Perform the action or trigger described by: Step 26 — Select Replacement Method (Deliver to address / Collect at branch) → Replace Card screen (disclaimer, mailing address) → Optional Change Mailing Address → Confirmation → S2U → Acknowledgement; charge rule: free if expiring within 3 months; replacement fee otherwise; Collect at branch: QR code generated (UUID v4, 24h expiry, invalidated on branch scan); card remains active until new card activated.
4. Observe the page, validation, navigation, and resulting state.</t>
  </si>
  <si>
    <t>Step 26 — 1.3.2.4 Replace Card behaves according to the mapped requirement (Step 26 — Select Replacement Method (Deliver to address / Collect at branch) → Replace Card screen (disclaimer, mailing address) → Optional Change Mailing Address → Confirmation → S2U → Acknowledgement; charge rule: free if expiring within 3 months; replacement fee otherwise; Collect at branch: QR code generated (UUID v4, 24h expiry, invalidated on branch scan); card remains active until new card activated); data, controls, navigation, and status are accurate and consistent.</t>
  </si>
  <si>
    <t>TC-B1-0283</t>
  </si>
  <si>
    <t>1. Open Debit Card (all product codes per NGBO BIN-PAN mapping).
2. Navigate to ViewAllTrans — Transaction History Display Rule.
3. Perform the action or trigger described by: Not applicable.
4. Observe the page, validation, navigation, and resulting state.</t>
  </si>
  <si>
    <t>ViewAllTrans — Transaction History Display Rule behaves according to the mapped requirement (Not applicable); data, controls, navigation, and status are accurate and consistent.</t>
  </si>
  <si>
    <t>TC-B1-0284</t>
  </si>
  <si>
    <t>1. Open Debit Card (all product codes per NGBO BIN-PAN mapping).
2. Navigate to Sorting / Display Order.
3. Perform the action or trigger described by: Debit cards sorted per Common worksheet (refer to Common FSD).
4. Observe the page, validation, navigation, and resulting state.</t>
  </si>
  <si>
    <t>Sorting / Display Order behaves according to the mapped requirement (Debit cards sorted per Common worksheet (refer to Common FSD)); data, controls, navigation, and status are accurate and consistent.</t>
  </si>
  <si>
    <t>TC-B1-0285</t>
  </si>
  <si>
    <t>Eligible user and product are available. Trigger the stated condition: Not applicable at card level</t>
  </si>
  <si>
    <t>1. Open Debit Card (all product codes per NGBO BIN-PAN mapping).
2. Navigate to Joint-AND Account Restrictions.
3. Perform the action or trigger described by: Not applicable at card level.
4. Observe the page, validation, navigation, and resulting state.</t>
  </si>
  <si>
    <t>Joint-AND Account Restrictions behaves according to the mapped requirement (Not applicable at card level); data, controls, navigation, and status are accurate and consistent.</t>
  </si>
  <si>
    <t>TC-B1-0286</t>
  </si>
  <si>
    <t>Eligible user and product are available. Trigger the stated condition: Disclaimer box displayed if business profile set up; upon IBO: only personal cards displayed</t>
  </si>
  <si>
    <t>1. Open Debit Card (all product codes per NGBO BIN-PAN mapping).
2. Navigate to Business Profile / IBO Disclaimer.
3. Perform the action or trigger described by: Disclaimer box displayed if business profile set up; upon IBO: only personal cards displayed.
4. Observe the page, validation, navigation, and resulting state.</t>
  </si>
  <si>
    <t>Business Profile / IBO Disclaimer behaves according to the mapped requirement (Disclaimer box displayed if business profile set up; upon IBO: only personal cards displayed); data, controls, navigation, and status are accurate and consistent.</t>
  </si>
  <si>
    <t>TC-B1-0287</t>
  </si>
  <si>
    <t>Eligible user and product are available. Trigger the stated condition: Card Activation: SMS + Email + PN (success only, no failure notification); Reset Card PIN: success → SMS + Email + PN; failure → Email + PN; Block/Unblock Card: success → SMS + Email + PN; failure → Email only; Replace Card: SMS + Email + PN; Linked Accounts: Email + PN</t>
  </si>
  <si>
    <t>1. Open Debit Card (all product codes per NGBO BIN-PAN mapping).
2. Navigate to Notification Triggers.
3. Perform the action or trigger described by: Card Activation: SMS + Email + PN (success only, no failure notification); Reset Card PIN: success → SMS + Email + PN; failure → Email + PN; Block/Unblock Card: success → SMS + Email + PN; failure → Email only; Replace Card: SMS + Email + PN; Linked Accounts: Email + PN.
4. Observe the page, validation, navigation, and resulting state.</t>
  </si>
  <si>
    <t>Notification Triggers behaves according to the mapped requirement (Card Activation: SMS + Email + PN (success only, no failure notification); Reset Card PIN: success → SMS + Email + PN; failure → Email + PN; Block/Unblock Card: success → SMS + Email + PN; failure → Email only; Replace Card: SMS + Email + PN; Linked Accounts: Email + PN); data, controls, navigation, and status are accurate and consistent.</t>
  </si>
  <si>
    <t>TC-B1-0288</t>
  </si>
  <si>
    <t>1. Open Debit Card (all product codes per NGBO BIN-PAN mapping).
2. Navigate to External FSD References.
3. Perform the action or trigger described by: Card Activation declaration: refer to NGBO; Apply Debit Card: refer to Apply STP Non Financing FSD; Card Replacement — QR branch collection: refer to Apply NF FSD; S2U: refer to A&amp;A FSD; Authorisation Failed: refer to Common FSD; Masking: refer to Common FSD; CTA Share &amp; Done: refer to Common FSD; Edit Function: refer to Common FSD.
4. Observe the page, validation, navigation, and resulting state.</t>
  </si>
  <si>
    <t>External FSD References behaves according to the mapped requirement (Card Activation declaration: refer to NGBO; Apply Debit Card: refer to Apply STP Non Financing FSD; Card Replacement — QR branch collection: refer to Apply NF FSD; S2U: refer to A&amp;A FSD; Authorisation Failed: refer to Common FSD; Masking: refer to Common FSD; CTA Share &amp; Done: refer to Common FSD; Edit Function: refer to Common FSD); data, controls, navigation, and status are accurate and consistent.</t>
  </si>
  <si>
    <t>TC-B1-0289</t>
  </si>
  <si>
    <t>Validate successful final state for Debit Card (all product codes per NGBO BIN-PAN mapping)</t>
  </si>
  <si>
    <t>All required inputs and services are valid. Expected statuses: Activation Successful / Request Unsuccessful / Authorisation Failed; Card PIN Updated / Unsuccessful / Auth Failed; Card Temporarily Blocked / Unblocked / Unsuccessful / Auth Failed; Card Replacement Successful / Unsuccessful / Auth Failed; Linked Accounts Updated / Unsuccessful / Auth Failed</t>
  </si>
  <si>
    <t>TC-B1-0290</t>
  </si>
  <si>
    <t>Validate service failure and retry for Debit Card (all product codes per NGBO BIN-PAN mapping)</t>
  </si>
  <si>
    <t>Journey is available; simulate a controlled downstream timeout or unsuccessful response. Expected statuses: Activation Successful / Request Unsuccessful / Authorisation Failed; Card PIN Updated / Unsuccessful / Auth Failed; Card Temporarily Blocked / Unblocked / Unsuccessful / Auth Failed; Card Replacement Successful / Unsuccessful / Auth Failed; Linked Accounts Updated / Unsuccessful / Auth Failed</t>
  </si>
  <si>
    <t>TC-B1-0291</t>
  </si>
  <si>
    <t>Open Health insurance; Life with Unit Link; Life Traditional (Takaful inclusive) from valid entry point</t>
  </si>
  <si>
    <t>Eligible user: L3 post-login; policy holder</t>
  </si>
  <si>
    <t>Account / Card / Policy Type: Health policy; Life Unit Link policy; Life Traditional policy; Active / Lapsed / other statuses per Common status mapping; Currency / FCY Criteria: IDR; FCY conversion rate from NGBO where applicable for investment values</t>
  </si>
  <si>
    <t>1. Sign in at the required access level.
2. Navigate using: Account Dashboard Landing → Insurance/Takaful tab → policy card.
3. Select Health insurance; Life with Unit Link; Life Traditional (Takaful inclusive).</t>
  </si>
  <si>
    <t>The correct Dashboard — Insurance page opens and relevant product information is displayed without error.</t>
  </si>
  <si>
    <t>L3 direct access; no S2U for view; refer to respective sub-FSD for any transactional actions</t>
  </si>
  <si>
    <t>Policy details displayed; no transactional final status in this FSD; refer to respective insurance sub-FSD</t>
  </si>
  <si>
    <t>TC-B1-0292</t>
  </si>
  <si>
    <t>Validate ineligible or unavailable state for Health insurance; Life with Unit Link; Life Traditional (Takaful inclusive)</t>
  </si>
  <si>
    <t>User or product does not meet one configured eligibility condition. Eligible baseline: L3 post-login; policy holder</t>
  </si>
  <si>
    <t>1. Prepare an ineligible, unsupported, blocked, or unavailable test profile.
2. Navigate using: Account Dashboard Landing → Insurance/Takaful tab → policy card.
3. Attempt to open Health insurance; Life with Unit Link; Life Traditional (Takaful inclusive).</t>
  </si>
  <si>
    <t>TC-B1-0293</t>
  </si>
  <si>
    <t>Complete required authentication for Health insurance; Life with Unit Link; Life Traditional (Takaful inclusive)</t>
  </si>
  <si>
    <t>Eligible user; authentication method is active. Requirement: L3 direct access; no S2U for view; refer to respective sub-FSD for any transactional actions</t>
  </si>
  <si>
    <t>TC-B1-0294</t>
  </si>
  <si>
    <t>Reject invalid, cancelled, or expired authentication for Health insurance; Life with Unit Link; Life Traditional (Takaful inclusive)</t>
  </si>
  <si>
    <t>Eligible user; protected action requires authentication. Requirement: L3 direct access; no S2U for view; refer to respective sub-FSD for any transactional actions</t>
  </si>
  <si>
    <t>TC-B1-0295</t>
  </si>
  <si>
    <t>1. Open Health insurance; Life with Unit Link; Life Traditional (Takaful inclusive).
2. Navigate to Step 1 — 1.1 Account Dashboard Landing.
3. Perform the action or trigger described by: Step 1 — Insurance/Takaful tab selected.
4. Observe the page, validation, navigation, and resulting state.</t>
  </si>
  <si>
    <t>Step 1 — 1.1 Account Dashboard Landing behaves according to the mapped requirement (Step 1 — Insurance/Takaful tab selected); data, controls, navigation, and status are accurate and consistent.</t>
  </si>
  <si>
    <t>TC-B1-0296</t>
  </si>
  <si>
    <t>Eligible user and product are available. Trigger the stated condition: Step 27 — Insurance/Takaful tab; policy cards (product name, nickname defaulting to policyholder name, policy number, status label, type label Traditional/Unit Link); Total Investment-linked Value displayed only if Unit Link products present (with/without '≈' per IDR/FCY); Eye Icon to mask/unmask investment values; upsell banner</t>
  </si>
  <si>
    <t>1. Open Health insurance; Life with Unit Link; Life Traditional (Takaful inclusive).
2. Navigate to Step 27 — 1.4 Insurance Dashboard.
3. Perform the action or trigger described by: Step 27 — Insurance/Takaful tab; policy cards (product name, nickname defaulting to policyholder name, policy number, status label, type label Traditional/Unit Link); Total Investment-linked Value displayed only if Unit Link products present (with/without '≈' per IDR/FCY); Eye Icon to mask/unmask investment values; upsell banner.
4. Observe the page, validation, navigation, and resulting state.</t>
  </si>
  <si>
    <t>Step 27 — 1.4 Insurance Dashboard behaves according to the mapped requirement (Step 27 — Insurance/Takaful tab; policy cards (product name, nickname defaulting to policyholder name, policy number, status label, type label Traditional/Unit Link); Total Investment-linked Value displayed only if Unit Link products present (with/without '≈' per IDR/FCY); Eye Icon to mask/unmask investment values; upsell banner); data, controls, navigation, and status are accurate and consistent.</t>
  </si>
  <si>
    <t>TC-B1-0297</t>
  </si>
  <si>
    <t>Eligible user and product are available. Trigger the stated condition: Conditional Step 28 — for Health policies; Summary / Manage tabs; policy identification, coverage period, premium details (sum assured, basic premium, payment frequency), next payment date, claim procedure (PDF viewer / in-app webview), product and service information summary; Policy Status Guide drawer; Edit Nickname (Manage tab)</t>
  </si>
  <si>
    <t>1. Open Health insurance; Life with Unit Link; Life Traditional (Takaful inclusive).
2. Navigate to Step 28 — 1.4.1 Health.
3. Perform the action or trigger described by: Conditional Step 28 — for Health policies; Summary / Manage tabs; policy identification, coverage period, premium details (sum assured, basic premium, payment frequency), next payment date, claim procedure (PDF viewer / in-app webview), product and service information summary; Policy Status Guide drawer; Edit Nickname (Manage tab).
4. Observe the page, validation, navigation, and resulting state.</t>
  </si>
  <si>
    <t>Step 28 — 1.4.1 Health behaves according to the mapped requirement (Conditional Step 28 — for Health policies; Summary / Manage tabs; policy identification, coverage period, premium details (sum assured, basic premium, payment frequency), next payment date, claim procedure (PDF viewer / in-app webview), product and service information summary; Policy Status Guide drawer; Edit Nickname (Manage tab)); data, controls, navigation, and status are accurate and consistent.</t>
  </si>
  <si>
    <t>TC-B1-0298</t>
  </si>
  <si>
    <t>Eligible user and product are available. Trigger the stated condition: Conditional Step 29 — for Life Unit Link policies; Summary / Manage tabs; Fund Holdings section (Show all n &gt;; fund name, units, NAV as of today, investment value per fund; max 2 shown on main screen); policy identification, coverage period, premium details, total premium paid, next/last payment dates, claim procedure, product info summary; Edit Nickname (Manage tab)</t>
  </si>
  <si>
    <t>1. Open Health insurance; Life with Unit Link; Life Traditional (Takaful inclusive).
2. Navigate to Step 29 — 1.4.2 Life with UnitLink.
3. Perform the action or trigger described by: Conditional Step 29 — for Life Unit Link policies; Summary / Manage tabs; Fund Holdings section (Show all n &gt;; fund name, units, NAV as of today, investment value per fund; max 2 shown on main screen); policy identification, coverage period, premium details, total premium paid, next/last payment dates, claim procedure, product info summary; Edit Nickname (Manage tab).
4. Observe the page, validation, navigation, and resulting state.</t>
  </si>
  <si>
    <t>Step 29 — 1.4.2 Life with UnitLink behaves according to the mapped requirement (Conditional Step 29 — for Life Unit Link policies; Summary / Manage tabs; Fund Holdings section (Show all n &gt;; fund name, units, NAV as of today, investment value per fund; max 2 shown on main screen); policy identification, coverage period, premium details, total premium paid, next/last payment dates, claim procedure, product info summary; Edit Nickname (Manage tab)); data, controls, navigation, and status are accurate and consistent.</t>
  </si>
  <si>
    <t>TC-B1-0299</t>
  </si>
  <si>
    <t>Eligible user and product are available. Trigger the stated condition: Conditional Step 30 — for Life Traditional policies; Summary / Manage tabs; policy identification, coverage period, premium details, total premium paid, next/last payment dates, claim procedure, product info summary; Edit Nickname (Manage tab); no fund holdings section</t>
  </si>
  <si>
    <t>1. Open Health insurance; Life with Unit Link; Life Traditional (Takaful inclusive).
2. Navigate to Step 30 — 1.4.3 Life Traditional.
3. Perform the action or trigger described by: Conditional Step 30 — for Life Traditional policies; Summary / Manage tabs; policy identification, coverage period, premium details, total premium paid, next/last payment dates, claim procedure, product info summary; Edit Nickname (Manage tab); no fund holdings section.
4. Observe the page, validation, navigation, and resulting state.</t>
  </si>
  <si>
    <t>Step 30 — 1.4.3 Life Traditional behaves according to the mapped requirement (Conditional Step 30 — for Life Traditional policies; Summary / Manage tabs; policy identification, coverage period, premium details, total premium paid, next/last payment dates, claim procedure, product info summary; Edit Nickname (Manage tab); no fund holdings section); data, controls, navigation, and status are accurate and consistent.</t>
  </si>
  <si>
    <t>TC-B1-0300</t>
  </si>
  <si>
    <t>1. Open Health insurance; Life with Unit Link; Life Traditional (Takaful inclusive).
2. Navigate to ViewAllTrans — Transaction History Display Rule.
3. Perform the action or trigger described by: Not applicable.
4. Observe the page, validation, navigation, and resulting state.</t>
  </si>
  <si>
    <t>TC-B1-0301</t>
  </si>
  <si>
    <t>1. Open Health insurance; Life with Unit Link; Life Traditional (Takaful inclusive).
2. Navigate to Sorting / Display Order.
3. Perform the action or trigger described by: Policies sorted per Insurance Dashboard rules — Needs PO/BA clarification (no explicit sort rule stated in this FSD).
4. Observe the page, validation, navigation, and resulting state.</t>
  </si>
  <si>
    <t>Sorting / Display Order behaves according to the mapped requirement (Policies sorted per Insurance Dashboard rules — Needs PO/BA clarification (no explicit sort rule stated in this FSD)); data, controls, navigation, and status are accurate and consistent.</t>
  </si>
  <si>
    <t>TC-B1-0302</t>
  </si>
  <si>
    <t>1. Open Health insurance; Life with Unit Link; Life Traditional (Takaful inclusive).
2. Navigate to Joint-AND Account Restrictions.
3. Perform the action or trigger described by: Not applicable.
4. Observe the page, validation, navigation, and resulting state.</t>
  </si>
  <si>
    <t>Joint-AND Account Restrictions behaves according to the mapped requirement (Not applicable); data, controls, navigation, and status are accurate and consistent.</t>
  </si>
  <si>
    <t>TC-B1-0303</t>
  </si>
  <si>
    <t>1. Open Health insurance; Life with Unit Link; Life Traditional (Takaful inclusive).
2. Navigate to Business Profile / IBO Disclaimer.
3. Perform the action or trigger described by: Not applicable.
4. Observe the page, validation, navigation, and resulting state.</t>
  </si>
  <si>
    <t>TC-B1-0304</t>
  </si>
  <si>
    <t>1. Open Health insurance; Life with Unit Link; Life Traditional (Takaful inclusive).
2. Navigate to External FSD References.
3. Perform the action or trigger described by: Claim Procedure / Product Info Summary: managed via CMS (PDF or webview); refer to respective insurance sub-FSD for transactional actions; Policy Status mapping: refer to Common worksheet.
4. Observe the page, validation, navigation, and resulting state.</t>
  </si>
  <si>
    <t>External FSD References behaves according to the mapped requirement (Claim Procedure / Product Info Summary: managed via CMS (PDF or webview); refer to respective insurance sub-FSD for transactional actions; Policy Status mapping: refer to Common worksheet); data, controls, navigation, and status are accurate and consistent.</t>
  </si>
  <si>
    <t>TC-B1-0305</t>
  </si>
  <si>
    <t>Validate successful final state for Health insurance; Life with Unit Link; Life Traditional (Takaful inclusive)</t>
  </si>
  <si>
    <t>All required inputs and services are valid. Expected statuses: Policy details displayed; no transactional final status in this FSD; refer to respective insurance sub-FSD</t>
  </si>
  <si>
    <t>TC-B1-0306</t>
  </si>
  <si>
    <t>Validate service failure and retry for Health insurance; Life with Unit Link; Life Traditional (Takaful inclusive)</t>
  </si>
  <si>
    <t>Journey is available; simulate a controlled downstream timeout or unsuccessful response. Expected statuses: Policy details displayed; no transactional final status in this FSD; refer to respective insurance sub-FSD</t>
  </si>
  <si>
    <t>Journey / Criteria</t>
  </si>
  <si>
    <t>Epic / Journey Type</t>
  </si>
  <si>
    <t>Product / Service Type</t>
  </si>
  <si>
    <t>Entry Point</t>
  </si>
  <si>
    <t>Loan Dashboard - Landing</t>
  </si>
  <si>
    <t>CC Dashboard - Landing</t>
  </si>
  <si>
    <t>Customer / User Type</t>
  </si>
  <si>
    <t>Loan account holder</t>
  </si>
  <si>
    <t>Principal cardholder and supplementary context</t>
  </si>
  <si>
    <t>Channel / Mode</t>
  </si>
  <si>
    <t>NGA App - Account Dashboard Financing</t>
  </si>
  <si>
    <t>Security / Authentication Required</t>
  </si>
  <si>
    <t>Common Rules Reference</t>
  </si>
  <si>
    <t>Refer to Account Dashboard Common FSD</t>
  </si>
  <si>
    <t>1.1 Loan Dashboard - Landing</t>
  </si>
  <si>
    <t>Step 1</t>
  </si>
  <si>
    <t>1.2 Personal Loan Acc</t>
  </si>
  <si>
    <t>Step 2</t>
  </si>
  <si>
    <t>1.2.1 View All Trans</t>
  </si>
  <si>
    <t>Conditional Step 3 - when View all transactions is selected</t>
  </si>
  <si>
    <t>1.2.2 PL Conventional Summary</t>
  </si>
  <si>
    <t>Step 4</t>
  </si>
  <si>
    <t>1.2.3 PL Conventional Manage</t>
  </si>
  <si>
    <t>Step 5</t>
  </si>
  <si>
    <t>1.2.4 PL Shariah Acc</t>
  </si>
  <si>
    <t>Step 6</t>
  </si>
  <si>
    <t>1.2.5 PL Shariah Summary</t>
  </si>
  <si>
    <t>Step 7</t>
  </si>
  <si>
    <t>1.2.6 PL Shariah Manage</t>
  </si>
  <si>
    <t>Step 8</t>
  </si>
  <si>
    <t>1.3 Auto Loan Acc</t>
  </si>
  <si>
    <t>Step 9</t>
  </si>
  <si>
    <t>1.3.1 Auto Loan Shariah</t>
  </si>
  <si>
    <t>Step 10</t>
  </si>
  <si>
    <t>1.4 Mortgage Loan Acc</t>
  </si>
  <si>
    <t>Step 11</t>
  </si>
  <si>
    <t>1.4.1 Mortgage Loan Shariah</t>
  </si>
  <si>
    <t>Step 12</t>
  </si>
  <si>
    <t>2.1 CC Dashboard - Landing</t>
  </si>
  <si>
    <t>Step 13</t>
  </si>
  <si>
    <t>2.1.2 Card Details</t>
  </si>
  <si>
    <t>Optional Step 14 - when Card Details quick action is tapped</t>
  </si>
  <si>
    <t>2.1.3 CC Activation</t>
  </si>
  <si>
    <t>Conditional Step 15 - pending activation and card type Visa/Mastercard</t>
  </si>
  <si>
    <t>2.1.4 JCB CC Activation</t>
  </si>
  <si>
    <t>Conditional Step 16 - pending activation and card type JCB</t>
  </si>
  <si>
    <t>2.2 CC &gt; Transactions</t>
  </si>
  <si>
    <t>Step 17</t>
  </si>
  <si>
    <t>2.2.1 CC View All Trans</t>
  </si>
  <si>
    <t>Optional Step 18 - when View all transactions is selected</t>
  </si>
  <si>
    <t>2.2.1.1 Convert TREATS</t>
  </si>
  <si>
    <t>Conditional Step 19 - Refer to Rewards FSD</t>
  </si>
  <si>
    <t>2.2.1.2 View Receipts</t>
  </si>
  <si>
    <t>Conditional Step 20 - when receipt-eligible transaction is selected</t>
  </si>
  <si>
    <t>2.2.1.3 Card Statement</t>
  </si>
  <si>
    <t>Conditional Step 21 - Needs PO/BA clarification (JIRA TBC; integration "?")</t>
  </si>
  <si>
    <t>2.3 CC &gt; Summary</t>
  </si>
  <si>
    <t>Step 22</t>
  </si>
  <si>
    <t>2.4 CC &gt; Manage</t>
  </si>
  <si>
    <t>Step 23</t>
  </si>
  <si>
    <t>2.4.1 XCash</t>
  </si>
  <si>
    <t>Conditional Step 24 - if XCash eligible and enabled</t>
  </si>
  <si>
    <t>2.4.1.1 XCash Apply Input</t>
  </si>
  <si>
    <t>Conditional Step 25 - if proceeding with XCash</t>
  </si>
  <si>
    <t>2.4.1.2 XCash Apply Acc</t>
  </si>
  <si>
    <t>Conditional Step 26 - if proceeding with XCash</t>
  </si>
  <si>
    <t>2.4.1.3 XCash Apply TnC</t>
  </si>
  <si>
    <t>Conditional Step 27 - if proceeding with XCash</t>
  </si>
  <si>
    <t>2.4.1.4 XCash Apply Confirm</t>
  </si>
  <si>
    <t>Conditional Step 28 - if proceeding with XCash</t>
  </si>
  <si>
    <t>2.4.1.5 XCash Apply Ack</t>
  </si>
  <si>
    <t>Conditional Step 29 - if proceeding with XCash</t>
  </si>
  <si>
    <t>2.4.1.6 XCash Rcpt &amp; Notif</t>
  </si>
  <si>
    <t>Conditional Step 30 - if proceeding with XCash</t>
  </si>
  <si>
    <t>2.4.2 Instalment Convert</t>
  </si>
  <si>
    <t>Conditional Step 31 - if eligible transaction exists</t>
  </si>
  <si>
    <t>2.4.2.1 Inst Conv TnC</t>
  </si>
  <si>
    <t>Conditional Step 32 - if proceeding with instalment conversion</t>
  </si>
  <si>
    <t>2.4.2.2 Inst Conv Confirm</t>
  </si>
  <si>
    <t>Conditional Step 33 - if proceeding with instalment conversion</t>
  </si>
  <si>
    <t>2.4.2.3 Inst Conv Ack</t>
  </si>
  <si>
    <t>Conditional Step 34 - if proceeding with instalment conversion</t>
  </si>
  <si>
    <t>2.4.2.4 Inst Conv Rcpt &amp; Notif</t>
  </si>
  <si>
    <t>Conditional Step 35 - if proceeding with instalment conversion</t>
  </si>
  <si>
    <t>2.4.3 Increase Credit Limit</t>
  </si>
  <si>
    <t>Conditional Step 36 - if card eligible per MoB and policy</t>
  </si>
  <si>
    <t>2.4.3.1 ICL Permanent</t>
  </si>
  <si>
    <t>Conditional Step 37 - if Permanent selected</t>
  </si>
  <si>
    <t>2.4.3.2 ICL Temporary</t>
  </si>
  <si>
    <t>Conditional Step 38 - if Temporary selected</t>
  </si>
  <si>
    <t>2.4.3.3 ICL TnC</t>
  </si>
  <si>
    <t>Conditional Step 39 - if proceeding with ICL</t>
  </si>
  <si>
    <t>2.4.3.4 ICL Confirm</t>
  </si>
  <si>
    <t>Conditional Step 40 - if proceeding with ICL</t>
  </si>
  <si>
    <t>2.4.3.5 ICL Ack</t>
  </si>
  <si>
    <t>Conditional Step 41 - if proceeding with ICL</t>
  </si>
  <si>
    <t>2.4.3.6 ICL Rcpt &amp; Notif</t>
  </si>
  <si>
    <t>Conditional Step 42 - if proceeding with ICL</t>
  </si>
  <si>
    <t>2.4.4 Block Card</t>
  </si>
  <si>
    <t>Conditional Step 43 - for Active card block action</t>
  </si>
  <si>
    <t>2.4.4.1 Block Card Ack</t>
  </si>
  <si>
    <t>Conditional Step 44 - if block action submitted</t>
  </si>
  <si>
    <t>2.4.4.2 Block Card Notif</t>
  </si>
  <si>
    <t>Conditional Step 45 - if block action submitted</t>
  </si>
  <si>
    <t>2.4.5 Unblock Card</t>
  </si>
  <si>
    <t>Conditional Step 46 - when card is temporarily blocked by eligible channel</t>
  </si>
  <si>
    <t>2.4.5.1 Unblock Card Ack</t>
  </si>
  <si>
    <t>Conditional Step 47 - if unblock action submitted</t>
  </si>
  <si>
    <t>2.4.5.2 Unblock Card Notif</t>
  </si>
  <si>
    <t>Conditional Step 48 - if unblock action submitted</t>
  </si>
  <si>
    <t>2.4.6 Replace &amp; Renew Card</t>
  </si>
  <si>
    <t>Conditional Step 49 - replace card flow</t>
  </si>
  <si>
    <t>2.4.6.1 R&amp;R Ack</t>
  </si>
  <si>
    <t>Conditional Step 50 - if replace request submitted</t>
  </si>
  <si>
    <t>2.4.6.2 R&amp;R Notif</t>
  </si>
  <si>
    <t>Conditional Step 51 - if replace request submitted</t>
  </si>
  <si>
    <t>2.4.7 Reset PIN</t>
  </si>
  <si>
    <t>Conditional Step 52 - reset PIN flow</t>
  </si>
  <si>
    <t>2.4.8 Block Code</t>
  </si>
  <si>
    <t>Conditional Step 53 - block code matrix governs status/feature gating</t>
  </si>
  <si>
    <t>1 — CASA (Regular Savings / Current Account)</t>
  </si>
  <si>
    <t>2 — RDN Konvensional</t>
  </si>
  <si>
    <t>3 — UGoalSaver</t>
  </si>
  <si>
    <t>4 — MyPlan Plus (MaybankGift)</t>
  </si>
  <si>
    <t>5 — MyPlan Term Savings</t>
  </si>
  <si>
    <t>6 — Global Access</t>
  </si>
  <si>
    <t>7 — Giro Multicurrency (MCA)</t>
  </si>
  <si>
    <t>8 — Debit Card</t>
  </si>
  <si>
    <t>9 — Insurance / Takaful</t>
  </si>
  <si>
    <t>Account Dashboard Landing → Savings &amp; Current tab (default selected); or direct tap on account card</t>
  </si>
  <si>
    <t>Account Dashboard Landing → Savings &amp; Current tab → RDN card</t>
  </si>
  <si>
    <t>Account Dashboard Landing → Savings &amp; Current tab → UGoalSaver card</t>
  </si>
  <si>
    <t>Account Dashboard Landing → Savings &amp; Current tab → MyPlan Plus card</t>
  </si>
  <si>
    <t>Account Dashboard Landing → Savings &amp; Current tab → MyPlan Term Savings card</t>
  </si>
  <si>
    <t>Account Dashboard Landing → Savings &amp; Current tab → Global Access card</t>
  </si>
  <si>
    <t>Account Dashboard Landing → Savings &amp; Current tab → Giro MCA card</t>
  </si>
  <si>
    <t>Account Dashboard Landing → Cards tab → Debit Card sub-tab; or Account Details → View linked card</t>
  </si>
  <si>
    <t>Account Dashboard Landing → Insurance/Takaful tab → policy card</t>
  </si>
  <si>
    <t>L3 post-login M2U ID holder with CASA account; personal (individual) — Joint-AND restrictions apply per NGBO config</t>
  </si>
  <si>
    <t>L3 post-login; personal individual account holder</t>
  </si>
  <si>
    <t>L3 post-login; individual account holder (no joint, no primary)</t>
  </si>
  <si>
    <t>L3 post-login; individual account holder; Joint-AND restrictions apply</t>
  </si>
  <si>
    <t>L3 post-login; personal card holder</t>
  </si>
  <si>
    <t>L3 post-login; policy holder</t>
  </si>
  <si>
    <t>Account / Card / Policy Type</t>
  </si>
  <si>
    <t>Active / Inactive / Blocked / Dormant / Closed CASA; IDR or FCY; Conventional or Shariah; with or without overdraft; with or without linked term savings; with or without linked debit card</t>
  </si>
  <si>
    <t>Active RDNK; IDR; no primary, no joint-AND primary; linked to securities firm</t>
  </si>
  <si>
    <t>Active UGoalSaver; conventional or shariah; with linked parent account</t>
  </si>
  <si>
    <t>Active MyPlan Plus with MaybankGift; conventional or shariah; with linked parent account</t>
  </si>
  <si>
    <t>Active MyPlan Term Savings; conventional or shariah; with linked parent account</t>
  </si>
  <si>
    <t>Active / Inactive / Blocked / Closed GAA; IDR base + FCY buckets; conventional or shariah; product codes 083–086, 341–348</t>
  </si>
  <si>
    <t>Active / Blocked MCA; USD base + FCY buckets; product codes 082, 298, 299; applied via branch only</t>
  </si>
  <si>
    <t>Active / Temporarily Blocked / Blocked / Pending Activation debit card; Global Access card vs standard debit card distinguished via BIN-PAN</t>
  </si>
  <si>
    <t>Health policy; Life Unit Link policy; Life Traditional policy; Active / Lapsed / other statuses per Common status mapping</t>
  </si>
  <si>
    <t>Currency / FCY Criteria</t>
  </si>
  <si>
    <t>IDR default; FCY applicable for Current Account and Global Access sub-accounts; overdraft in IDR; balance aggregation with / without '≈' depending on FCY presence</t>
  </si>
  <si>
    <t>IDR only</t>
  </si>
  <si>
    <t>IDR only; Inferred — requires confirmation for FCY variant</t>
  </si>
  <si>
    <t>IDR; FCY conversion via ECLIPSE/NGBO if account currency is FCY</t>
  </si>
  <si>
    <t>IDR; penalty/cancellation charges in IDR</t>
  </si>
  <si>
    <t>IDR base + configurable FCY per country (NGBO); indicative IDR balances with '≈'; exchange rate from CMS/NGBO</t>
  </si>
  <si>
    <t>USD base + USD, SGD, AUD, GBP, EUR, JPY, CNH; indicative IDR equivalents</t>
  </si>
  <si>
    <t>IDR; replacement fee in IDR for FCY debit cards as well</t>
  </si>
  <si>
    <t>IDR; FCY conversion rate from NGBO where applicable for investment values</t>
  </si>
  <si>
    <t>Step 1 — 1.1 Account Dashboard Landing</t>
  </si>
  <si>
    <t>Step 1 — Cards tab selected (Credit default; inverted if no CC)</t>
  </si>
  <si>
    <t>Step 1 — Insurance/Takaful tab selected</t>
  </si>
  <si>
    <t>Step 2 — 1.2 Account Listing (Savings &amp; Current)</t>
  </si>
  <si>
    <t>Step 2 — displays account card; total balance with/without '≈'; Tabung banner/card; upsell banner; business profile disclaimer if applicable</t>
  </si>
  <si>
    <t>Step 2 — RDNK card visible in Savings &amp; Current listing</t>
  </si>
  <si>
    <t>Step 2 — UGoalSaver card visible in Savings &amp; Current listing</t>
  </si>
  <si>
    <t>Step 2 — MyPlan Plus card visible in Savings &amp; Current listing</t>
  </si>
  <si>
    <t>Step 2 — MyPlan Term Savings card visible in Savings &amp; Current listing</t>
  </si>
  <si>
    <t>Step 2 — GAA card visible in Savings &amp; Current listing; balance shown with '≈' if FCY present</t>
  </si>
  <si>
    <t>Step 2 — Giro MCA card visible in Savings &amp; Current listing; balance in USD</t>
  </si>
  <si>
    <t>Step 3 — 1.2.1 CASA Account Details</t>
  </si>
  <si>
    <t>Step 3 — Transactions / Summary / Manage tabs; account balance drawer; linked term savings section; Quick Actions (Transfer, Pay, eWallet, View Statements, View linked card); Set Primary; Manage Linked Card; Block Account available per eligibility</t>
  </si>
  <si>
    <t>Step 4 — 1.2.1.1 Transaction Details</t>
  </si>
  <si>
    <t>Step 4 — tap any transaction in Transactions tab or ViewAllTrans; displays per transaction type matrix (Overseas Transfer, Currency Exchange, Pay Using Card, Scan &amp; Pay, Transfer, Money In/Out variants)</t>
  </si>
  <si>
    <t>Step 5 — 1.2.1.2 ViewAllTrans</t>
  </si>
  <si>
    <t>Step 5 — search, filter (Money In/Out, Transaction Currency for GAA/MCA, Time Range, Custom date), export (PDF/CSV/XLSX, Send to Email / Save to device)</t>
  </si>
  <si>
    <t>Step 5 — Transaction Currency filter applicable</t>
  </si>
  <si>
    <t>Step 6 — 1.2.1.3 ManageLinkedCard</t>
  </si>
  <si>
    <t>Step 6 — view/link/unlink/update linked debit card; S2U required; Global Access account displays only GAA cards; non-GAA account excludes GAA cards; max 8 linked accounts per card; default account restriction</t>
  </si>
  <si>
    <t>Step 6 — only GAA debit cards eligible</t>
  </si>
  <si>
    <t>Step 6 — applicable per business rules</t>
  </si>
  <si>
    <t>Step 7 — 1.2.1.4 BlockAccount</t>
  </si>
  <si>
    <t>Step 7 — single or multi-select block; S2U required; eligible accounts per product code / segment ID / status Active; post-block: Frozen status, Quick Actions greyed except View Statements, Manage greyed except Add/Edit Nickname</t>
  </si>
  <si>
    <t>Step 8 — 1.2.1.5 DormantAccount</t>
  </si>
  <si>
    <t>Conditional Step 8 — displayed when account status is Dormant; all Quick Actions and Manage greyed except View Statements and Add/Edit Nickname; dormancy PN+email notifications 1 month prior and on effective date</t>
  </si>
  <si>
    <t>Step 9 — 1.2.1.6 Inactive Account</t>
  </si>
  <si>
    <t>Conditional Step 9 — displayed when account status is Inactive; Reactivate button displayed (except excluded product codes 319, 826, 209, 219, 279, 806); Update Personal Details → Confirmation → S2U → Acknowledgement; Account Reactivated / Update Unsuccessful</t>
  </si>
  <si>
    <t>Step 10 — 1.2.1.7 Closed Account</t>
  </si>
  <si>
    <t>Conditional Step 10 — displayed up to 90 days after closing date (NGBO-parameterised; 0 = not displayed); View Statements only; all other actions disabled</t>
  </si>
  <si>
    <t>Step 11 — 1.2.2 RDN Konvensional Account Details</t>
  </si>
  <si>
    <t>Step 11 — Transactions / Summary / Manage tabs; Top Up Quick Action navigates to Local Transfer Own Account with RDN as destination; security company displayed; no primary label; no block account eligibility per product code exclusion</t>
  </si>
  <si>
    <t>Step 12 — 1.2.3 UGoalSaver Account Details</t>
  </si>
  <si>
    <t>Step 12 — Transactions / Summary / Manage tabs; Summary: term details (tenure, maturity date), scheduled debits (initial deposit, monthly debit, next debit date), returns (interest/indicative rate, accrued interest/profit), linked parent account</t>
  </si>
  <si>
    <t>Step 13 — 1.2.4 MyPlan Plus (MaybankGift) Account Details</t>
  </si>
  <si>
    <t>Step 13 — Transactions / Summary / Manage tabs; Summary: term details, scheduled debits, failed auto-debit attempts (tooltip drawer), returns, MaybankGift banner (in-app webview), penalty/cancellation charge, linked parent account; &gt;3 failed debits closes account — Needs PO/BA clarification (post sign-off item)</t>
  </si>
  <si>
    <t>Step 14 — 1.2.5 MyPlan Term Savings Account Details</t>
  </si>
  <si>
    <t>Step 14 — Transactions / Summary / Manage tabs; Summary: term details, scheduled debits, failed auto-debit attempts (tooltip drawer), returns, penalty/cancellation charge, linked parent account; &gt;3 failed debits closes account — Needs PO/BA clarification (post sign-off item)</t>
  </si>
  <si>
    <t>Step 15 — 1.2.6 Global Access Account Details</t>
  </si>
  <si>
    <t>Step 15 — Transactions / Manage tabs (no Summary tab); My Currencies section (IDR base, FCY buckets sorted by IDR first then latest transacted); Add New Currency; View All if &gt;5 currencies; Quick Actions: Convert Currency, Transfer (local/overseas), Currency Calculator, Exchange Rates, View Statements; Manage: Add/Edit Nickname, Set as Primary, Auto Sweep, Manage Linked Card, Block Account</t>
  </si>
  <si>
    <t>Step 16 — 1.2.6.1 Add Currency</t>
  </si>
  <si>
    <t>Step 16 — Add Currency drawer from GAA Account Details; search by currency code/name/alias (min 2 chars); top 5 traded displayed first; only unadded currencies shown; on selection: currency added at end of My Currencies list, snackbar "Currency added"</t>
  </si>
  <si>
    <t>Step 17 — 1.2.6.2 View Currency Details</t>
  </si>
  <si>
    <t>Step 17 — Currency Details screen per currency; currency chevron to switch; Transactions / Summary tabs (IDR: no Manage tab; FCY: Transactions / Summary / Manage tabs); Balance per currency; Account Balance drawer; Quick Actions per currency</t>
  </si>
  <si>
    <t>Step 17 — Currency Details reused per 1.2.6.2; USD base has no Manage tab; FCY buckets have Transactions / Summary only (Needs PO/BA clarification — MCA Manage tab scope)</t>
  </si>
  <si>
    <t>Step 18 — 1.2.6.3 Remove Currency</t>
  </si>
  <si>
    <t>Step 18 — applicable for non-IDR currencies only; if zero balance: remove directly (no S2U); if non-zero balance: Convert Currency flow (S2U required); if linked to Term Savings: blocked with snackbar; currency removal hides bucket (not deleted); conversion fee per RFX module</t>
  </si>
  <si>
    <t>Step 19 — 1.2.7 Giro Multicurrency Account Details</t>
  </si>
  <si>
    <t>Step 19 — Transactions / Manage tabs; USD base currency; My Currencies (USD first, then latest transacted, then newly added; allowed: USD, SGD, AUD, GBP, EUR, JPY, CNH); overdraft applicable; Manage: Add/Edit Nickname, Set as Primary, Manage Linked Card, Block Account; FCY deposit via branch/ATM auto-displays bucket</t>
  </si>
  <si>
    <t>Step 20 — 1.3 Debit Card Dashboard</t>
  </si>
  <si>
    <t>Step 20 — Cards tab → Debit Card sub-tab; card listing with image, product name, masked card number, cardholder name, status label; Activate Now button for Pending Activation cards (not clickable otherwise); upsell banner; business profile disclaimer</t>
  </si>
  <si>
    <t>Step 21 — 1.3.1 Card Activation</t>
  </si>
  <si>
    <t>Conditional Step 21 — only for Pending Activation cards; Activate Debit Card screen → declaration → Set Debit Card PIN (6-digit, PIN rules) → S2U → Acknowledgement (Activation Successful / Request Unsuccessful / Authorisation Failed)</t>
  </si>
  <si>
    <t>Step 22 — 1.3.2 Card Details</t>
  </si>
  <si>
    <t>Step 22 — card image with status overlay; card product name, number (masked last 4 unmasked), cardholder name, nickname; Add/Edit Nickname; Manage Linked Accounts; Security: Temporarily Block / Unblock, Reset Card PIN, Replace Card; Card Details Quick Action (S2U → 30s countdown drawer with cardholder name, card number, expiry, CVV/CVC — copy to clipboard)</t>
  </si>
  <si>
    <t>Step 23 — 1.3.2.1 Linked Accounts</t>
  </si>
  <si>
    <t>Step 23 — view / add / remove linked accounts (max 8); set default account (IDR accounts only; S2U required for default change); Available Accounts filtered by BIN-PAN NGBO mapping; GAA card shows only GAA accounts; non-GAA card excludes GAA accounts; Confirmation → S2U → Acknowledgement (Linked Accounts Updated / Unsuccessful / Auth Failed)</t>
  </si>
  <si>
    <t>Step 24 — 1.3.2.2 Reset Card PIN</t>
  </si>
  <si>
    <t>Step 24 — New PIN + Confirm PIN (6-digit, PIN rules); S2U → Acknowledgement (Card PIN Updated / Request Unsuccessful / Auth Failed); max 3 resets per day (NGBO-configurable)</t>
  </si>
  <si>
    <t>Step 25 — 1.3.2.3 Block &amp; Unblock Card</t>
  </si>
  <si>
    <t>Step 25 — Temporarily Block: pop-up → S2U → Card Temporarily Blocked / Unsuccessful / Auth Failed; Unblock Card: direct S2U → Card Unblocked / Unsuccessful / Auth Failed; Blocked (bank-blocked) card: Temporarily Block greyed and disabled</t>
  </si>
  <si>
    <t>Step 26 — 1.3.2.4 Replace Card</t>
  </si>
  <si>
    <t>Step 26 — Select Replacement Method (Deliver to address / Collect at branch) → Replace Card screen (disclaimer, mailing address) → Optional Change Mailing Address → Confirmation → S2U → Acknowledgement; charge rule: free if expiring within 3 months; replacement fee otherwise; Collect at branch: QR code generated (UUID v4, 24h expiry, invalidated on branch scan); card remains active until new card activated</t>
  </si>
  <si>
    <t>Step 27 — 1.4 Insurance Dashboard</t>
  </si>
  <si>
    <t>Step 27 — Insurance/Takaful tab; policy cards (product name, nickname defaulting to policyholder name, policy number, status label, type label Traditional/Unit Link); Total Investment-linked Value displayed only if Unit Link products present (with/without '≈' per IDR/FCY); Eye Icon to mask/unmask investment values; upsell banner</t>
  </si>
  <si>
    <t>Step 28 — 1.4.1 Health</t>
  </si>
  <si>
    <t>Conditional Step 28 — for Health policies; Summary / Manage tabs; policy identification, coverage period, premium details (sum assured, basic premium, payment frequency), next payment date, claim procedure (PDF viewer / in-app webview), product and service information summary; Policy Status Guide drawer; Edit Nickname (Manage tab)</t>
  </si>
  <si>
    <t>Step 29 — 1.4.2 Life with UnitLink</t>
  </si>
  <si>
    <t>Conditional Step 29 — for Life Unit Link policies; Summary / Manage tabs; Fund Holdings section (Show all n &gt;; fund name, units, NAV as of today, investment value per fund; max 2 shown on main screen); policy identification, coverage period, premium details, total premium paid, next/last payment dates, claim procedure, product info summary; Edit Nickname (Manage tab)</t>
  </si>
  <si>
    <t>Step 30 — 1.4.3 Life Traditional</t>
  </si>
  <si>
    <t>Conditional Step 30 — for Life Traditional policies; Summary / Manage tabs; policy identification, coverage period, premium details, total premium paid, next/last payment dates, claim procedure, product info summary; Edit Nickname (Manage tab); no fund holdings section</t>
  </si>
  <si>
    <t>ViewAllTrans — Transaction History Display Rule</t>
  </si>
  <si>
    <t>Transactions tab shows latest 10 (YTD + last 24 months); "View All Transactions" hyperlink shown only if &gt;10 transactions</t>
  </si>
  <si>
    <t>Transactions tab: latest 10; YTD + last 2 years; ViewAllTrans via sticky hyperlink</t>
  </si>
  <si>
    <t>Transactions tab: latest 10; YTD + last 2 years; all currencies shown regardless of currency; ViewAllTrans via sticky hyperlink (appears after first scroll)</t>
  </si>
  <si>
    <t>Not applicable</t>
  </si>
  <si>
    <t>Sorting / Display Order</t>
  </si>
  <si>
    <t>Account listing: Primary first → Active (by product name then account number) → Inactive → Blocked → Dormant → Closed (90-day window) → Active Term Savings → Inactive/Blocked/Dormant/Closed Term Savings</t>
  </si>
  <si>
    <t>Sorted within Savings &amp; Current by product name then account number</t>
  </si>
  <si>
    <t>GAA: My Currencies — IDR first → latest transacted descending → newly added</t>
  </si>
  <si>
    <t>MCA: My Currencies — USD first → latest transacted descending → newly added</t>
  </si>
  <si>
    <t>Debit cards sorted per Common worksheet (refer to Common FSD)</t>
  </si>
  <si>
    <t>Policies sorted per Insurance Dashboard rules — Needs PO/BA clarification (no explicit sort rule stated in this FSD)</t>
  </si>
  <si>
    <t>Joint-AND Account Restrictions</t>
  </si>
  <si>
    <t>Block/Unblock, Quick Actions, Debit Card Management, Set as Primary — all disabled for Joint-AND accounts; configurable via NGBO</t>
  </si>
  <si>
    <t>Not applicable (no joint-AND for RDNK)</t>
  </si>
  <si>
    <t>Not applicable (UGoalSaver cannot be joint)</t>
  </si>
  <si>
    <t>Not applicable (MyPlan Plus cannot be joint)</t>
  </si>
  <si>
    <t>Not applicable (MyPlan Term Savings cannot be joint)</t>
  </si>
  <si>
    <t>Joint-AND restrictions apply same as CASA per NGBO config</t>
  </si>
  <si>
    <t>Not applicable at card level</t>
  </si>
  <si>
    <t>Business Profile / IBO Disclaimer</t>
  </si>
  <si>
    <t>Disclaimer box displayed if business profile set up; for this release all accounts shown; upon IBO: only personal accounts displayed</t>
  </si>
  <si>
    <t>Disclaimer box displayed if business profile set up; upon IBO: only personal cards displayed</t>
  </si>
  <si>
    <t>Notification Triggers</t>
  </si>
  <si>
    <t>Block Account: SMS + Email + PN (success); Dormancy approach: PN + Email (1 month prior and on effective date); Manage Linked Card: Email + PN; Account Reactivation: SMS + Email + PN</t>
  </si>
  <si>
    <t>Card Activation: SMS + Email + PN (success only, no failure notification); Reset Card PIN: success → SMS + Email + PN; failure → Email + PN; Block/Unblock Card: success → SMS + Email + PN; failure → Email only; Replace Card: SMS + Email + PN; Linked Accounts: Email + PN</t>
  </si>
  <si>
    <t>External FSD References</t>
  </si>
  <si>
    <t>Login: refer to A&amp;A FSD; Set as Primary: refer to AD Common FSD; Add/Edit Nickname: refer to AD Common FSD; Tabung: refer to Tabung FSD; Apply Deposit: refer to Apply STP Non Financing FSD; View Statements: refer to Document FSD; Transfer: refer to Local Transfer FSD; Pay Bills: refer to Money Out FSD; Common Authorisation Failed: refer to Common FSD; Common Masking Rules: refer to Common FSD; Edit Function Rules: refer to Common FSD</t>
  </si>
  <si>
    <t>Add/Edit Nickname: refer to AD Common FSD; Top Up navigates to Local Transfer FSD</t>
  </si>
  <si>
    <t>Add/Edit Nickname: refer to AD Common FSD</t>
  </si>
  <si>
    <t>Add/Edit Nickname: refer to AD Common FSD; Set as Primary: refer to AD Common FSD; Auto Sweep: refer to AD Common FSD; Manage Linked Card: refer to 1.2.1.3; Block Account: refer to 1.2.1.4; View Statements: refer to Document FSD</t>
  </si>
  <si>
    <t>Add/Edit Nickname: refer to AD Common FSD; Set as Primary: refer to AD Common FSD; Manage Linked Card: refer to 1.2.1.3; Block Account: refer to 1.2.1.4; View Statements: refer to Document FSD</t>
  </si>
  <si>
    <t>Card Activation declaration: refer to NGBO; Apply Debit Card: refer to Apply STP Non Financing FSD; Card Replacement — QR branch collection: refer to Apply NF FSD; S2U: refer to A&amp;A FSD; Authorisation Failed: refer to Common FSD; Masking: refer to Common FSD; CTA Share &amp; Done: refer to Common FSD; Edit Function: refer to Common FSD</t>
  </si>
  <si>
    <t>Claim Procedure / Product Info Summary: managed via CMS (PDF or webview); refer to respective insurance sub-FSD for transactional actions; Policy Status mapping: refer to Common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</si>
</sst>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ptos"/>
      <family val="2"/>
    </font>
    <font>
      <b/>
      <sz val="20"/>
      <color rgb="FFFFFFFF"/>
      <name val="Calibri"/>
    </font>
    <font>
      <b/>
      <sz val="11"/>
      <color rgb="FF17365D"/>
      <name val="Calibri"/>
    </font>
    <font>
      <b/>
      <sz val="18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/>
    <xf numFmtId="0" fontId="4" fillId="3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2" borderId="2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vertical="center" wrapText="1"/>
    </xf>
    <xf numFmtId="0" fontId="0" fillId="4" borderId="2" xfId="0" applyFill="1" applyBorder="1" applyAlignment="1">
      <alignment vertical="top" wrapText="1"/>
    </xf>
    <xf numFmtId="0" fontId="0" fillId="4" borderId="3" xfId="0" applyFill="1" applyBorder="1" applyAlignment="1">
      <alignment vertical="top" wrapText="1"/>
    </xf>
    <xf numFmtId="0" fontId="0" fillId="4" borderId="4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3"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Test Cases by Module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'[1]Coverage Summary'!$C$3</c:f>
              <c:strCache>
                <c:ptCount val="1"/>
                <c:pt idx="0">
                  <c:v>Test Cases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'[1]Coverage Summary'!$A$4:$A$9</c:f>
              <c:strCache>
                <c:ptCount val="6"/>
                <c:pt idx="0">
                  <c:v>Acct Dashboard Financing</c:v>
                </c:pt>
                <c:pt idx="1">
                  <c:v>Acct Dashboard Non-Financing</c:v>
                </c:pt>
                <c:pt idx="2">
                  <c:v>App Dashboard</c:v>
                </c:pt>
                <c:pt idx="3">
                  <c:v>A&amp;A</c:v>
                </c:pt>
                <c:pt idx="4">
                  <c:v>Local Transfer</c:v>
                </c:pt>
                <c:pt idx="5">
                  <c:v>Scan &amp; pay</c:v>
                </c:pt>
              </c:strCache>
            </c:strRef>
          </c:cat>
          <c:val>
            <c:numRef>
              <c:f>'[1]Coverage Summary'!$C$4:$C$9</c:f>
              <c:numCache>
                <c:formatCode>General</c:formatCode>
                <c:ptCount val="6"/>
                <c:pt idx="0">
                  <c:v>158</c:v>
                </c:pt>
                <c:pt idx="1">
                  <c:v>148</c:v>
                </c:pt>
                <c:pt idx="2">
                  <c:v>143</c:v>
                </c:pt>
                <c:pt idx="3">
                  <c:v>84</c:v>
                </c:pt>
                <c:pt idx="4">
                  <c:v>145</c:v>
                </c:pt>
                <c:pt idx="5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FA-4BE2-A795-9460DAD6A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Module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Test Cases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54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0DBB69-8867-4084-A1B0-81BF2B2D4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ahmadkamar\Downloads\NGA_Batch1_QA_Test_Scenarios_and_Cases%204.xlsx" TargetMode="External"/><Relationship Id="rId1" Type="http://schemas.openxmlformats.org/officeDocument/2006/relationships/externalLinkPath" Target="NGA_Batch1_QA_Test_Scenarios_and_Cases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Coverage Summary"/>
      <sheetName val="Test Scenarios"/>
      <sheetName val="Test Cases"/>
      <sheetName val="Open Questions"/>
      <sheetName val="Acct Dashboard Financing"/>
      <sheetName val="Acct Dashboard Non-Financing"/>
      <sheetName val="App Dashboard"/>
      <sheetName val="A&amp;A"/>
      <sheetName val="Local Transfer"/>
      <sheetName val="Scan &amp; pay"/>
    </sheetNames>
    <sheetDataSet>
      <sheetData sheetId="0"/>
      <sheetData sheetId="1">
        <row r="3">
          <cell r="C3" t="str">
            <v>Test Cases</v>
          </cell>
        </row>
        <row r="4">
          <cell r="A4" t="str">
            <v>Acct Dashboard Financing</v>
          </cell>
          <cell r="C4">
            <v>158</v>
          </cell>
        </row>
        <row r="5">
          <cell r="A5" t="str">
            <v>Acct Dashboard Non-Financing</v>
          </cell>
          <cell r="C5">
            <v>148</v>
          </cell>
        </row>
        <row r="6">
          <cell r="A6" t="str">
            <v>App Dashboard</v>
          </cell>
          <cell r="C6">
            <v>143</v>
          </cell>
        </row>
        <row r="7">
          <cell r="A7" t="str">
            <v>A&amp;A</v>
          </cell>
          <cell r="C7">
            <v>84</v>
          </cell>
        </row>
        <row r="8">
          <cell r="A8" t="str">
            <v>Local Transfer</v>
          </cell>
          <cell r="C8">
            <v>145</v>
          </cell>
        </row>
        <row r="9">
          <cell r="A9" t="str">
            <v>Scan &amp; pay</v>
          </cell>
          <cell r="C9">
            <v>122</v>
          </cell>
        </row>
      </sheetData>
      <sheetData sheetId="2">
        <row r="1">
          <cell r="B1" t="str">
            <v>Module</v>
          </cell>
        </row>
        <row r="2">
          <cell r="B2" t="str">
            <v>Acct Dashboard Financing</v>
          </cell>
        </row>
        <row r="3">
          <cell r="B3" t="str">
            <v>Acct Dashboard Financing</v>
          </cell>
        </row>
        <row r="4">
          <cell r="B4" t="str">
            <v>Acct Dashboard Financing</v>
          </cell>
        </row>
        <row r="5">
          <cell r="B5" t="str">
            <v>Acct Dashboard Financing</v>
          </cell>
        </row>
        <row r="6">
          <cell r="B6" t="str">
            <v>Acct Dashboard Financing</v>
          </cell>
        </row>
        <row r="7">
          <cell r="B7" t="str">
            <v>Acct Dashboard Financing</v>
          </cell>
        </row>
        <row r="8">
          <cell r="B8" t="str">
            <v>Acct Dashboard Financing</v>
          </cell>
        </row>
        <row r="9">
          <cell r="B9" t="str">
            <v>Acct Dashboard Financing</v>
          </cell>
        </row>
        <row r="10">
          <cell r="B10" t="str">
            <v>Acct Dashboard Financing</v>
          </cell>
        </row>
        <row r="11">
          <cell r="B11" t="str">
            <v>Acct Dashboard Financing</v>
          </cell>
        </row>
        <row r="12">
          <cell r="B12" t="str">
            <v>Acct Dashboard Financing</v>
          </cell>
        </row>
        <row r="13">
          <cell r="B13" t="str">
            <v>Acct Dashboard Financing</v>
          </cell>
        </row>
        <row r="14">
          <cell r="B14" t="str">
            <v>Acct Dashboard Financing</v>
          </cell>
        </row>
        <row r="15">
          <cell r="B15" t="str">
            <v>Acct Dashboard Financing</v>
          </cell>
        </row>
        <row r="16">
          <cell r="B16" t="str">
            <v>Acct Dashboard Financing</v>
          </cell>
        </row>
        <row r="17">
          <cell r="B17" t="str">
            <v>Acct Dashboard Financing</v>
          </cell>
        </row>
        <row r="18">
          <cell r="B18" t="str">
            <v>Acct Dashboard Financing</v>
          </cell>
        </row>
        <row r="19">
          <cell r="B19" t="str">
            <v>Acct Dashboard Financing</v>
          </cell>
        </row>
        <row r="20">
          <cell r="B20" t="str">
            <v>Acct Dashboard Financing</v>
          </cell>
        </row>
        <row r="21">
          <cell r="B21" t="str">
            <v>Acct Dashboard Financing</v>
          </cell>
        </row>
        <row r="22">
          <cell r="B22" t="str">
            <v>Acct Dashboard Financing</v>
          </cell>
        </row>
        <row r="23">
          <cell r="B23" t="str">
            <v>Acct Dashboard Financing</v>
          </cell>
        </row>
        <row r="24">
          <cell r="B24" t="str">
            <v>Acct Dashboard Financing</v>
          </cell>
        </row>
        <row r="25">
          <cell r="B25" t="str">
            <v>Acct Dashboard Financing</v>
          </cell>
        </row>
        <row r="26">
          <cell r="B26" t="str">
            <v>Acct Dashboard Financing</v>
          </cell>
        </row>
        <row r="27">
          <cell r="B27" t="str">
            <v>Acct Dashboard Financing</v>
          </cell>
        </row>
        <row r="28">
          <cell r="B28" t="str">
            <v>Acct Dashboard Financing</v>
          </cell>
        </row>
        <row r="29">
          <cell r="B29" t="str">
            <v>Acct Dashboard Financing</v>
          </cell>
        </row>
        <row r="30">
          <cell r="B30" t="str">
            <v>Acct Dashboard Financing</v>
          </cell>
        </row>
        <row r="31">
          <cell r="B31" t="str">
            <v>Acct Dashboard Financing</v>
          </cell>
        </row>
        <row r="32">
          <cell r="B32" t="str">
            <v>Acct Dashboard Financing</v>
          </cell>
        </row>
        <row r="33">
          <cell r="B33" t="str">
            <v>Acct Dashboard Financing</v>
          </cell>
        </row>
        <row r="34">
          <cell r="B34" t="str">
            <v>Acct Dashboard Financing</v>
          </cell>
        </row>
        <row r="35">
          <cell r="B35" t="str">
            <v>Acct Dashboard Financing</v>
          </cell>
        </row>
        <row r="36">
          <cell r="B36" t="str">
            <v>Acct Dashboard Financing</v>
          </cell>
        </row>
        <row r="37">
          <cell r="B37" t="str">
            <v>Acct Dashboard Financing</v>
          </cell>
        </row>
        <row r="38">
          <cell r="B38" t="str">
            <v>Acct Dashboard Financing</v>
          </cell>
        </row>
        <row r="39">
          <cell r="B39" t="str">
            <v>Acct Dashboard Financing</v>
          </cell>
        </row>
        <row r="40">
          <cell r="B40" t="str">
            <v>Acct Dashboard Financing</v>
          </cell>
        </row>
        <row r="41">
          <cell r="B41" t="str">
            <v>Acct Dashboard Financing</v>
          </cell>
        </row>
        <row r="42">
          <cell r="B42" t="str">
            <v>Acct Dashboard Financing</v>
          </cell>
        </row>
        <row r="43">
          <cell r="B43" t="str">
            <v>Acct Dashboard Financing</v>
          </cell>
        </row>
        <row r="44">
          <cell r="B44" t="str">
            <v>Acct Dashboard Financing</v>
          </cell>
        </row>
        <row r="45">
          <cell r="B45" t="str">
            <v>Acct Dashboard Financing</v>
          </cell>
        </row>
        <row r="46">
          <cell r="B46" t="str">
            <v>Acct Dashboard Financing</v>
          </cell>
        </row>
        <row r="47">
          <cell r="B47" t="str">
            <v>Acct Dashboard Financing</v>
          </cell>
        </row>
        <row r="48">
          <cell r="B48" t="str">
            <v>Acct Dashboard Financing</v>
          </cell>
        </row>
        <row r="49">
          <cell r="B49" t="str">
            <v>Acct Dashboard Financing</v>
          </cell>
        </row>
        <row r="50">
          <cell r="B50" t="str">
            <v>Acct Dashboard Financing</v>
          </cell>
        </row>
        <row r="51">
          <cell r="B51" t="str">
            <v>Acct Dashboard Financing</v>
          </cell>
        </row>
        <row r="52">
          <cell r="B52" t="str">
            <v>Acct Dashboard Financing</v>
          </cell>
        </row>
        <row r="53">
          <cell r="B53" t="str">
            <v>Acct Dashboard Financing</v>
          </cell>
        </row>
        <row r="54">
          <cell r="B54" t="str">
            <v>Acct Dashboard Financing</v>
          </cell>
        </row>
        <row r="55">
          <cell r="B55" t="str">
            <v>Acct Dashboard Financing</v>
          </cell>
        </row>
        <row r="56">
          <cell r="B56" t="str">
            <v>Acct Dashboard Financing</v>
          </cell>
        </row>
        <row r="57">
          <cell r="B57" t="str">
            <v>Acct Dashboard Financing</v>
          </cell>
        </row>
        <row r="58">
          <cell r="B58" t="str">
            <v>Acct Dashboard Financing</v>
          </cell>
        </row>
        <row r="59">
          <cell r="B59" t="str">
            <v>Acct Dashboard Financing</v>
          </cell>
        </row>
        <row r="60">
          <cell r="B60" t="str">
            <v>Acct Dashboard Financing</v>
          </cell>
        </row>
        <row r="61">
          <cell r="B61" t="str">
            <v>Acct Dashboard Financing</v>
          </cell>
        </row>
        <row r="62">
          <cell r="B62" t="str">
            <v>Acct Dashboard Financing</v>
          </cell>
        </row>
        <row r="63">
          <cell r="B63" t="str">
            <v>Acct Dashboard Financing</v>
          </cell>
        </row>
        <row r="64">
          <cell r="B64" t="str">
            <v>Acct Dashboard Financing</v>
          </cell>
        </row>
        <row r="65">
          <cell r="B65" t="str">
            <v>Acct Dashboard Financing</v>
          </cell>
        </row>
        <row r="66">
          <cell r="B66" t="str">
            <v>Acct Dashboard Financing</v>
          </cell>
        </row>
        <row r="67">
          <cell r="B67" t="str">
            <v>Acct Dashboard Financing</v>
          </cell>
        </row>
        <row r="68">
          <cell r="B68" t="str">
            <v>Acct Dashboard Financing</v>
          </cell>
        </row>
        <row r="69">
          <cell r="B69" t="str">
            <v>Acct Dashboard Financing</v>
          </cell>
        </row>
        <row r="70">
          <cell r="B70" t="str">
            <v>Acct Dashboard Financing</v>
          </cell>
        </row>
        <row r="71">
          <cell r="B71" t="str">
            <v>Acct Dashboard Financing</v>
          </cell>
        </row>
        <row r="72">
          <cell r="B72" t="str">
            <v>Acct Dashboard Financing</v>
          </cell>
        </row>
        <row r="73">
          <cell r="B73" t="str">
            <v>Acct Dashboard Financing</v>
          </cell>
        </row>
        <row r="74">
          <cell r="B74" t="str">
            <v>Acct Dashboard Financing</v>
          </cell>
        </row>
        <row r="75">
          <cell r="B75" t="str">
            <v>Acct Dashboard Financing</v>
          </cell>
        </row>
        <row r="76">
          <cell r="B76" t="str">
            <v>Acct Dashboard Financing</v>
          </cell>
        </row>
        <row r="77">
          <cell r="B77" t="str">
            <v>Acct Dashboard Financing</v>
          </cell>
        </row>
        <row r="78">
          <cell r="B78" t="str">
            <v>Acct Dashboard Financing</v>
          </cell>
        </row>
        <row r="79">
          <cell r="B79" t="str">
            <v>Acct Dashboard Financing</v>
          </cell>
        </row>
        <row r="80">
          <cell r="B80" t="str">
            <v>Acct Dashboard Financing</v>
          </cell>
        </row>
        <row r="81">
          <cell r="B81" t="str">
            <v>Acct Dashboard Financing</v>
          </cell>
        </row>
        <row r="82">
          <cell r="B82" t="str">
            <v>Acct Dashboard Financing</v>
          </cell>
        </row>
        <row r="83">
          <cell r="B83" t="str">
            <v>Acct Dashboard Financing</v>
          </cell>
        </row>
        <row r="84">
          <cell r="B84" t="str">
            <v>Acct Dashboard Financing</v>
          </cell>
        </row>
        <row r="85">
          <cell r="B85" t="str">
            <v>Acct Dashboard Financing</v>
          </cell>
        </row>
        <row r="86">
          <cell r="B86" t="str">
            <v>Acct Dashboard Financing</v>
          </cell>
        </row>
        <row r="87">
          <cell r="B87" t="str">
            <v>Acct Dashboard Financing</v>
          </cell>
        </row>
        <row r="88">
          <cell r="B88" t="str">
            <v>Acct Dashboard Financing</v>
          </cell>
        </row>
        <row r="89">
          <cell r="B89" t="str">
            <v>Acct Dashboard Financing</v>
          </cell>
        </row>
        <row r="90">
          <cell r="B90" t="str">
            <v>Acct Dashboard Financing</v>
          </cell>
        </row>
        <row r="91">
          <cell r="B91" t="str">
            <v>Acct Dashboard Financing</v>
          </cell>
        </row>
        <row r="92">
          <cell r="B92" t="str">
            <v>Acct Dashboard Financing</v>
          </cell>
        </row>
        <row r="93">
          <cell r="B93" t="str">
            <v>Acct Dashboard Financing</v>
          </cell>
        </row>
        <row r="94">
          <cell r="B94" t="str">
            <v>Acct Dashboard Financing</v>
          </cell>
        </row>
        <row r="95">
          <cell r="B95" t="str">
            <v>Acct Dashboard Financing</v>
          </cell>
        </row>
        <row r="96">
          <cell r="B96" t="str">
            <v>Acct Dashboard Financing</v>
          </cell>
        </row>
        <row r="97">
          <cell r="B97" t="str">
            <v>Acct Dashboard Financing</v>
          </cell>
        </row>
        <row r="98">
          <cell r="B98" t="str">
            <v>Acct Dashboard Financing</v>
          </cell>
        </row>
        <row r="99">
          <cell r="B99" t="str">
            <v>Acct Dashboard Financing</v>
          </cell>
        </row>
        <row r="100">
          <cell r="B100" t="str">
            <v>Acct Dashboard Financing</v>
          </cell>
        </row>
        <row r="101">
          <cell r="B101" t="str">
            <v>Acct Dashboard Financing</v>
          </cell>
        </row>
        <row r="102">
          <cell r="B102" t="str">
            <v>Acct Dashboard Financing</v>
          </cell>
        </row>
        <row r="103">
          <cell r="B103" t="str">
            <v>Acct Dashboard Financing</v>
          </cell>
        </row>
        <row r="104">
          <cell r="B104" t="str">
            <v>Acct Dashboard Financing</v>
          </cell>
        </row>
        <row r="105">
          <cell r="B105" t="str">
            <v>Acct Dashboard Financing</v>
          </cell>
        </row>
        <row r="106">
          <cell r="B106" t="str">
            <v>Acct Dashboard Financing</v>
          </cell>
        </row>
        <row r="107">
          <cell r="B107" t="str">
            <v>Acct Dashboard Financing</v>
          </cell>
        </row>
        <row r="108">
          <cell r="B108" t="str">
            <v>Acct Dashboard Financing</v>
          </cell>
        </row>
        <row r="109">
          <cell r="B109" t="str">
            <v>Acct Dashboard Financing</v>
          </cell>
        </row>
        <row r="110">
          <cell r="B110" t="str">
            <v>Acct Dashboard Financing</v>
          </cell>
        </row>
        <row r="111">
          <cell r="B111" t="str">
            <v>Acct Dashboard Financing</v>
          </cell>
        </row>
        <row r="112">
          <cell r="B112" t="str">
            <v>Acct Dashboard Financing</v>
          </cell>
        </row>
        <row r="113">
          <cell r="B113" t="str">
            <v>Acct Dashboard Financing</v>
          </cell>
        </row>
        <row r="114">
          <cell r="B114" t="str">
            <v>Acct Dashboard Financing</v>
          </cell>
        </row>
        <row r="115">
          <cell r="B115" t="str">
            <v>Acct Dashboard Financing</v>
          </cell>
        </row>
        <row r="116">
          <cell r="B116" t="str">
            <v>Acct Dashboard Financing</v>
          </cell>
        </row>
        <row r="117">
          <cell r="B117" t="str">
            <v>Acct Dashboard Financing</v>
          </cell>
        </row>
        <row r="118">
          <cell r="B118" t="str">
            <v>Acct Dashboard Financing</v>
          </cell>
        </row>
        <row r="119">
          <cell r="B119" t="str">
            <v>Acct Dashboard Financing</v>
          </cell>
        </row>
        <row r="120">
          <cell r="B120" t="str">
            <v>Acct Dashboard Financing</v>
          </cell>
        </row>
        <row r="121">
          <cell r="B121" t="str">
            <v>Acct Dashboard Financing</v>
          </cell>
        </row>
        <row r="122">
          <cell r="B122" t="str">
            <v>Acct Dashboard Financing</v>
          </cell>
        </row>
        <row r="123">
          <cell r="B123" t="str">
            <v>Acct Dashboard Financing</v>
          </cell>
        </row>
        <row r="124">
          <cell r="B124" t="str">
            <v>Acct Dashboard Financing</v>
          </cell>
        </row>
        <row r="125">
          <cell r="B125" t="str">
            <v>Acct Dashboard Financing</v>
          </cell>
        </row>
        <row r="126">
          <cell r="B126" t="str">
            <v>Acct Dashboard Financing</v>
          </cell>
        </row>
        <row r="127">
          <cell r="B127" t="str">
            <v>Acct Dashboard Financing</v>
          </cell>
        </row>
        <row r="128">
          <cell r="B128" t="str">
            <v>Acct Dashboard Financing</v>
          </cell>
        </row>
        <row r="129">
          <cell r="B129" t="str">
            <v>Acct Dashboard Financing</v>
          </cell>
        </row>
        <row r="130">
          <cell r="B130" t="str">
            <v>Acct Dashboard Financing</v>
          </cell>
        </row>
        <row r="131">
          <cell r="B131" t="str">
            <v>Acct Dashboard Financing</v>
          </cell>
        </row>
        <row r="132">
          <cell r="B132" t="str">
            <v>Acct Dashboard Financing</v>
          </cell>
        </row>
        <row r="133">
          <cell r="B133" t="str">
            <v>Acct Dashboard Financing</v>
          </cell>
        </row>
        <row r="134">
          <cell r="B134" t="str">
            <v>Acct Dashboard Financing</v>
          </cell>
        </row>
        <row r="135">
          <cell r="B135" t="str">
            <v>Acct Dashboard Financing</v>
          </cell>
        </row>
        <row r="136">
          <cell r="B136" t="str">
            <v>Acct Dashboard Non-Financing</v>
          </cell>
        </row>
        <row r="137">
          <cell r="B137" t="str">
            <v>Acct Dashboard Non-Financing</v>
          </cell>
        </row>
        <row r="138">
          <cell r="B138" t="str">
            <v>Acct Dashboard Non-Financing</v>
          </cell>
        </row>
        <row r="139">
          <cell r="B139" t="str">
            <v>Acct Dashboard Non-Financing</v>
          </cell>
        </row>
        <row r="140">
          <cell r="B140" t="str">
            <v>Acct Dashboard Non-Financing</v>
          </cell>
        </row>
        <row r="141">
          <cell r="B141" t="str">
            <v>Acct Dashboard Non-Financing</v>
          </cell>
        </row>
        <row r="142">
          <cell r="B142" t="str">
            <v>Acct Dashboard Non-Financing</v>
          </cell>
        </row>
        <row r="143">
          <cell r="B143" t="str">
            <v>Acct Dashboard Non-Financing</v>
          </cell>
        </row>
        <row r="144">
          <cell r="B144" t="str">
            <v>Acct Dashboard Non-Financing</v>
          </cell>
        </row>
        <row r="145">
          <cell r="B145" t="str">
            <v>Acct Dashboard Non-Financing</v>
          </cell>
        </row>
        <row r="146">
          <cell r="B146" t="str">
            <v>Acct Dashboard Non-Financing</v>
          </cell>
        </row>
        <row r="147">
          <cell r="B147" t="str">
            <v>Acct Dashboard Non-Financing</v>
          </cell>
        </row>
        <row r="148">
          <cell r="B148" t="str">
            <v>Acct Dashboard Non-Financing</v>
          </cell>
        </row>
        <row r="149">
          <cell r="B149" t="str">
            <v>Acct Dashboard Non-Financing</v>
          </cell>
        </row>
        <row r="150">
          <cell r="B150" t="str">
            <v>Acct Dashboard Non-Financing</v>
          </cell>
        </row>
        <row r="151">
          <cell r="B151" t="str">
            <v>Acct Dashboard Non-Financing</v>
          </cell>
        </row>
        <row r="152">
          <cell r="B152" t="str">
            <v>Acct Dashboard Non-Financing</v>
          </cell>
        </row>
        <row r="153">
          <cell r="B153" t="str">
            <v>Acct Dashboard Non-Financing</v>
          </cell>
        </row>
        <row r="154">
          <cell r="B154" t="str">
            <v>Acct Dashboard Non-Financing</v>
          </cell>
        </row>
        <row r="155">
          <cell r="B155" t="str">
            <v>Acct Dashboard Non-Financing</v>
          </cell>
        </row>
        <row r="156">
          <cell r="B156" t="str">
            <v>Acct Dashboard Non-Financing</v>
          </cell>
        </row>
        <row r="157">
          <cell r="B157" t="str">
            <v>Acct Dashboard Non-Financing</v>
          </cell>
        </row>
        <row r="158">
          <cell r="B158" t="str">
            <v>Acct Dashboard Non-Financing</v>
          </cell>
        </row>
        <row r="159">
          <cell r="B159" t="str">
            <v>Acct Dashboard Non-Financing</v>
          </cell>
        </row>
        <row r="160">
          <cell r="B160" t="str">
            <v>Acct Dashboard Non-Financing</v>
          </cell>
        </row>
        <row r="161">
          <cell r="B161" t="str">
            <v>Acct Dashboard Non-Financing</v>
          </cell>
        </row>
        <row r="162">
          <cell r="B162" t="str">
            <v>Acct Dashboard Non-Financing</v>
          </cell>
        </row>
        <row r="163">
          <cell r="B163" t="str">
            <v>Acct Dashboard Non-Financing</v>
          </cell>
        </row>
        <row r="164">
          <cell r="B164" t="str">
            <v>Acct Dashboard Non-Financing</v>
          </cell>
        </row>
        <row r="165">
          <cell r="B165" t="str">
            <v>Acct Dashboard Non-Financing</v>
          </cell>
        </row>
        <row r="166">
          <cell r="B166" t="str">
            <v>Acct Dashboard Non-Financing</v>
          </cell>
        </row>
        <row r="167">
          <cell r="B167" t="str">
            <v>Acct Dashboard Non-Financing</v>
          </cell>
        </row>
        <row r="168">
          <cell r="B168" t="str">
            <v>Acct Dashboard Non-Financing</v>
          </cell>
        </row>
        <row r="169">
          <cell r="B169" t="str">
            <v>Acct Dashboard Non-Financing</v>
          </cell>
        </row>
        <row r="170">
          <cell r="B170" t="str">
            <v>Acct Dashboard Non-Financing</v>
          </cell>
        </row>
        <row r="171">
          <cell r="B171" t="str">
            <v>Acct Dashboard Non-Financing</v>
          </cell>
        </row>
        <row r="172">
          <cell r="B172" t="str">
            <v>Acct Dashboard Non-Financing</v>
          </cell>
        </row>
        <row r="173">
          <cell r="B173" t="str">
            <v>Acct Dashboard Non-Financing</v>
          </cell>
        </row>
        <row r="174">
          <cell r="B174" t="str">
            <v>Acct Dashboard Non-Financing</v>
          </cell>
        </row>
        <row r="175">
          <cell r="B175" t="str">
            <v>Acct Dashboard Non-Financing</v>
          </cell>
        </row>
        <row r="176">
          <cell r="B176" t="str">
            <v>Acct Dashboard Non-Financing</v>
          </cell>
        </row>
        <row r="177">
          <cell r="B177" t="str">
            <v>Acct Dashboard Non-Financing</v>
          </cell>
        </row>
        <row r="178">
          <cell r="B178" t="str">
            <v>Acct Dashboard Non-Financing</v>
          </cell>
        </row>
        <row r="179">
          <cell r="B179" t="str">
            <v>Acct Dashboard Non-Financing</v>
          </cell>
        </row>
        <row r="180">
          <cell r="B180" t="str">
            <v>Acct Dashboard Non-Financing</v>
          </cell>
        </row>
        <row r="181">
          <cell r="B181" t="str">
            <v>Acct Dashboard Non-Financing</v>
          </cell>
        </row>
        <row r="182">
          <cell r="B182" t="str">
            <v>Acct Dashboard Non-Financing</v>
          </cell>
        </row>
        <row r="183">
          <cell r="B183" t="str">
            <v>Acct Dashboard Non-Financing</v>
          </cell>
        </row>
        <row r="184">
          <cell r="B184" t="str">
            <v>Acct Dashboard Non-Financing</v>
          </cell>
        </row>
        <row r="185">
          <cell r="B185" t="str">
            <v>Acct Dashboard Non-Financing</v>
          </cell>
        </row>
        <row r="186">
          <cell r="B186" t="str">
            <v>Acct Dashboard Non-Financing</v>
          </cell>
        </row>
        <row r="187">
          <cell r="B187" t="str">
            <v>Acct Dashboard Non-Financing</v>
          </cell>
        </row>
        <row r="188">
          <cell r="B188" t="str">
            <v>Acct Dashboard Non-Financing</v>
          </cell>
        </row>
        <row r="189">
          <cell r="B189" t="str">
            <v>Acct Dashboard Non-Financing</v>
          </cell>
        </row>
        <row r="190">
          <cell r="B190" t="str">
            <v>Acct Dashboard Non-Financing</v>
          </cell>
        </row>
        <row r="191">
          <cell r="B191" t="str">
            <v>Acct Dashboard Non-Financing</v>
          </cell>
        </row>
        <row r="192">
          <cell r="B192" t="str">
            <v>Acct Dashboard Non-Financing</v>
          </cell>
        </row>
        <row r="193">
          <cell r="B193" t="str">
            <v>Acct Dashboard Non-Financing</v>
          </cell>
        </row>
        <row r="194">
          <cell r="B194" t="str">
            <v>Acct Dashboard Non-Financing</v>
          </cell>
        </row>
        <row r="195">
          <cell r="B195" t="str">
            <v>Acct Dashboard Non-Financing</v>
          </cell>
        </row>
        <row r="196">
          <cell r="B196" t="str">
            <v>Acct Dashboard Non-Financing</v>
          </cell>
        </row>
        <row r="197">
          <cell r="B197" t="str">
            <v>Acct Dashboard Non-Financing</v>
          </cell>
        </row>
        <row r="198">
          <cell r="B198" t="str">
            <v>Acct Dashboard Non-Financing</v>
          </cell>
        </row>
        <row r="199">
          <cell r="B199" t="str">
            <v>Acct Dashboard Non-Financing</v>
          </cell>
        </row>
        <row r="200">
          <cell r="B200" t="str">
            <v>Acct Dashboard Non-Financing</v>
          </cell>
        </row>
        <row r="201">
          <cell r="B201" t="str">
            <v>Acct Dashboard Non-Financing</v>
          </cell>
        </row>
        <row r="202">
          <cell r="B202" t="str">
            <v>Acct Dashboard Non-Financing</v>
          </cell>
        </row>
        <row r="203">
          <cell r="B203" t="str">
            <v>Acct Dashboard Non-Financing</v>
          </cell>
        </row>
        <row r="204">
          <cell r="B204" t="str">
            <v>Acct Dashboard Non-Financing</v>
          </cell>
        </row>
        <row r="205">
          <cell r="B205" t="str">
            <v>Acct Dashboard Non-Financing</v>
          </cell>
        </row>
        <row r="206">
          <cell r="B206" t="str">
            <v>Acct Dashboard Non-Financing</v>
          </cell>
        </row>
        <row r="207">
          <cell r="B207" t="str">
            <v>Acct Dashboard Non-Financing</v>
          </cell>
        </row>
        <row r="208">
          <cell r="B208" t="str">
            <v>Acct Dashboard Non-Financing</v>
          </cell>
        </row>
        <row r="209">
          <cell r="B209" t="str">
            <v>Acct Dashboard Non-Financing</v>
          </cell>
        </row>
        <row r="210">
          <cell r="B210" t="str">
            <v>Acct Dashboard Non-Financing</v>
          </cell>
        </row>
        <row r="211">
          <cell r="B211" t="str">
            <v>Acct Dashboard Non-Financing</v>
          </cell>
        </row>
        <row r="212">
          <cell r="B212" t="str">
            <v>Acct Dashboard Non-Financing</v>
          </cell>
        </row>
        <row r="213">
          <cell r="B213" t="str">
            <v>Acct Dashboard Non-Financing</v>
          </cell>
        </row>
        <row r="214">
          <cell r="B214" t="str">
            <v>Acct Dashboard Non-Financing</v>
          </cell>
        </row>
        <row r="215">
          <cell r="B215" t="str">
            <v>Acct Dashboard Non-Financing</v>
          </cell>
        </row>
        <row r="216">
          <cell r="B216" t="str">
            <v>Acct Dashboard Non-Financing</v>
          </cell>
        </row>
        <row r="217">
          <cell r="B217" t="str">
            <v>Acct Dashboard Non-Financing</v>
          </cell>
        </row>
        <row r="218">
          <cell r="B218" t="str">
            <v>Acct Dashboard Non-Financing</v>
          </cell>
        </row>
        <row r="219">
          <cell r="B219" t="str">
            <v>Acct Dashboard Non-Financing</v>
          </cell>
        </row>
        <row r="220">
          <cell r="B220" t="str">
            <v>Acct Dashboard Non-Financing</v>
          </cell>
        </row>
        <row r="221">
          <cell r="B221" t="str">
            <v>Acct Dashboard Non-Financing</v>
          </cell>
        </row>
        <row r="222">
          <cell r="B222" t="str">
            <v>Acct Dashboard Non-Financing</v>
          </cell>
        </row>
        <row r="223">
          <cell r="B223" t="str">
            <v>Acct Dashboard Non-Financing</v>
          </cell>
        </row>
        <row r="224">
          <cell r="B224" t="str">
            <v>Acct Dashboard Non-Financing</v>
          </cell>
        </row>
        <row r="225">
          <cell r="B225" t="str">
            <v>Acct Dashboard Non-Financing</v>
          </cell>
        </row>
        <row r="226">
          <cell r="B226" t="str">
            <v>Acct Dashboard Non-Financing</v>
          </cell>
        </row>
        <row r="227">
          <cell r="B227" t="str">
            <v>Acct Dashboard Non-Financing</v>
          </cell>
        </row>
        <row r="228">
          <cell r="B228" t="str">
            <v>Acct Dashboard Non-Financing</v>
          </cell>
        </row>
        <row r="229">
          <cell r="B229" t="str">
            <v>Acct Dashboard Non-Financing</v>
          </cell>
        </row>
        <row r="230">
          <cell r="B230" t="str">
            <v>Acct Dashboard Non-Financing</v>
          </cell>
        </row>
        <row r="231">
          <cell r="B231" t="str">
            <v>Acct Dashboard Non-Financing</v>
          </cell>
        </row>
        <row r="232">
          <cell r="B232" t="str">
            <v>Acct Dashboard Non-Financing</v>
          </cell>
        </row>
        <row r="233">
          <cell r="B233" t="str">
            <v>Acct Dashboard Non-Financing</v>
          </cell>
        </row>
        <row r="234">
          <cell r="B234" t="str">
            <v>Acct Dashboard Non-Financing</v>
          </cell>
        </row>
        <row r="235">
          <cell r="B235" t="str">
            <v>Acct Dashboard Non-Financing</v>
          </cell>
        </row>
        <row r="236">
          <cell r="B236" t="str">
            <v>Acct Dashboard Non-Financing</v>
          </cell>
        </row>
        <row r="237">
          <cell r="B237" t="str">
            <v>Acct Dashboard Non-Financing</v>
          </cell>
        </row>
        <row r="238">
          <cell r="B238" t="str">
            <v>Acct Dashboard Non-Financing</v>
          </cell>
        </row>
        <row r="239">
          <cell r="B239" t="str">
            <v>Acct Dashboard Non-Financing</v>
          </cell>
        </row>
        <row r="240">
          <cell r="B240" t="str">
            <v>Acct Dashboard Non-Financing</v>
          </cell>
        </row>
        <row r="241">
          <cell r="B241" t="str">
            <v>Acct Dashboard Non-Financing</v>
          </cell>
        </row>
        <row r="242">
          <cell r="B242" t="str">
            <v>Acct Dashboard Non-Financing</v>
          </cell>
        </row>
        <row r="243">
          <cell r="B243" t="str">
            <v>Acct Dashboard Non-Financing</v>
          </cell>
        </row>
        <row r="244">
          <cell r="B244" t="str">
            <v>Acct Dashboard Non-Financing</v>
          </cell>
        </row>
        <row r="245">
          <cell r="B245" t="str">
            <v>Acct Dashboard Non-Financing</v>
          </cell>
        </row>
        <row r="246">
          <cell r="B246" t="str">
            <v>Acct Dashboard Non-Financing</v>
          </cell>
        </row>
        <row r="247">
          <cell r="B247" t="str">
            <v>Acct Dashboard Non-Financing</v>
          </cell>
        </row>
        <row r="248">
          <cell r="B248" t="str">
            <v>Acct Dashboard Non-Financing</v>
          </cell>
        </row>
        <row r="249">
          <cell r="B249" t="str">
            <v>Acct Dashboard Non-Financing</v>
          </cell>
        </row>
        <row r="250">
          <cell r="B250" t="str">
            <v>Acct Dashboard Non-Financing</v>
          </cell>
        </row>
        <row r="251">
          <cell r="B251" t="str">
            <v>Acct Dashboard Non-Financing</v>
          </cell>
        </row>
        <row r="252">
          <cell r="B252" t="str">
            <v>Acct Dashboard Non-Financing</v>
          </cell>
        </row>
        <row r="253">
          <cell r="B253" t="str">
            <v>Acct Dashboard Non-Financing</v>
          </cell>
        </row>
        <row r="254">
          <cell r="B254" t="str">
            <v>Acct Dashboard Non-Financing</v>
          </cell>
        </row>
        <row r="255">
          <cell r="B255" t="str">
            <v>Acct Dashboard Non-Financing</v>
          </cell>
        </row>
        <row r="256">
          <cell r="B256" t="str">
            <v>Acct Dashboard Non-Financing</v>
          </cell>
        </row>
        <row r="257">
          <cell r="B257" t="str">
            <v>App Dashboard</v>
          </cell>
        </row>
        <row r="258">
          <cell r="B258" t="str">
            <v>App Dashboard</v>
          </cell>
        </row>
        <row r="259">
          <cell r="B259" t="str">
            <v>App Dashboard</v>
          </cell>
        </row>
        <row r="260">
          <cell r="B260" t="str">
            <v>App Dashboard</v>
          </cell>
        </row>
        <row r="261">
          <cell r="B261" t="str">
            <v>App Dashboard</v>
          </cell>
        </row>
        <row r="262">
          <cell r="B262" t="str">
            <v>App Dashboard</v>
          </cell>
        </row>
        <row r="263">
          <cell r="B263" t="str">
            <v>App Dashboard</v>
          </cell>
        </row>
        <row r="264">
          <cell r="B264" t="str">
            <v>App Dashboard</v>
          </cell>
        </row>
        <row r="265">
          <cell r="B265" t="str">
            <v>App Dashboard</v>
          </cell>
        </row>
        <row r="266">
          <cell r="B266" t="str">
            <v>App Dashboard</v>
          </cell>
        </row>
        <row r="267">
          <cell r="B267" t="str">
            <v>App Dashboard</v>
          </cell>
        </row>
        <row r="268">
          <cell r="B268" t="str">
            <v>App Dashboard</v>
          </cell>
        </row>
        <row r="269">
          <cell r="B269" t="str">
            <v>App Dashboard</v>
          </cell>
        </row>
        <row r="270">
          <cell r="B270" t="str">
            <v>App Dashboard</v>
          </cell>
        </row>
        <row r="271">
          <cell r="B271" t="str">
            <v>App Dashboard</v>
          </cell>
        </row>
        <row r="272">
          <cell r="B272" t="str">
            <v>App Dashboard</v>
          </cell>
        </row>
        <row r="273">
          <cell r="B273" t="str">
            <v>App Dashboard</v>
          </cell>
        </row>
        <row r="274">
          <cell r="B274" t="str">
            <v>App Dashboard</v>
          </cell>
        </row>
        <row r="275">
          <cell r="B275" t="str">
            <v>App Dashboard</v>
          </cell>
        </row>
        <row r="276">
          <cell r="B276" t="str">
            <v>App Dashboard</v>
          </cell>
        </row>
        <row r="277">
          <cell r="B277" t="str">
            <v>App Dashboard</v>
          </cell>
        </row>
        <row r="278">
          <cell r="B278" t="str">
            <v>App Dashboard</v>
          </cell>
        </row>
        <row r="279">
          <cell r="B279" t="str">
            <v>App Dashboard</v>
          </cell>
        </row>
        <row r="280">
          <cell r="B280" t="str">
            <v>App Dashboard</v>
          </cell>
        </row>
        <row r="281">
          <cell r="B281" t="str">
            <v>App Dashboard</v>
          </cell>
        </row>
        <row r="282">
          <cell r="B282" t="str">
            <v>App Dashboard</v>
          </cell>
        </row>
        <row r="283">
          <cell r="B283" t="str">
            <v>App Dashboard</v>
          </cell>
        </row>
        <row r="284">
          <cell r="B284" t="str">
            <v>App Dashboard</v>
          </cell>
        </row>
        <row r="285">
          <cell r="B285" t="str">
            <v>App Dashboard</v>
          </cell>
        </row>
        <row r="286">
          <cell r="B286" t="str">
            <v>App Dashboard</v>
          </cell>
        </row>
        <row r="287">
          <cell r="B287" t="str">
            <v>App Dashboard</v>
          </cell>
        </row>
        <row r="288">
          <cell r="B288" t="str">
            <v>App Dashboard</v>
          </cell>
        </row>
        <row r="289">
          <cell r="B289" t="str">
            <v>App Dashboard</v>
          </cell>
        </row>
        <row r="290">
          <cell r="B290" t="str">
            <v>App Dashboard</v>
          </cell>
        </row>
        <row r="291">
          <cell r="B291" t="str">
            <v>App Dashboard</v>
          </cell>
        </row>
        <row r="292">
          <cell r="B292" t="str">
            <v>App Dashboard</v>
          </cell>
        </row>
        <row r="293">
          <cell r="B293" t="str">
            <v>App Dashboard</v>
          </cell>
        </row>
        <row r="294">
          <cell r="B294" t="str">
            <v>App Dashboard</v>
          </cell>
        </row>
        <row r="295">
          <cell r="B295" t="str">
            <v>App Dashboard</v>
          </cell>
        </row>
        <row r="296">
          <cell r="B296" t="str">
            <v>App Dashboard</v>
          </cell>
        </row>
        <row r="297">
          <cell r="B297" t="str">
            <v>App Dashboard</v>
          </cell>
        </row>
        <row r="298">
          <cell r="B298" t="str">
            <v>App Dashboard</v>
          </cell>
        </row>
        <row r="299">
          <cell r="B299" t="str">
            <v>App Dashboard</v>
          </cell>
        </row>
        <row r="300">
          <cell r="B300" t="str">
            <v>App Dashboard</v>
          </cell>
        </row>
        <row r="301">
          <cell r="B301" t="str">
            <v>App Dashboard</v>
          </cell>
        </row>
        <row r="302">
          <cell r="B302" t="str">
            <v>App Dashboard</v>
          </cell>
        </row>
        <row r="303">
          <cell r="B303" t="str">
            <v>App Dashboard</v>
          </cell>
        </row>
        <row r="304">
          <cell r="B304" t="str">
            <v>App Dashboard</v>
          </cell>
        </row>
        <row r="305">
          <cell r="B305" t="str">
            <v>App Dashboard</v>
          </cell>
        </row>
        <row r="306">
          <cell r="B306" t="str">
            <v>App Dashboard</v>
          </cell>
        </row>
        <row r="307">
          <cell r="B307" t="str">
            <v>App Dashboard</v>
          </cell>
        </row>
        <row r="308">
          <cell r="B308" t="str">
            <v>App Dashboard</v>
          </cell>
        </row>
        <row r="309">
          <cell r="B309" t="str">
            <v>App Dashboard</v>
          </cell>
        </row>
        <row r="310">
          <cell r="B310" t="str">
            <v>App Dashboard</v>
          </cell>
        </row>
        <row r="311">
          <cell r="B311" t="str">
            <v>App Dashboard</v>
          </cell>
        </row>
        <row r="312">
          <cell r="B312" t="str">
            <v>App Dashboard</v>
          </cell>
        </row>
        <row r="313">
          <cell r="B313" t="str">
            <v>App Dashboard</v>
          </cell>
        </row>
        <row r="314">
          <cell r="B314" t="str">
            <v>App Dashboard</v>
          </cell>
        </row>
        <row r="315">
          <cell r="B315" t="str">
            <v>App Dashboard</v>
          </cell>
        </row>
        <row r="316">
          <cell r="B316" t="str">
            <v>App Dashboard</v>
          </cell>
        </row>
        <row r="317">
          <cell r="B317" t="str">
            <v>App Dashboard</v>
          </cell>
        </row>
        <row r="318">
          <cell r="B318" t="str">
            <v>App Dashboard</v>
          </cell>
        </row>
        <row r="319">
          <cell r="B319" t="str">
            <v>App Dashboard</v>
          </cell>
        </row>
        <row r="320">
          <cell r="B320" t="str">
            <v>App Dashboard</v>
          </cell>
        </row>
        <row r="321">
          <cell r="B321" t="str">
            <v>App Dashboard</v>
          </cell>
        </row>
        <row r="322">
          <cell r="B322" t="str">
            <v>App Dashboard</v>
          </cell>
        </row>
        <row r="323">
          <cell r="B323" t="str">
            <v>App Dashboard</v>
          </cell>
        </row>
        <row r="324">
          <cell r="B324" t="str">
            <v>App Dashboard</v>
          </cell>
        </row>
        <row r="325">
          <cell r="B325" t="str">
            <v>App Dashboard</v>
          </cell>
        </row>
        <row r="326">
          <cell r="B326" t="str">
            <v>App Dashboard</v>
          </cell>
        </row>
        <row r="327">
          <cell r="B327" t="str">
            <v>App Dashboard</v>
          </cell>
        </row>
        <row r="328">
          <cell r="B328" t="str">
            <v>App Dashboard</v>
          </cell>
        </row>
        <row r="329">
          <cell r="B329" t="str">
            <v>App Dashboard</v>
          </cell>
        </row>
        <row r="330">
          <cell r="B330" t="str">
            <v>App Dashboard</v>
          </cell>
        </row>
        <row r="331">
          <cell r="B331" t="str">
            <v>App Dashboard</v>
          </cell>
        </row>
        <row r="332">
          <cell r="B332" t="str">
            <v>App Dashboard</v>
          </cell>
        </row>
        <row r="333">
          <cell r="B333" t="str">
            <v>App Dashboard</v>
          </cell>
        </row>
        <row r="334">
          <cell r="B334" t="str">
            <v>App Dashboard</v>
          </cell>
        </row>
        <row r="335">
          <cell r="B335" t="str">
            <v>App Dashboard</v>
          </cell>
        </row>
        <row r="336">
          <cell r="B336" t="str">
            <v>App Dashboard</v>
          </cell>
        </row>
        <row r="337">
          <cell r="B337" t="str">
            <v>App Dashboard</v>
          </cell>
        </row>
        <row r="338">
          <cell r="B338" t="str">
            <v>App Dashboard</v>
          </cell>
        </row>
        <row r="339">
          <cell r="B339" t="str">
            <v>App Dashboard</v>
          </cell>
        </row>
        <row r="340">
          <cell r="B340" t="str">
            <v>App Dashboard</v>
          </cell>
        </row>
        <row r="341">
          <cell r="B341" t="str">
            <v>App Dashboard</v>
          </cell>
        </row>
        <row r="342">
          <cell r="B342" t="str">
            <v>App Dashboard</v>
          </cell>
        </row>
        <row r="343">
          <cell r="B343" t="str">
            <v>App Dashboard</v>
          </cell>
        </row>
        <row r="344">
          <cell r="B344" t="str">
            <v>App Dashboard</v>
          </cell>
        </row>
        <row r="345">
          <cell r="B345" t="str">
            <v>App Dashboard</v>
          </cell>
        </row>
        <row r="346">
          <cell r="B346" t="str">
            <v>App Dashboard</v>
          </cell>
        </row>
        <row r="347">
          <cell r="B347" t="str">
            <v>App Dashboard</v>
          </cell>
        </row>
        <row r="348">
          <cell r="B348" t="str">
            <v>App Dashboard</v>
          </cell>
        </row>
        <row r="349">
          <cell r="B349" t="str">
            <v>App Dashboard</v>
          </cell>
        </row>
        <row r="350">
          <cell r="B350" t="str">
            <v>App Dashboard</v>
          </cell>
        </row>
        <row r="351">
          <cell r="B351" t="str">
            <v>App Dashboard</v>
          </cell>
        </row>
        <row r="352">
          <cell r="B352" t="str">
            <v>App Dashboard</v>
          </cell>
        </row>
        <row r="353">
          <cell r="B353" t="str">
            <v>App Dashboard</v>
          </cell>
        </row>
        <row r="354">
          <cell r="B354" t="str">
            <v>App Dashboard</v>
          </cell>
        </row>
        <row r="355">
          <cell r="B355" t="str">
            <v>App Dashboard</v>
          </cell>
        </row>
        <row r="356">
          <cell r="B356" t="str">
            <v>App Dashboard</v>
          </cell>
        </row>
        <row r="357">
          <cell r="B357" t="str">
            <v>App Dashboard</v>
          </cell>
        </row>
        <row r="358">
          <cell r="B358" t="str">
            <v>App Dashboard</v>
          </cell>
        </row>
        <row r="359">
          <cell r="B359" t="str">
            <v>App Dashboard</v>
          </cell>
        </row>
        <row r="360">
          <cell r="B360" t="str">
            <v>App Dashboard</v>
          </cell>
        </row>
        <row r="361">
          <cell r="B361" t="str">
            <v>App Dashboard</v>
          </cell>
        </row>
        <row r="362">
          <cell r="B362" t="str">
            <v>App Dashboard</v>
          </cell>
        </row>
        <row r="363">
          <cell r="B363" t="str">
            <v>App Dashboard</v>
          </cell>
        </row>
        <row r="364">
          <cell r="B364" t="str">
            <v>App Dashboard</v>
          </cell>
        </row>
        <row r="365">
          <cell r="B365" t="str">
            <v>App Dashboard</v>
          </cell>
        </row>
        <row r="366">
          <cell r="B366" t="str">
            <v>App Dashboard</v>
          </cell>
        </row>
        <row r="367">
          <cell r="B367" t="str">
            <v>App Dashboard</v>
          </cell>
        </row>
        <row r="368">
          <cell r="B368" t="str">
            <v>App Dashboard</v>
          </cell>
        </row>
        <row r="369">
          <cell r="B369" t="str">
            <v>App Dashboard</v>
          </cell>
        </row>
        <row r="370">
          <cell r="B370" t="str">
            <v>A&amp;A</v>
          </cell>
        </row>
        <row r="371">
          <cell r="B371" t="str">
            <v>A&amp;A</v>
          </cell>
        </row>
        <row r="372">
          <cell r="B372" t="str">
            <v>A&amp;A</v>
          </cell>
        </row>
        <row r="373">
          <cell r="B373" t="str">
            <v>A&amp;A</v>
          </cell>
        </row>
        <row r="374">
          <cell r="B374" t="str">
            <v>A&amp;A</v>
          </cell>
        </row>
        <row r="375">
          <cell r="B375" t="str">
            <v>A&amp;A</v>
          </cell>
        </row>
        <row r="376">
          <cell r="B376" t="str">
            <v>A&amp;A</v>
          </cell>
        </row>
        <row r="377">
          <cell r="B377" t="str">
            <v>A&amp;A</v>
          </cell>
        </row>
        <row r="378">
          <cell r="B378" t="str">
            <v>A&amp;A</v>
          </cell>
        </row>
        <row r="379">
          <cell r="B379" t="str">
            <v>A&amp;A</v>
          </cell>
        </row>
        <row r="380">
          <cell r="B380" t="str">
            <v>A&amp;A</v>
          </cell>
        </row>
        <row r="381">
          <cell r="B381" t="str">
            <v>A&amp;A</v>
          </cell>
        </row>
        <row r="382">
          <cell r="B382" t="str">
            <v>A&amp;A</v>
          </cell>
        </row>
        <row r="383">
          <cell r="B383" t="str">
            <v>A&amp;A</v>
          </cell>
        </row>
        <row r="384">
          <cell r="B384" t="str">
            <v>A&amp;A</v>
          </cell>
        </row>
        <row r="385">
          <cell r="B385" t="str">
            <v>A&amp;A</v>
          </cell>
        </row>
        <row r="386">
          <cell r="B386" t="str">
            <v>A&amp;A</v>
          </cell>
        </row>
        <row r="387">
          <cell r="B387" t="str">
            <v>A&amp;A</v>
          </cell>
        </row>
        <row r="388">
          <cell r="B388" t="str">
            <v>A&amp;A</v>
          </cell>
        </row>
        <row r="389">
          <cell r="B389" t="str">
            <v>A&amp;A</v>
          </cell>
        </row>
        <row r="390">
          <cell r="B390" t="str">
            <v>A&amp;A</v>
          </cell>
        </row>
        <row r="391">
          <cell r="B391" t="str">
            <v>A&amp;A</v>
          </cell>
        </row>
        <row r="392">
          <cell r="B392" t="str">
            <v>A&amp;A</v>
          </cell>
        </row>
        <row r="393">
          <cell r="B393" t="str">
            <v>A&amp;A</v>
          </cell>
        </row>
        <row r="394">
          <cell r="B394" t="str">
            <v>A&amp;A</v>
          </cell>
        </row>
        <row r="395">
          <cell r="B395" t="str">
            <v>A&amp;A</v>
          </cell>
        </row>
        <row r="396">
          <cell r="B396" t="str">
            <v>A&amp;A</v>
          </cell>
        </row>
        <row r="397">
          <cell r="B397" t="str">
            <v>A&amp;A</v>
          </cell>
        </row>
        <row r="398">
          <cell r="B398" t="str">
            <v>A&amp;A</v>
          </cell>
        </row>
        <row r="399">
          <cell r="B399" t="str">
            <v>A&amp;A</v>
          </cell>
        </row>
        <row r="400">
          <cell r="B400" t="str">
            <v>A&amp;A</v>
          </cell>
        </row>
        <row r="401">
          <cell r="B401" t="str">
            <v>A&amp;A</v>
          </cell>
        </row>
        <row r="402">
          <cell r="B402" t="str">
            <v>A&amp;A</v>
          </cell>
        </row>
        <row r="403">
          <cell r="B403" t="str">
            <v>A&amp;A</v>
          </cell>
        </row>
        <row r="404">
          <cell r="B404" t="str">
            <v>A&amp;A</v>
          </cell>
        </row>
        <row r="405">
          <cell r="B405" t="str">
            <v>A&amp;A</v>
          </cell>
        </row>
        <row r="406">
          <cell r="B406" t="str">
            <v>A&amp;A</v>
          </cell>
        </row>
        <row r="407">
          <cell r="B407" t="str">
            <v>A&amp;A</v>
          </cell>
        </row>
        <row r="408">
          <cell r="B408" t="str">
            <v>A&amp;A</v>
          </cell>
        </row>
        <row r="409">
          <cell r="B409" t="str">
            <v>A&amp;A</v>
          </cell>
        </row>
        <row r="410">
          <cell r="B410" t="str">
            <v>A&amp;A</v>
          </cell>
        </row>
        <row r="411">
          <cell r="B411" t="str">
            <v>A&amp;A</v>
          </cell>
        </row>
        <row r="412">
          <cell r="B412" t="str">
            <v>A&amp;A</v>
          </cell>
        </row>
        <row r="413">
          <cell r="B413" t="str">
            <v>A&amp;A</v>
          </cell>
        </row>
        <row r="414">
          <cell r="B414" t="str">
            <v>A&amp;A</v>
          </cell>
        </row>
        <row r="415">
          <cell r="B415" t="str">
            <v>A&amp;A</v>
          </cell>
        </row>
        <row r="416">
          <cell r="B416" t="str">
            <v>A&amp;A</v>
          </cell>
        </row>
        <row r="417">
          <cell r="B417" t="str">
            <v>A&amp;A</v>
          </cell>
        </row>
        <row r="418">
          <cell r="B418" t="str">
            <v>A&amp;A</v>
          </cell>
        </row>
        <row r="419">
          <cell r="B419" t="str">
            <v>A&amp;A</v>
          </cell>
        </row>
        <row r="420">
          <cell r="B420" t="str">
            <v>A&amp;A</v>
          </cell>
        </row>
        <row r="421">
          <cell r="B421" t="str">
            <v>A&amp;A</v>
          </cell>
        </row>
        <row r="422">
          <cell r="B422" t="str">
            <v>A&amp;A</v>
          </cell>
        </row>
        <row r="423">
          <cell r="B423" t="str">
            <v>A&amp;A</v>
          </cell>
        </row>
        <row r="424">
          <cell r="B424" t="str">
            <v>A&amp;A</v>
          </cell>
        </row>
        <row r="425">
          <cell r="B425" t="str">
            <v>A&amp;A</v>
          </cell>
        </row>
        <row r="426">
          <cell r="B426" t="str">
            <v>A&amp;A</v>
          </cell>
        </row>
        <row r="427">
          <cell r="B427" t="str">
            <v>A&amp;A</v>
          </cell>
        </row>
        <row r="428">
          <cell r="B428" t="str">
            <v>A&amp;A</v>
          </cell>
        </row>
        <row r="429">
          <cell r="B429" t="str">
            <v>A&amp;A</v>
          </cell>
        </row>
        <row r="430">
          <cell r="B430" t="str">
            <v>A&amp;A</v>
          </cell>
        </row>
        <row r="431">
          <cell r="B431" t="str">
            <v>A&amp;A</v>
          </cell>
        </row>
        <row r="432">
          <cell r="B432" t="str">
            <v>A&amp;A</v>
          </cell>
        </row>
        <row r="433">
          <cell r="B433" t="str">
            <v>A&amp;A</v>
          </cell>
        </row>
        <row r="434">
          <cell r="B434" t="str">
            <v>Local Transfer</v>
          </cell>
        </row>
        <row r="435">
          <cell r="B435" t="str">
            <v>Local Transfer</v>
          </cell>
        </row>
        <row r="436">
          <cell r="B436" t="str">
            <v>Local Transfer</v>
          </cell>
        </row>
        <row r="437">
          <cell r="B437" t="str">
            <v>Local Transfer</v>
          </cell>
        </row>
        <row r="438">
          <cell r="B438" t="str">
            <v>Local Transfer</v>
          </cell>
        </row>
        <row r="439">
          <cell r="B439" t="str">
            <v>Local Transfer</v>
          </cell>
        </row>
        <row r="440">
          <cell r="B440" t="str">
            <v>Local Transfer</v>
          </cell>
        </row>
        <row r="441">
          <cell r="B441" t="str">
            <v>Local Transfer</v>
          </cell>
        </row>
        <row r="442">
          <cell r="B442" t="str">
            <v>Local Transfer</v>
          </cell>
        </row>
        <row r="443">
          <cell r="B443" t="str">
            <v>Local Transfer</v>
          </cell>
        </row>
        <row r="444">
          <cell r="B444" t="str">
            <v>Local Transfer</v>
          </cell>
        </row>
        <row r="445">
          <cell r="B445" t="str">
            <v>Local Transfer</v>
          </cell>
        </row>
        <row r="446">
          <cell r="B446" t="str">
            <v>Local Transfer</v>
          </cell>
        </row>
        <row r="447">
          <cell r="B447" t="str">
            <v>Local Transfer</v>
          </cell>
        </row>
        <row r="448">
          <cell r="B448" t="str">
            <v>Local Transfer</v>
          </cell>
        </row>
        <row r="449">
          <cell r="B449" t="str">
            <v>Local Transfer</v>
          </cell>
        </row>
        <row r="450">
          <cell r="B450" t="str">
            <v>Local Transfer</v>
          </cell>
        </row>
        <row r="451">
          <cell r="B451" t="str">
            <v>Local Transfer</v>
          </cell>
        </row>
        <row r="452">
          <cell r="B452" t="str">
            <v>Local Transfer</v>
          </cell>
        </row>
        <row r="453">
          <cell r="B453" t="str">
            <v>Local Transfer</v>
          </cell>
        </row>
        <row r="454">
          <cell r="B454" t="str">
            <v>Local Transfer</v>
          </cell>
        </row>
        <row r="455">
          <cell r="B455" t="str">
            <v>Local Transfer</v>
          </cell>
        </row>
        <row r="456">
          <cell r="B456" t="str">
            <v>Local Transfer</v>
          </cell>
        </row>
        <row r="457">
          <cell r="B457" t="str">
            <v>Local Transfer</v>
          </cell>
        </row>
        <row r="458">
          <cell r="B458" t="str">
            <v>Local Transfer</v>
          </cell>
        </row>
        <row r="459">
          <cell r="B459" t="str">
            <v>Local Transfer</v>
          </cell>
        </row>
        <row r="460">
          <cell r="B460" t="str">
            <v>Local Transfer</v>
          </cell>
        </row>
        <row r="461">
          <cell r="B461" t="str">
            <v>Local Transfer</v>
          </cell>
        </row>
        <row r="462">
          <cell r="B462" t="str">
            <v>Local Transfer</v>
          </cell>
        </row>
        <row r="463">
          <cell r="B463" t="str">
            <v>Local Transfer</v>
          </cell>
        </row>
        <row r="464">
          <cell r="B464" t="str">
            <v>Local Transfer</v>
          </cell>
        </row>
        <row r="465">
          <cell r="B465" t="str">
            <v>Local Transfer</v>
          </cell>
        </row>
        <row r="466">
          <cell r="B466" t="str">
            <v>Local Transfer</v>
          </cell>
        </row>
        <row r="467">
          <cell r="B467" t="str">
            <v>Local Transfer</v>
          </cell>
        </row>
        <row r="468">
          <cell r="B468" t="str">
            <v>Local Transfer</v>
          </cell>
        </row>
        <row r="469">
          <cell r="B469" t="str">
            <v>Local Transfer</v>
          </cell>
        </row>
        <row r="470">
          <cell r="B470" t="str">
            <v>Local Transfer</v>
          </cell>
        </row>
        <row r="471">
          <cell r="B471" t="str">
            <v>Local Transfer</v>
          </cell>
        </row>
        <row r="472">
          <cell r="B472" t="str">
            <v>Local Transfer</v>
          </cell>
        </row>
        <row r="473">
          <cell r="B473" t="str">
            <v>Local Transfer</v>
          </cell>
        </row>
        <row r="474">
          <cell r="B474" t="str">
            <v>Local Transfer</v>
          </cell>
        </row>
        <row r="475">
          <cell r="B475" t="str">
            <v>Local Transfer</v>
          </cell>
        </row>
        <row r="476">
          <cell r="B476" t="str">
            <v>Local Transfer</v>
          </cell>
        </row>
        <row r="477">
          <cell r="B477" t="str">
            <v>Local Transfer</v>
          </cell>
        </row>
        <row r="478">
          <cell r="B478" t="str">
            <v>Local Transfer</v>
          </cell>
        </row>
        <row r="479">
          <cell r="B479" t="str">
            <v>Local Transfer</v>
          </cell>
        </row>
        <row r="480">
          <cell r="B480" t="str">
            <v>Local Transfer</v>
          </cell>
        </row>
        <row r="481">
          <cell r="B481" t="str">
            <v>Local Transfer</v>
          </cell>
        </row>
        <row r="482">
          <cell r="B482" t="str">
            <v>Local Transfer</v>
          </cell>
        </row>
        <row r="483">
          <cell r="B483" t="str">
            <v>Local Transfer</v>
          </cell>
        </row>
        <row r="484">
          <cell r="B484" t="str">
            <v>Local Transfer</v>
          </cell>
        </row>
        <row r="485">
          <cell r="B485" t="str">
            <v>Local Transfer</v>
          </cell>
        </row>
        <row r="486">
          <cell r="B486" t="str">
            <v>Local Transfer</v>
          </cell>
        </row>
        <row r="487">
          <cell r="B487" t="str">
            <v>Local Transfer</v>
          </cell>
        </row>
        <row r="488">
          <cell r="B488" t="str">
            <v>Local Transfer</v>
          </cell>
        </row>
        <row r="489">
          <cell r="B489" t="str">
            <v>Local Transfer</v>
          </cell>
        </row>
        <row r="490">
          <cell r="B490" t="str">
            <v>Local Transfer</v>
          </cell>
        </row>
        <row r="491">
          <cell r="B491" t="str">
            <v>Local Transfer</v>
          </cell>
        </row>
        <row r="492">
          <cell r="B492" t="str">
            <v>Local Transfer</v>
          </cell>
        </row>
        <row r="493">
          <cell r="B493" t="str">
            <v>Local Transfer</v>
          </cell>
        </row>
        <row r="494">
          <cell r="B494" t="str">
            <v>Local Transfer</v>
          </cell>
        </row>
        <row r="495">
          <cell r="B495" t="str">
            <v>Local Transfer</v>
          </cell>
        </row>
        <row r="496">
          <cell r="B496" t="str">
            <v>Local Transfer</v>
          </cell>
        </row>
        <row r="497">
          <cell r="B497" t="str">
            <v>Local Transfer</v>
          </cell>
        </row>
        <row r="498">
          <cell r="B498" t="str">
            <v>Local Transfer</v>
          </cell>
        </row>
        <row r="499">
          <cell r="B499" t="str">
            <v>Local Transfer</v>
          </cell>
        </row>
        <row r="500">
          <cell r="B500" t="str">
            <v>Local Transfer</v>
          </cell>
        </row>
        <row r="501">
          <cell r="B501" t="str">
            <v>Local Transfer</v>
          </cell>
        </row>
        <row r="502">
          <cell r="B502" t="str">
            <v>Local Transfer</v>
          </cell>
        </row>
        <row r="503">
          <cell r="B503" t="str">
            <v>Local Transfer</v>
          </cell>
        </row>
        <row r="504">
          <cell r="B504" t="str">
            <v>Local Transfer</v>
          </cell>
        </row>
        <row r="505">
          <cell r="B505" t="str">
            <v>Local Transfer</v>
          </cell>
        </row>
        <row r="506">
          <cell r="B506" t="str">
            <v>Local Transfer</v>
          </cell>
        </row>
        <row r="507">
          <cell r="B507" t="str">
            <v>Local Transfer</v>
          </cell>
        </row>
        <row r="508">
          <cell r="B508" t="str">
            <v>Local Transfer</v>
          </cell>
        </row>
        <row r="509">
          <cell r="B509" t="str">
            <v>Local Transfer</v>
          </cell>
        </row>
        <row r="510">
          <cell r="B510" t="str">
            <v>Local Transfer</v>
          </cell>
        </row>
        <row r="511">
          <cell r="B511" t="str">
            <v>Local Transfer</v>
          </cell>
        </row>
        <row r="512">
          <cell r="B512" t="str">
            <v>Local Transfer</v>
          </cell>
        </row>
        <row r="513">
          <cell r="B513" t="str">
            <v>Local Transfer</v>
          </cell>
        </row>
        <row r="514">
          <cell r="B514" t="str">
            <v>Local Transfer</v>
          </cell>
        </row>
        <row r="515">
          <cell r="B515" t="str">
            <v>Local Transfer</v>
          </cell>
        </row>
        <row r="516">
          <cell r="B516" t="str">
            <v>Local Transfer</v>
          </cell>
        </row>
        <row r="517">
          <cell r="B517" t="str">
            <v>Local Transfer</v>
          </cell>
        </row>
        <row r="518">
          <cell r="B518" t="str">
            <v>Local Transfer</v>
          </cell>
        </row>
        <row r="519">
          <cell r="B519" t="str">
            <v>Local Transfer</v>
          </cell>
        </row>
        <row r="520">
          <cell r="B520" t="str">
            <v>Local Transfer</v>
          </cell>
        </row>
        <row r="521">
          <cell r="B521" t="str">
            <v>Local Transfer</v>
          </cell>
        </row>
        <row r="522">
          <cell r="B522" t="str">
            <v>Local Transfer</v>
          </cell>
        </row>
        <row r="523">
          <cell r="B523" t="str">
            <v>Local Transfer</v>
          </cell>
        </row>
        <row r="524">
          <cell r="B524" t="str">
            <v>Local Transfer</v>
          </cell>
        </row>
        <row r="525">
          <cell r="B525" t="str">
            <v>Local Transfer</v>
          </cell>
        </row>
        <row r="526">
          <cell r="B526" t="str">
            <v>Local Transfer</v>
          </cell>
        </row>
        <row r="527">
          <cell r="B527" t="str">
            <v>Local Transfer</v>
          </cell>
        </row>
        <row r="528">
          <cell r="B528" t="str">
            <v>Local Transfer</v>
          </cell>
        </row>
        <row r="529">
          <cell r="B529" t="str">
            <v>Local Transfer</v>
          </cell>
        </row>
        <row r="530">
          <cell r="B530" t="str">
            <v>Local Transfer</v>
          </cell>
        </row>
        <row r="531">
          <cell r="B531" t="str">
            <v>Local Transfer</v>
          </cell>
        </row>
        <row r="532">
          <cell r="B532" t="str">
            <v>Local Transfer</v>
          </cell>
        </row>
        <row r="533">
          <cell r="B533" t="str">
            <v>Local Transfer</v>
          </cell>
        </row>
        <row r="534">
          <cell r="B534" t="str">
            <v>Local Transfer</v>
          </cell>
        </row>
        <row r="535">
          <cell r="B535" t="str">
            <v>Local Transfer</v>
          </cell>
        </row>
        <row r="536">
          <cell r="B536" t="str">
            <v>Local Transfer</v>
          </cell>
        </row>
        <row r="537">
          <cell r="B537" t="str">
            <v>Local Transfer</v>
          </cell>
        </row>
        <row r="538">
          <cell r="B538" t="str">
            <v>Local Transfer</v>
          </cell>
        </row>
        <row r="539">
          <cell r="B539" t="str">
            <v>Local Transfer</v>
          </cell>
        </row>
        <row r="540">
          <cell r="B540" t="str">
            <v>Local Transfer</v>
          </cell>
        </row>
        <row r="541">
          <cell r="B541" t="str">
            <v>Local Transfer</v>
          </cell>
        </row>
        <row r="542">
          <cell r="B542" t="str">
            <v>Local Transfer</v>
          </cell>
        </row>
        <row r="543">
          <cell r="B543" t="str">
            <v>Local Transfer</v>
          </cell>
        </row>
        <row r="544">
          <cell r="B544" t="str">
            <v>Local Transfer</v>
          </cell>
        </row>
        <row r="545">
          <cell r="B545" t="str">
            <v>Local Transfer</v>
          </cell>
        </row>
        <row r="546">
          <cell r="B546" t="str">
            <v>Local Transfer</v>
          </cell>
        </row>
        <row r="547">
          <cell r="B547" t="str">
            <v>Local Transfer</v>
          </cell>
        </row>
        <row r="548">
          <cell r="B548" t="str">
            <v>Local Transfer</v>
          </cell>
        </row>
        <row r="549">
          <cell r="B549" t="str">
            <v>Scan &amp; pay</v>
          </cell>
        </row>
        <row r="550">
          <cell r="B550" t="str">
            <v>Scan &amp; pay</v>
          </cell>
        </row>
        <row r="551">
          <cell r="B551" t="str">
            <v>Scan &amp; pay</v>
          </cell>
        </row>
        <row r="552">
          <cell r="B552" t="str">
            <v>Scan &amp; pay</v>
          </cell>
        </row>
        <row r="553">
          <cell r="B553" t="str">
            <v>Scan &amp; pay</v>
          </cell>
        </row>
        <row r="554">
          <cell r="B554" t="str">
            <v>Scan &amp; pay</v>
          </cell>
        </row>
        <row r="555">
          <cell r="B555" t="str">
            <v>Scan &amp; pay</v>
          </cell>
        </row>
        <row r="556">
          <cell r="B556" t="str">
            <v>Scan &amp; pay</v>
          </cell>
        </row>
        <row r="557">
          <cell r="B557" t="str">
            <v>Scan &amp; pay</v>
          </cell>
        </row>
        <row r="558">
          <cell r="B558" t="str">
            <v>Scan &amp; pay</v>
          </cell>
        </row>
        <row r="559">
          <cell r="B559" t="str">
            <v>Scan &amp; pay</v>
          </cell>
        </row>
        <row r="560">
          <cell r="B560" t="str">
            <v>Scan &amp; pay</v>
          </cell>
        </row>
        <row r="561">
          <cell r="B561" t="str">
            <v>Scan &amp; pay</v>
          </cell>
        </row>
        <row r="562">
          <cell r="B562" t="str">
            <v>Scan &amp; pay</v>
          </cell>
        </row>
        <row r="563">
          <cell r="B563" t="str">
            <v>Scan &amp; pay</v>
          </cell>
        </row>
        <row r="564">
          <cell r="B564" t="str">
            <v>Scan &amp; pay</v>
          </cell>
        </row>
        <row r="565">
          <cell r="B565" t="str">
            <v>Scan &amp; pay</v>
          </cell>
        </row>
        <row r="566">
          <cell r="B566" t="str">
            <v>Scan &amp; pay</v>
          </cell>
        </row>
        <row r="567">
          <cell r="B567" t="str">
            <v>Scan &amp; pay</v>
          </cell>
        </row>
        <row r="568">
          <cell r="B568" t="str">
            <v>Scan &amp; pay</v>
          </cell>
        </row>
        <row r="569">
          <cell r="B569" t="str">
            <v>Scan &amp; pay</v>
          </cell>
        </row>
        <row r="570">
          <cell r="B570" t="str">
            <v>Scan &amp; pay</v>
          </cell>
        </row>
        <row r="571">
          <cell r="B571" t="str">
            <v>Scan &amp; pay</v>
          </cell>
        </row>
        <row r="572">
          <cell r="B572" t="str">
            <v>Scan &amp; pay</v>
          </cell>
        </row>
        <row r="573">
          <cell r="B573" t="str">
            <v>Scan &amp; pay</v>
          </cell>
        </row>
        <row r="574">
          <cell r="B574" t="str">
            <v>Scan &amp; pay</v>
          </cell>
        </row>
        <row r="575">
          <cell r="B575" t="str">
            <v>Scan &amp; pay</v>
          </cell>
        </row>
        <row r="576">
          <cell r="B576" t="str">
            <v>Scan &amp; pay</v>
          </cell>
        </row>
        <row r="577">
          <cell r="B577" t="str">
            <v>Scan &amp; pay</v>
          </cell>
        </row>
        <row r="578">
          <cell r="B578" t="str">
            <v>Scan &amp; pay</v>
          </cell>
        </row>
        <row r="579">
          <cell r="B579" t="str">
            <v>Scan &amp; pay</v>
          </cell>
        </row>
        <row r="580">
          <cell r="B580" t="str">
            <v>Scan &amp; pay</v>
          </cell>
        </row>
        <row r="581">
          <cell r="B581" t="str">
            <v>Scan &amp; pay</v>
          </cell>
        </row>
        <row r="582">
          <cell r="B582" t="str">
            <v>Scan &amp; pay</v>
          </cell>
        </row>
        <row r="583">
          <cell r="B583" t="str">
            <v>Scan &amp; pay</v>
          </cell>
        </row>
        <row r="584">
          <cell r="B584" t="str">
            <v>Scan &amp; pay</v>
          </cell>
        </row>
        <row r="585">
          <cell r="B585" t="str">
            <v>Scan &amp; pay</v>
          </cell>
        </row>
        <row r="586">
          <cell r="B586" t="str">
            <v>Scan &amp; pay</v>
          </cell>
        </row>
        <row r="587">
          <cell r="B587" t="str">
            <v>Scan &amp; pay</v>
          </cell>
        </row>
        <row r="588">
          <cell r="B588" t="str">
            <v>Scan &amp; pay</v>
          </cell>
        </row>
        <row r="589">
          <cell r="B589" t="str">
            <v>Scan &amp; pay</v>
          </cell>
        </row>
        <row r="590">
          <cell r="B590" t="str">
            <v>Scan &amp; pay</v>
          </cell>
        </row>
        <row r="591">
          <cell r="B591" t="str">
            <v>Scan &amp; pay</v>
          </cell>
        </row>
        <row r="592">
          <cell r="B592" t="str">
            <v>Scan &amp; pay</v>
          </cell>
        </row>
        <row r="593">
          <cell r="B593" t="str">
            <v>Scan &amp; pay</v>
          </cell>
        </row>
        <row r="594">
          <cell r="B594" t="str">
            <v>Scan &amp; pay</v>
          </cell>
        </row>
        <row r="595">
          <cell r="B595" t="str">
            <v>Scan &amp; pay</v>
          </cell>
        </row>
        <row r="596">
          <cell r="B596" t="str">
            <v>Scan &amp; pay</v>
          </cell>
        </row>
        <row r="597">
          <cell r="B597" t="str">
            <v>Scan &amp; pay</v>
          </cell>
        </row>
        <row r="598">
          <cell r="B598" t="str">
            <v>Scan &amp; pay</v>
          </cell>
        </row>
        <row r="599">
          <cell r="B599" t="str">
            <v>Scan &amp; pay</v>
          </cell>
        </row>
        <row r="600">
          <cell r="B600" t="str">
            <v>Scan &amp; pay</v>
          </cell>
        </row>
        <row r="601">
          <cell r="B601" t="str">
            <v>Scan &amp; pay</v>
          </cell>
        </row>
        <row r="602">
          <cell r="B602" t="str">
            <v>Scan &amp; pay</v>
          </cell>
        </row>
        <row r="603">
          <cell r="B603" t="str">
            <v>Scan &amp; pay</v>
          </cell>
        </row>
        <row r="604">
          <cell r="B604" t="str">
            <v>Scan &amp; pay</v>
          </cell>
        </row>
        <row r="605">
          <cell r="B605" t="str">
            <v>Scan &amp; pay</v>
          </cell>
        </row>
        <row r="606">
          <cell r="B606" t="str">
            <v>Scan &amp; pay</v>
          </cell>
        </row>
        <row r="607">
          <cell r="B607" t="str">
            <v>Scan &amp; pay</v>
          </cell>
        </row>
        <row r="608">
          <cell r="B608" t="str">
            <v>Scan &amp; pay</v>
          </cell>
        </row>
        <row r="609">
          <cell r="B609" t="str">
            <v>Scan &amp; pay</v>
          </cell>
        </row>
        <row r="610">
          <cell r="B610" t="str">
            <v>Scan &amp; pay</v>
          </cell>
        </row>
        <row r="611">
          <cell r="B611" t="str">
            <v>Scan &amp; pay</v>
          </cell>
        </row>
        <row r="612">
          <cell r="B612" t="str">
            <v>Scan &amp; pay</v>
          </cell>
        </row>
        <row r="613">
          <cell r="B613" t="str">
            <v>Scan &amp; pay</v>
          </cell>
        </row>
        <row r="614">
          <cell r="B614" t="str">
            <v>Scan &amp; pay</v>
          </cell>
        </row>
        <row r="615">
          <cell r="B615" t="str">
            <v>Scan &amp; pay</v>
          </cell>
        </row>
        <row r="616">
          <cell r="B616" t="str">
            <v>Scan &amp; pay</v>
          </cell>
        </row>
        <row r="617">
          <cell r="B617" t="str">
            <v>Scan &amp; pay</v>
          </cell>
        </row>
        <row r="618">
          <cell r="B618" t="str">
            <v>Scan &amp; pay</v>
          </cell>
        </row>
        <row r="619">
          <cell r="B619" t="str">
            <v>Scan &amp; pay</v>
          </cell>
        </row>
        <row r="620">
          <cell r="B620" t="str">
            <v>Scan &amp; pay</v>
          </cell>
        </row>
        <row r="621">
          <cell r="B621" t="str">
            <v>Scan &amp; pay</v>
          </cell>
        </row>
        <row r="622">
          <cell r="B622" t="str">
            <v>Scan &amp; pay</v>
          </cell>
        </row>
        <row r="623">
          <cell r="B623" t="str">
            <v>Scan &amp; pay</v>
          </cell>
        </row>
        <row r="624">
          <cell r="B624" t="str">
            <v>Scan &amp; pay</v>
          </cell>
        </row>
        <row r="625">
          <cell r="B625" t="str">
            <v>Scan &amp; pay</v>
          </cell>
        </row>
        <row r="626">
          <cell r="B626" t="str">
            <v>Scan &amp; pay</v>
          </cell>
        </row>
        <row r="627">
          <cell r="B627" t="str">
            <v>Scan &amp; pay</v>
          </cell>
        </row>
        <row r="628">
          <cell r="B628" t="str">
            <v>Scan &amp; pay</v>
          </cell>
        </row>
        <row r="629">
          <cell r="B629" t="str">
            <v>Scan &amp; pay</v>
          </cell>
        </row>
        <row r="630">
          <cell r="B630" t="str">
            <v>Scan &amp; pay</v>
          </cell>
        </row>
        <row r="631">
          <cell r="B631" t="str">
            <v>Scan &amp; pay</v>
          </cell>
        </row>
        <row r="632">
          <cell r="B632" t="str">
            <v>Scan &amp; pay</v>
          </cell>
        </row>
        <row r="633">
          <cell r="B633" t="str">
            <v>Scan &amp; pay</v>
          </cell>
        </row>
        <row r="634">
          <cell r="B634" t="str">
            <v>Scan &amp; pay</v>
          </cell>
        </row>
        <row r="635">
          <cell r="B635" t="str">
            <v>Scan &amp; pay</v>
          </cell>
        </row>
        <row r="636">
          <cell r="B636" t="str">
            <v>Scan &amp; pay</v>
          </cell>
        </row>
        <row r="637">
          <cell r="B637" t="str">
            <v>Scan &amp; pay</v>
          </cell>
        </row>
        <row r="638">
          <cell r="B638" t="str">
            <v>Scan &amp; pay</v>
          </cell>
        </row>
        <row r="639">
          <cell r="B639" t="str">
            <v>Scan &amp; pay</v>
          </cell>
        </row>
        <row r="640">
          <cell r="B640" t="str">
            <v>Scan &amp; pay</v>
          </cell>
        </row>
      </sheetData>
      <sheetData sheetId="3">
        <row r="1">
          <cell r="C1" t="str">
            <v>Module</v>
          </cell>
          <cell r="F1" t="str">
            <v>Test Type</v>
          </cell>
          <cell r="G1" t="str">
            <v>Priority</v>
          </cell>
          <cell r="O1" t="str">
            <v>Execution Status</v>
          </cell>
        </row>
        <row r="2">
          <cell r="C2" t="str">
            <v>Acct Dashboard Financing</v>
          </cell>
          <cell r="F2" t="str">
            <v>Positive</v>
          </cell>
          <cell r="G2" t="str">
            <v>Medium</v>
          </cell>
          <cell r="O2" t="str">
            <v>Not Run</v>
          </cell>
        </row>
        <row r="3">
          <cell r="C3" t="str">
            <v>Acct Dashboard Financing</v>
          </cell>
          <cell r="F3" t="str">
            <v>Negative</v>
          </cell>
          <cell r="G3" t="str">
            <v>High</v>
          </cell>
          <cell r="O3" t="str">
            <v>Not Run</v>
          </cell>
        </row>
        <row r="4">
          <cell r="C4" t="str">
            <v>Acct Dashboard Financing</v>
          </cell>
          <cell r="F4" t="str">
            <v>Security</v>
          </cell>
          <cell r="G4" t="str">
            <v>High</v>
          </cell>
          <cell r="O4" t="str">
            <v>Not Run</v>
          </cell>
        </row>
        <row r="5">
          <cell r="C5" t="str">
            <v>Acct Dashboard Financing</v>
          </cell>
          <cell r="F5" t="str">
            <v>Negative / Security</v>
          </cell>
          <cell r="G5" t="str">
            <v>High</v>
          </cell>
          <cell r="O5" t="str">
            <v>Not Run</v>
          </cell>
        </row>
        <row r="6">
          <cell r="C6" t="str">
            <v>Acct Dashboard Financing</v>
          </cell>
          <cell r="F6" t="str">
            <v>UI / Functional</v>
          </cell>
          <cell r="G6" t="str">
            <v>Medium</v>
          </cell>
          <cell r="O6" t="str">
            <v>Not Run</v>
          </cell>
        </row>
        <row r="7">
          <cell r="C7" t="str">
            <v>Acct Dashboard Financing</v>
          </cell>
          <cell r="F7" t="str">
            <v>UI / Functional</v>
          </cell>
          <cell r="G7" t="str">
            <v>Medium</v>
          </cell>
          <cell r="O7" t="str">
            <v>Not Run</v>
          </cell>
        </row>
        <row r="8">
          <cell r="C8" t="str">
            <v>Acct Dashboard Financing</v>
          </cell>
          <cell r="F8" t="str">
            <v>Functional</v>
          </cell>
          <cell r="G8" t="str">
            <v>Medium</v>
          </cell>
          <cell r="O8" t="str">
            <v>Not Run</v>
          </cell>
        </row>
        <row r="9">
          <cell r="C9" t="str">
            <v>Acct Dashboard Financing</v>
          </cell>
          <cell r="F9" t="str">
            <v>Functional</v>
          </cell>
          <cell r="G9" t="str">
            <v>Medium</v>
          </cell>
          <cell r="O9" t="str">
            <v>Not Run</v>
          </cell>
        </row>
        <row r="10">
          <cell r="C10" t="str">
            <v>Acct Dashboard Financing</v>
          </cell>
          <cell r="F10" t="str">
            <v>UI / Functional</v>
          </cell>
          <cell r="G10" t="str">
            <v>Medium</v>
          </cell>
          <cell r="O10" t="str">
            <v>Not Run</v>
          </cell>
        </row>
        <row r="11">
          <cell r="C11" t="str">
            <v>Acct Dashboard Financing</v>
          </cell>
          <cell r="F11" t="str">
            <v>Functional</v>
          </cell>
          <cell r="G11" t="str">
            <v>Medium</v>
          </cell>
          <cell r="O11" t="str">
            <v>Not Run</v>
          </cell>
        </row>
        <row r="12">
          <cell r="C12" t="str">
            <v>Acct Dashboard Financing</v>
          </cell>
          <cell r="F12" t="str">
            <v>Positive</v>
          </cell>
          <cell r="G12" t="str">
            <v>High</v>
          </cell>
          <cell r="O12" t="str">
            <v>Not Run</v>
          </cell>
        </row>
        <row r="13">
          <cell r="C13" t="str">
            <v>Acct Dashboard Financing</v>
          </cell>
          <cell r="F13" t="str">
            <v>Negative</v>
          </cell>
          <cell r="G13" t="str">
            <v>High</v>
          </cell>
          <cell r="O13" t="str">
            <v>Not Run</v>
          </cell>
        </row>
        <row r="14">
          <cell r="C14" t="str">
            <v>Acct Dashboard Financing</v>
          </cell>
          <cell r="F14" t="str">
            <v>Positive</v>
          </cell>
          <cell r="G14" t="str">
            <v>Medium</v>
          </cell>
          <cell r="O14" t="str">
            <v>Not Run</v>
          </cell>
        </row>
        <row r="15">
          <cell r="C15" t="str">
            <v>Acct Dashboard Financing</v>
          </cell>
          <cell r="F15" t="str">
            <v>Negative</v>
          </cell>
          <cell r="G15" t="str">
            <v>High</v>
          </cell>
          <cell r="O15" t="str">
            <v>Not Run</v>
          </cell>
        </row>
        <row r="16">
          <cell r="C16" t="str">
            <v>Acct Dashboard Financing</v>
          </cell>
          <cell r="F16" t="str">
            <v>Security</v>
          </cell>
          <cell r="G16" t="str">
            <v>High</v>
          </cell>
          <cell r="O16" t="str">
            <v>Not Run</v>
          </cell>
        </row>
        <row r="17">
          <cell r="C17" t="str">
            <v>Acct Dashboard Financing</v>
          </cell>
          <cell r="F17" t="str">
            <v>Negative / Security</v>
          </cell>
          <cell r="G17" t="str">
            <v>High</v>
          </cell>
          <cell r="O17" t="str">
            <v>Not Run</v>
          </cell>
        </row>
        <row r="18">
          <cell r="C18" t="str">
            <v>Acct Dashboard Financing</v>
          </cell>
          <cell r="F18" t="str">
            <v>UI / Functional</v>
          </cell>
          <cell r="G18" t="str">
            <v>Medium</v>
          </cell>
          <cell r="O18" t="str">
            <v>Not Run</v>
          </cell>
        </row>
        <row r="19">
          <cell r="C19" t="str">
            <v>Acct Dashboard Financing</v>
          </cell>
          <cell r="F19" t="str">
            <v>UI / Functional</v>
          </cell>
          <cell r="G19" t="str">
            <v>Medium</v>
          </cell>
          <cell r="O19" t="str">
            <v>Not Run</v>
          </cell>
        </row>
        <row r="20">
          <cell r="C20" t="str">
            <v>Acct Dashboard Financing</v>
          </cell>
          <cell r="F20" t="str">
            <v>Functional</v>
          </cell>
          <cell r="G20" t="str">
            <v>Medium</v>
          </cell>
          <cell r="O20" t="str">
            <v>Not Run</v>
          </cell>
        </row>
        <row r="21">
          <cell r="C21" t="str">
            <v>Acct Dashboard Financing</v>
          </cell>
          <cell r="F21" t="str">
            <v>Functional</v>
          </cell>
          <cell r="G21" t="str">
            <v>Medium</v>
          </cell>
          <cell r="O21" t="str">
            <v>Not Run</v>
          </cell>
        </row>
        <row r="22">
          <cell r="C22" t="str">
            <v>Acct Dashboard Financing</v>
          </cell>
          <cell r="F22" t="str">
            <v>UI / Functional</v>
          </cell>
          <cell r="G22" t="str">
            <v>Medium</v>
          </cell>
          <cell r="O22" t="str">
            <v>Not Run</v>
          </cell>
        </row>
        <row r="23">
          <cell r="C23" t="str">
            <v>Acct Dashboard Financing</v>
          </cell>
          <cell r="F23" t="str">
            <v>Functional</v>
          </cell>
          <cell r="G23" t="str">
            <v>Medium</v>
          </cell>
          <cell r="O23" t="str">
            <v>Not Run</v>
          </cell>
        </row>
        <row r="24">
          <cell r="C24" t="str">
            <v>Acct Dashboard Financing</v>
          </cell>
          <cell r="F24" t="str">
            <v>Positive</v>
          </cell>
          <cell r="G24" t="str">
            <v>High</v>
          </cell>
          <cell r="O24" t="str">
            <v>Not Run</v>
          </cell>
        </row>
        <row r="25">
          <cell r="C25" t="str">
            <v>Acct Dashboard Financing</v>
          </cell>
          <cell r="F25" t="str">
            <v>Negative</v>
          </cell>
          <cell r="G25" t="str">
            <v>High</v>
          </cell>
          <cell r="O25" t="str">
            <v>Not Run</v>
          </cell>
        </row>
        <row r="26">
          <cell r="C26" t="str">
            <v>Acct Dashboard Financing</v>
          </cell>
          <cell r="F26" t="str">
            <v>Positive</v>
          </cell>
          <cell r="G26" t="str">
            <v>Medium</v>
          </cell>
          <cell r="O26" t="str">
            <v>Not Run</v>
          </cell>
        </row>
        <row r="27">
          <cell r="C27" t="str">
            <v>Acct Dashboard Financing</v>
          </cell>
          <cell r="F27" t="str">
            <v>Negative</v>
          </cell>
          <cell r="G27" t="str">
            <v>High</v>
          </cell>
          <cell r="O27" t="str">
            <v>Not Run</v>
          </cell>
        </row>
        <row r="28">
          <cell r="C28" t="str">
            <v>Acct Dashboard Financing</v>
          </cell>
          <cell r="F28" t="str">
            <v>Security</v>
          </cell>
          <cell r="G28" t="str">
            <v>High</v>
          </cell>
          <cell r="O28" t="str">
            <v>Not Run</v>
          </cell>
        </row>
        <row r="29">
          <cell r="C29" t="str">
            <v>Acct Dashboard Financing</v>
          </cell>
          <cell r="F29" t="str">
            <v>Negative / Security</v>
          </cell>
          <cell r="G29" t="str">
            <v>High</v>
          </cell>
          <cell r="O29" t="str">
            <v>Not Run</v>
          </cell>
        </row>
        <row r="30">
          <cell r="C30" t="str">
            <v>Acct Dashboard Financing</v>
          </cell>
          <cell r="F30" t="str">
            <v>UI / Functional</v>
          </cell>
          <cell r="G30" t="str">
            <v>Medium</v>
          </cell>
          <cell r="O30" t="str">
            <v>Not Run</v>
          </cell>
        </row>
        <row r="31">
          <cell r="C31" t="str">
            <v>Acct Dashboard Financing</v>
          </cell>
          <cell r="F31" t="str">
            <v>UI / Functional</v>
          </cell>
          <cell r="G31" t="str">
            <v>Medium</v>
          </cell>
          <cell r="O31" t="str">
            <v>Not Run</v>
          </cell>
        </row>
        <row r="32">
          <cell r="C32" t="str">
            <v>Acct Dashboard Financing</v>
          </cell>
          <cell r="F32" t="str">
            <v>Functional</v>
          </cell>
          <cell r="G32" t="str">
            <v>Medium</v>
          </cell>
          <cell r="O32" t="str">
            <v>Not Run</v>
          </cell>
        </row>
        <row r="33">
          <cell r="C33" t="str">
            <v>Acct Dashboard Financing</v>
          </cell>
          <cell r="F33" t="str">
            <v>Functional</v>
          </cell>
          <cell r="G33" t="str">
            <v>Medium</v>
          </cell>
          <cell r="O33" t="str">
            <v>Not Run</v>
          </cell>
        </row>
        <row r="34">
          <cell r="C34" t="str">
            <v>Acct Dashboard Financing</v>
          </cell>
          <cell r="F34" t="str">
            <v>Positive</v>
          </cell>
          <cell r="G34" t="str">
            <v>High</v>
          </cell>
          <cell r="O34" t="str">
            <v>Not Run</v>
          </cell>
        </row>
        <row r="35">
          <cell r="C35" t="str">
            <v>Acct Dashboard Financing</v>
          </cell>
          <cell r="F35" t="str">
            <v>Negative</v>
          </cell>
          <cell r="G35" t="str">
            <v>High</v>
          </cell>
          <cell r="O35" t="str">
            <v>Not Run</v>
          </cell>
        </row>
        <row r="36">
          <cell r="C36" t="str">
            <v>Acct Dashboard Financing</v>
          </cell>
          <cell r="F36" t="str">
            <v>Positive</v>
          </cell>
          <cell r="G36" t="str">
            <v>Medium</v>
          </cell>
          <cell r="O36" t="str">
            <v>Not Run</v>
          </cell>
        </row>
        <row r="37">
          <cell r="C37" t="str">
            <v>Acct Dashboard Financing</v>
          </cell>
          <cell r="F37" t="str">
            <v>Negative</v>
          </cell>
          <cell r="G37" t="str">
            <v>High</v>
          </cell>
          <cell r="O37" t="str">
            <v>Not Run</v>
          </cell>
        </row>
        <row r="38">
          <cell r="C38" t="str">
            <v>Acct Dashboard Financing</v>
          </cell>
          <cell r="F38" t="str">
            <v>Security</v>
          </cell>
          <cell r="G38" t="str">
            <v>High</v>
          </cell>
          <cell r="O38" t="str">
            <v>Not Run</v>
          </cell>
        </row>
        <row r="39">
          <cell r="C39" t="str">
            <v>Acct Dashboard Financing</v>
          </cell>
          <cell r="F39" t="str">
            <v>Negative / Security</v>
          </cell>
          <cell r="G39" t="str">
            <v>High</v>
          </cell>
          <cell r="O39" t="str">
            <v>Not Run</v>
          </cell>
        </row>
        <row r="40">
          <cell r="C40" t="str">
            <v>Acct Dashboard Financing</v>
          </cell>
          <cell r="F40" t="str">
            <v>UI / Functional</v>
          </cell>
          <cell r="G40" t="str">
            <v>Medium</v>
          </cell>
          <cell r="O40" t="str">
            <v>Not Run</v>
          </cell>
        </row>
        <row r="41">
          <cell r="C41" t="str">
            <v>Acct Dashboard Financing</v>
          </cell>
          <cell r="F41" t="str">
            <v>UI / Functional</v>
          </cell>
          <cell r="G41" t="str">
            <v>Medium</v>
          </cell>
          <cell r="O41" t="str">
            <v>Not Run</v>
          </cell>
        </row>
        <row r="42">
          <cell r="C42" t="str">
            <v>Acct Dashboard Financing</v>
          </cell>
          <cell r="F42" t="str">
            <v>Functional</v>
          </cell>
          <cell r="G42" t="str">
            <v>Medium</v>
          </cell>
          <cell r="O42" t="str">
            <v>Not Run</v>
          </cell>
        </row>
        <row r="43">
          <cell r="C43" t="str">
            <v>Acct Dashboard Financing</v>
          </cell>
          <cell r="F43" t="str">
            <v>Functional</v>
          </cell>
          <cell r="G43" t="str">
            <v>Medium</v>
          </cell>
          <cell r="O43" t="str">
            <v>Not Run</v>
          </cell>
        </row>
        <row r="44">
          <cell r="C44" t="str">
            <v>Acct Dashboard Financing</v>
          </cell>
          <cell r="F44" t="str">
            <v>Positive</v>
          </cell>
          <cell r="G44" t="str">
            <v>High</v>
          </cell>
          <cell r="O44" t="str">
            <v>Not Run</v>
          </cell>
        </row>
        <row r="45">
          <cell r="C45" t="str">
            <v>Acct Dashboard Financing</v>
          </cell>
          <cell r="F45" t="str">
            <v>Negative</v>
          </cell>
          <cell r="G45" t="str">
            <v>High</v>
          </cell>
          <cell r="O45" t="str">
            <v>Not Run</v>
          </cell>
        </row>
        <row r="46">
          <cell r="C46" t="str">
            <v>Acct Dashboard Financing</v>
          </cell>
          <cell r="F46" t="str">
            <v>Positive</v>
          </cell>
          <cell r="G46" t="str">
            <v>Medium</v>
          </cell>
          <cell r="O46" t="str">
            <v>Not Run</v>
          </cell>
        </row>
        <row r="47">
          <cell r="C47" t="str">
            <v>Acct Dashboard Financing</v>
          </cell>
          <cell r="F47" t="str">
            <v>Negative</v>
          </cell>
          <cell r="G47" t="str">
            <v>High</v>
          </cell>
          <cell r="O47" t="str">
            <v>Not Run</v>
          </cell>
        </row>
        <row r="48">
          <cell r="C48" t="str">
            <v>Acct Dashboard Financing</v>
          </cell>
          <cell r="F48" t="str">
            <v>Security</v>
          </cell>
          <cell r="G48" t="str">
            <v>High</v>
          </cell>
          <cell r="O48" t="str">
            <v>Not Run</v>
          </cell>
        </row>
        <row r="49">
          <cell r="C49" t="str">
            <v>Acct Dashboard Financing</v>
          </cell>
          <cell r="F49" t="str">
            <v>Negative / Security</v>
          </cell>
          <cell r="G49" t="str">
            <v>High</v>
          </cell>
          <cell r="O49" t="str">
            <v>Not Run</v>
          </cell>
        </row>
        <row r="50">
          <cell r="C50" t="str">
            <v>Acct Dashboard Financing</v>
          </cell>
          <cell r="F50" t="str">
            <v>UI / Functional</v>
          </cell>
          <cell r="G50" t="str">
            <v>Medium</v>
          </cell>
          <cell r="O50" t="str">
            <v>Not Run</v>
          </cell>
        </row>
        <row r="51">
          <cell r="C51" t="str">
            <v>Acct Dashboard Financing</v>
          </cell>
          <cell r="F51" t="str">
            <v>UI / Functional</v>
          </cell>
          <cell r="G51" t="str">
            <v>Medium</v>
          </cell>
          <cell r="O51" t="str">
            <v>Not Run</v>
          </cell>
        </row>
        <row r="52">
          <cell r="C52" t="str">
            <v>Acct Dashboard Financing</v>
          </cell>
          <cell r="F52" t="str">
            <v>Functional</v>
          </cell>
          <cell r="G52" t="str">
            <v>Medium</v>
          </cell>
          <cell r="O52" t="str">
            <v>Not Run</v>
          </cell>
        </row>
        <row r="53">
          <cell r="C53" t="str">
            <v>Acct Dashboard Financing</v>
          </cell>
          <cell r="F53" t="str">
            <v>Functional</v>
          </cell>
          <cell r="G53" t="str">
            <v>Medium</v>
          </cell>
          <cell r="O53" t="str">
            <v>Not Run</v>
          </cell>
        </row>
        <row r="54">
          <cell r="C54" t="str">
            <v>Acct Dashboard Financing</v>
          </cell>
          <cell r="F54" t="str">
            <v>Positive</v>
          </cell>
          <cell r="G54" t="str">
            <v>High</v>
          </cell>
          <cell r="O54" t="str">
            <v>Not Run</v>
          </cell>
        </row>
        <row r="55">
          <cell r="C55" t="str">
            <v>Acct Dashboard Financing</v>
          </cell>
          <cell r="F55" t="str">
            <v>Negative</v>
          </cell>
          <cell r="G55" t="str">
            <v>High</v>
          </cell>
          <cell r="O55" t="str">
            <v>Not Run</v>
          </cell>
        </row>
        <row r="56">
          <cell r="C56" t="str">
            <v>Acct Dashboard Financing</v>
          </cell>
          <cell r="F56" t="str">
            <v>Positive</v>
          </cell>
          <cell r="G56" t="str">
            <v>Medium</v>
          </cell>
          <cell r="O56" t="str">
            <v>Not Run</v>
          </cell>
        </row>
        <row r="57">
          <cell r="C57" t="str">
            <v>Acct Dashboard Financing</v>
          </cell>
          <cell r="F57" t="str">
            <v>Negative</v>
          </cell>
          <cell r="G57" t="str">
            <v>High</v>
          </cell>
          <cell r="O57" t="str">
            <v>Not Run</v>
          </cell>
        </row>
        <row r="58">
          <cell r="C58" t="str">
            <v>Acct Dashboard Financing</v>
          </cell>
          <cell r="F58" t="str">
            <v>Security</v>
          </cell>
          <cell r="G58" t="str">
            <v>High</v>
          </cell>
          <cell r="O58" t="str">
            <v>Not Run</v>
          </cell>
        </row>
        <row r="59">
          <cell r="C59" t="str">
            <v>Acct Dashboard Financing</v>
          </cell>
          <cell r="F59" t="str">
            <v>Negative / Security</v>
          </cell>
          <cell r="G59" t="str">
            <v>High</v>
          </cell>
          <cell r="O59" t="str">
            <v>Not Run</v>
          </cell>
        </row>
        <row r="60">
          <cell r="C60" t="str">
            <v>Acct Dashboard Financing</v>
          </cell>
          <cell r="F60" t="str">
            <v>UI / Functional</v>
          </cell>
          <cell r="G60" t="str">
            <v>Medium</v>
          </cell>
          <cell r="O60" t="str">
            <v>Not Run</v>
          </cell>
        </row>
        <row r="61">
          <cell r="C61" t="str">
            <v>Acct Dashboard Financing</v>
          </cell>
          <cell r="F61" t="str">
            <v>UI / Functional</v>
          </cell>
          <cell r="G61" t="str">
            <v>Medium</v>
          </cell>
          <cell r="O61" t="str">
            <v>Not Run</v>
          </cell>
        </row>
        <row r="62">
          <cell r="C62" t="str">
            <v>Acct Dashboard Financing</v>
          </cell>
          <cell r="F62" t="str">
            <v>Functional</v>
          </cell>
          <cell r="G62" t="str">
            <v>Medium</v>
          </cell>
          <cell r="O62" t="str">
            <v>Not Run</v>
          </cell>
        </row>
        <row r="63">
          <cell r="C63" t="str">
            <v>Acct Dashboard Financing</v>
          </cell>
          <cell r="F63" t="str">
            <v>Functional</v>
          </cell>
          <cell r="G63" t="str">
            <v>Medium</v>
          </cell>
          <cell r="O63" t="str">
            <v>Not Run</v>
          </cell>
        </row>
        <row r="64">
          <cell r="C64" t="str">
            <v>Acct Dashboard Financing</v>
          </cell>
          <cell r="F64" t="str">
            <v>Positive</v>
          </cell>
          <cell r="G64" t="str">
            <v>High</v>
          </cell>
          <cell r="O64" t="str">
            <v>Not Run</v>
          </cell>
        </row>
        <row r="65">
          <cell r="C65" t="str">
            <v>Acct Dashboard Financing</v>
          </cell>
          <cell r="F65" t="str">
            <v>Negative</v>
          </cell>
          <cell r="G65" t="str">
            <v>High</v>
          </cell>
          <cell r="O65" t="str">
            <v>Not Run</v>
          </cell>
        </row>
        <row r="66">
          <cell r="C66" t="str">
            <v>Acct Dashboard Financing</v>
          </cell>
          <cell r="F66" t="str">
            <v>Positive</v>
          </cell>
          <cell r="G66" t="str">
            <v>Medium</v>
          </cell>
          <cell r="O66" t="str">
            <v>Not Run</v>
          </cell>
        </row>
        <row r="67">
          <cell r="C67" t="str">
            <v>Acct Dashboard Financing</v>
          </cell>
          <cell r="F67" t="str">
            <v>Negative</v>
          </cell>
          <cell r="G67" t="str">
            <v>High</v>
          </cell>
          <cell r="O67" t="str">
            <v>Not Run</v>
          </cell>
        </row>
        <row r="68">
          <cell r="C68" t="str">
            <v>Acct Dashboard Financing</v>
          </cell>
          <cell r="F68" t="str">
            <v>Security</v>
          </cell>
          <cell r="G68" t="str">
            <v>High</v>
          </cell>
          <cell r="O68" t="str">
            <v>Not Run</v>
          </cell>
        </row>
        <row r="69">
          <cell r="C69" t="str">
            <v>Acct Dashboard Financing</v>
          </cell>
          <cell r="F69" t="str">
            <v>Negative / Security</v>
          </cell>
          <cell r="G69" t="str">
            <v>High</v>
          </cell>
          <cell r="O69" t="str">
            <v>Not Run</v>
          </cell>
        </row>
        <row r="70">
          <cell r="C70" t="str">
            <v>Acct Dashboard Financing</v>
          </cell>
          <cell r="F70" t="str">
            <v>UI / Functional</v>
          </cell>
          <cell r="G70" t="str">
            <v>Medium</v>
          </cell>
          <cell r="O70" t="str">
            <v>Not Run</v>
          </cell>
        </row>
        <row r="71">
          <cell r="C71" t="str">
            <v>Acct Dashboard Financing</v>
          </cell>
          <cell r="F71" t="str">
            <v>UI / Functional</v>
          </cell>
          <cell r="G71" t="str">
            <v>Medium</v>
          </cell>
          <cell r="O71" t="str">
            <v>Not Run</v>
          </cell>
        </row>
        <row r="72">
          <cell r="C72" t="str">
            <v>Acct Dashboard Financing</v>
          </cell>
          <cell r="F72" t="str">
            <v>UI / Functional</v>
          </cell>
          <cell r="G72" t="str">
            <v>Medium</v>
          </cell>
          <cell r="O72" t="str">
            <v>Not Run</v>
          </cell>
        </row>
        <row r="73">
          <cell r="C73" t="str">
            <v>Acct Dashboard Financing</v>
          </cell>
          <cell r="F73" t="str">
            <v>Functional</v>
          </cell>
          <cell r="G73" t="str">
            <v>High</v>
          </cell>
          <cell r="O73" t="str">
            <v>Not Run</v>
          </cell>
        </row>
        <row r="74">
          <cell r="C74" t="str">
            <v>Acct Dashboard Financing</v>
          </cell>
          <cell r="F74" t="str">
            <v>Functional</v>
          </cell>
          <cell r="G74" t="str">
            <v>Medium</v>
          </cell>
          <cell r="O74" t="str">
            <v>Not Run</v>
          </cell>
        </row>
        <row r="75">
          <cell r="C75" t="str">
            <v>Acct Dashboard Financing</v>
          </cell>
          <cell r="F75" t="str">
            <v>Functional</v>
          </cell>
          <cell r="G75" t="str">
            <v>Medium</v>
          </cell>
          <cell r="O75" t="str">
            <v>Not Run</v>
          </cell>
        </row>
        <row r="76">
          <cell r="C76" t="str">
            <v>Acct Dashboard Financing</v>
          </cell>
          <cell r="F76" t="str">
            <v>Functional</v>
          </cell>
          <cell r="G76" t="str">
            <v>Medium</v>
          </cell>
          <cell r="O76" t="str">
            <v>Not Run</v>
          </cell>
        </row>
        <row r="77">
          <cell r="C77" t="str">
            <v>Acct Dashboard Financing</v>
          </cell>
          <cell r="F77" t="str">
            <v>Functional</v>
          </cell>
          <cell r="G77" t="str">
            <v>Medium</v>
          </cell>
          <cell r="O77" t="str">
            <v>Not Run</v>
          </cell>
        </row>
        <row r="78">
          <cell r="C78" t="str">
            <v>Acct Dashboard Financing</v>
          </cell>
          <cell r="F78" t="str">
            <v>Functional</v>
          </cell>
          <cell r="G78" t="str">
            <v>Medium</v>
          </cell>
          <cell r="O78" t="str">
            <v>Not Run</v>
          </cell>
        </row>
        <row r="79">
          <cell r="C79" t="str">
            <v>Acct Dashboard Financing</v>
          </cell>
          <cell r="F79" t="str">
            <v>UI / Functional</v>
          </cell>
          <cell r="G79" t="str">
            <v>Medium</v>
          </cell>
          <cell r="O79" t="str">
            <v>Not Run</v>
          </cell>
        </row>
        <row r="80">
          <cell r="C80" t="str">
            <v>Acct Dashboard Financing</v>
          </cell>
          <cell r="F80" t="str">
            <v>Functional</v>
          </cell>
          <cell r="G80" t="str">
            <v>Medium</v>
          </cell>
          <cell r="O80" t="str">
            <v>Not Run</v>
          </cell>
        </row>
        <row r="81">
          <cell r="C81" t="str">
            <v>Acct Dashboard Financing</v>
          </cell>
          <cell r="F81" t="str">
            <v>Functional</v>
          </cell>
          <cell r="G81" t="str">
            <v>Medium</v>
          </cell>
          <cell r="O81" t="str">
            <v>Not Run</v>
          </cell>
        </row>
        <row r="82">
          <cell r="C82" t="str">
            <v>Acct Dashboard Financing</v>
          </cell>
          <cell r="F82" t="str">
            <v>Functional</v>
          </cell>
          <cell r="G82" t="str">
            <v>Medium</v>
          </cell>
          <cell r="O82" t="str">
            <v>Not Run</v>
          </cell>
        </row>
        <row r="83">
          <cell r="C83" t="str">
            <v>Acct Dashboard Financing</v>
          </cell>
          <cell r="F83" t="str">
            <v>Functional</v>
          </cell>
          <cell r="G83" t="str">
            <v>Medium</v>
          </cell>
          <cell r="O83" t="str">
            <v>Not Run</v>
          </cell>
        </row>
        <row r="84">
          <cell r="C84" t="str">
            <v>Acct Dashboard Financing</v>
          </cell>
          <cell r="F84" t="str">
            <v>Functional</v>
          </cell>
          <cell r="G84" t="str">
            <v>Medium</v>
          </cell>
          <cell r="O84" t="str">
            <v>Not Run</v>
          </cell>
        </row>
        <row r="85">
          <cell r="C85" t="str">
            <v>Acct Dashboard Financing</v>
          </cell>
          <cell r="F85" t="str">
            <v>Functional</v>
          </cell>
          <cell r="G85" t="str">
            <v>Medium</v>
          </cell>
          <cell r="O85" t="str">
            <v>Not Run</v>
          </cell>
        </row>
        <row r="86">
          <cell r="C86" t="str">
            <v>Acct Dashboard Financing</v>
          </cell>
          <cell r="F86" t="str">
            <v>Functional</v>
          </cell>
          <cell r="G86" t="str">
            <v>Medium</v>
          </cell>
          <cell r="O86" t="str">
            <v>Not Run</v>
          </cell>
        </row>
        <row r="87">
          <cell r="C87" t="str">
            <v>Acct Dashboard Financing</v>
          </cell>
          <cell r="F87" t="str">
            <v>Functional</v>
          </cell>
          <cell r="G87" t="str">
            <v>Medium</v>
          </cell>
          <cell r="O87" t="str">
            <v>Not Run</v>
          </cell>
        </row>
        <row r="88">
          <cell r="C88" t="str">
            <v>Acct Dashboard Financing</v>
          </cell>
          <cell r="F88" t="str">
            <v>Functional</v>
          </cell>
          <cell r="G88" t="str">
            <v>Medium</v>
          </cell>
          <cell r="O88" t="str">
            <v>Not Run</v>
          </cell>
        </row>
        <row r="89">
          <cell r="C89" t="str">
            <v>Acct Dashboard Financing</v>
          </cell>
          <cell r="F89" t="str">
            <v>Functional</v>
          </cell>
          <cell r="G89" t="str">
            <v>Medium</v>
          </cell>
          <cell r="O89" t="str">
            <v>Not Run</v>
          </cell>
        </row>
        <row r="90">
          <cell r="C90" t="str">
            <v>Acct Dashboard Financing</v>
          </cell>
          <cell r="F90" t="str">
            <v>Functional</v>
          </cell>
          <cell r="G90" t="str">
            <v>Medium</v>
          </cell>
          <cell r="O90" t="str">
            <v>Not Run</v>
          </cell>
        </row>
        <row r="91">
          <cell r="C91" t="str">
            <v>Acct Dashboard Financing</v>
          </cell>
          <cell r="F91" t="str">
            <v>Functional</v>
          </cell>
          <cell r="G91" t="str">
            <v>Medium</v>
          </cell>
          <cell r="O91" t="str">
            <v>Not Run</v>
          </cell>
        </row>
        <row r="92">
          <cell r="C92" t="str">
            <v>Acct Dashboard Financing</v>
          </cell>
          <cell r="F92" t="str">
            <v>Functional</v>
          </cell>
          <cell r="G92" t="str">
            <v>Medium</v>
          </cell>
          <cell r="O92" t="str">
            <v>Not Run</v>
          </cell>
        </row>
        <row r="93">
          <cell r="C93" t="str">
            <v>Acct Dashboard Financing</v>
          </cell>
          <cell r="F93" t="str">
            <v>Functional</v>
          </cell>
          <cell r="G93" t="str">
            <v>High</v>
          </cell>
          <cell r="O93" t="str">
            <v>Not Run</v>
          </cell>
        </row>
        <row r="94">
          <cell r="C94" t="str">
            <v>Acct Dashboard Financing</v>
          </cell>
          <cell r="F94" t="str">
            <v>Functional</v>
          </cell>
          <cell r="G94" t="str">
            <v>Medium</v>
          </cell>
          <cell r="O94" t="str">
            <v>Not Run</v>
          </cell>
        </row>
        <row r="95">
          <cell r="C95" t="str">
            <v>Acct Dashboard Financing</v>
          </cell>
          <cell r="F95" t="str">
            <v>Functional</v>
          </cell>
          <cell r="G95" t="str">
            <v>Medium</v>
          </cell>
          <cell r="O95" t="str">
            <v>Not Run</v>
          </cell>
        </row>
        <row r="96">
          <cell r="C96" t="str">
            <v>Acct Dashboard Financing</v>
          </cell>
          <cell r="F96" t="str">
            <v>Functional</v>
          </cell>
          <cell r="G96" t="str">
            <v>Medium</v>
          </cell>
          <cell r="O96" t="str">
            <v>Not Run</v>
          </cell>
        </row>
        <row r="97">
          <cell r="C97" t="str">
            <v>Acct Dashboard Financing</v>
          </cell>
          <cell r="F97" t="str">
            <v>Functional</v>
          </cell>
          <cell r="G97" t="str">
            <v>Medium</v>
          </cell>
          <cell r="O97" t="str">
            <v>Not Run</v>
          </cell>
        </row>
        <row r="98">
          <cell r="C98" t="str">
            <v>Acct Dashboard Financing</v>
          </cell>
          <cell r="F98" t="str">
            <v>Functional</v>
          </cell>
          <cell r="G98" t="str">
            <v>Medium</v>
          </cell>
          <cell r="O98" t="str">
            <v>Not Run</v>
          </cell>
        </row>
        <row r="99">
          <cell r="C99" t="str">
            <v>Acct Dashboard Financing</v>
          </cell>
          <cell r="F99" t="str">
            <v>Functional</v>
          </cell>
          <cell r="G99" t="str">
            <v>Medium</v>
          </cell>
          <cell r="O99" t="str">
            <v>Not Run</v>
          </cell>
        </row>
        <row r="100">
          <cell r="C100" t="str">
            <v>Acct Dashboard Financing</v>
          </cell>
          <cell r="F100" t="str">
            <v>Functional</v>
          </cell>
          <cell r="G100" t="str">
            <v>High</v>
          </cell>
          <cell r="O100" t="str">
            <v>Not Run</v>
          </cell>
        </row>
        <row r="101">
          <cell r="C101" t="str">
            <v>Acct Dashboard Financing</v>
          </cell>
          <cell r="F101" t="str">
            <v>Functional</v>
          </cell>
          <cell r="G101" t="str">
            <v>High</v>
          </cell>
          <cell r="O101" t="str">
            <v>Not Run</v>
          </cell>
        </row>
        <row r="102">
          <cell r="C102" t="str">
            <v>Acct Dashboard Financing</v>
          </cell>
          <cell r="F102" t="str">
            <v>Functional</v>
          </cell>
          <cell r="G102" t="str">
            <v>High</v>
          </cell>
          <cell r="O102" t="str">
            <v>Not Run</v>
          </cell>
        </row>
        <row r="103">
          <cell r="C103" t="str">
            <v>Acct Dashboard Financing</v>
          </cell>
          <cell r="F103" t="str">
            <v>Negative</v>
          </cell>
          <cell r="G103" t="str">
            <v>High</v>
          </cell>
          <cell r="O103" t="str">
            <v>Not Run</v>
          </cell>
        </row>
        <row r="104">
          <cell r="C104" t="str">
            <v>Acct Dashboard Financing</v>
          </cell>
          <cell r="F104" t="str">
            <v>Functional</v>
          </cell>
          <cell r="G104" t="str">
            <v>High</v>
          </cell>
          <cell r="O104" t="str">
            <v>Not Run</v>
          </cell>
        </row>
        <row r="105">
          <cell r="C105" t="str">
            <v>Acct Dashboard Financing</v>
          </cell>
          <cell r="F105" t="str">
            <v>Functional</v>
          </cell>
          <cell r="G105" t="str">
            <v>High</v>
          </cell>
          <cell r="O105" t="str">
            <v>Not Run</v>
          </cell>
        </row>
        <row r="106">
          <cell r="C106" t="str">
            <v>Acct Dashboard Financing</v>
          </cell>
          <cell r="F106" t="str">
            <v>Functional</v>
          </cell>
          <cell r="G106" t="str">
            <v>Medium</v>
          </cell>
          <cell r="O106" t="str">
            <v>Not Run</v>
          </cell>
        </row>
        <row r="107">
          <cell r="C107" t="str">
            <v>Acct Dashboard Financing</v>
          </cell>
          <cell r="F107" t="str">
            <v>Functional</v>
          </cell>
          <cell r="G107" t="str">
            <v>Medium</v>
          </cell>
          <cell r="O107" t="str">
            <v>Not Run</v>
          </cell>
        </row>
        <row r="108">
          <cell r="C108" t="str">
            <v>Acct Dashboard Financing</v>
          </cell>
          <cell r="F108" t="str">
            <v>Functional</v>
          </cell>
          <cell r="G108" t="str">
            <v>Medium</v>
          </cell>
          <cell r="O108" t="str">
            <v>Not Run</v>
          </cell>
        </row>
        <row r="109">
          <cell r="C109" t="str">
            <v>Acct Dashboard Financing</v>
          </cell>
          <cell r="F109" t="str">
            <v>Functional</v>
          </cell>
          <cell r="G109" t="str">
            <v>Medium</v>
          </cell>
          <cell r="O109" t="str">
            <v>Not Run</v>
          </cell>
        </row>
        <row r="110">
          <cell r="C110" t="str">
            <v>Acct Dashboard Financing</v>
          </cell>
          <cell r="F110" t="str">
            <v>Functional</v>
          </cell>
          <cell r="G110" t="str">
            <v>High</v>
          </cell>
          <cell r="O110" t="str">
            <v>Not Run</v>
          </cell>
        </row>
        <row r="111">
          <cell r="C111" t="str">
            <v>Acct Dashboard Financing</v>
          </cell>
          <cell r="F111" t="str">
            <v>Positive</v>
          </cell>
          <cell r="G111" t="str">
            <v>High</v>
          </cell>
          <cell r="O111" t="str">
            <v>Not Run</v>
          </cell>
        </row>
        <row r="112">
          <cell r="C112" t="str">
            <v>Acct Dashboard Financing</v>
          </cell>
          <cell r="F112" t="str">
            <v>Negative</v>
          </cell>
          <cell r="G112" t="str">
            <v>High</v>
          </cell>
          <cell r="O112" t="str">
            <v>Not Run</v>
          </cell>
        </row>
        <row r="113">
          <cell r="C113" t="str">
            <v>Acct Dashboard Financing</v>
          </cell>
          <cell r="F113" t="str">
            <v>Positive</v>
          </cell>
          <cell r="G113" t="str">
            <v>Medium</v>
          </cell>
          <cell r="O113" t="str">
            <v>Not Run</v>
          </cell>
        </row>
        <row r="114">
          <cell r="C114" t="str">
            <v>Acct Dashboard Financing</v>
          </cell>
          <cell r="F114" t="str">
            <v>Negative</v>
          </cell>
          <cell r="G114" t="str">
            <v>High</v>
          </cell>
          <cell r="O114" t="str">
            <v>Not Run</v>
          </cell>
        </row>
        <row r="115">
          <cell r="C115" t="str">
            <v>Acct Dashboard Financing</v>
          </cell>
          <cell r="F115" t="str">
            <v>Security</v>
          </cell>
          <cell r="G115" t="str">
            <v>High</v>
          </cell>
          <cell r="O115" t="str">
            <v>Not Run</v>
          </cell>
        </row>
        <row r="116">
          <cell r="C116" t="str">
            <v>Acct Dashboard Financing</v>
          </cell>
          <cell r="F116" t="str">
            <v>Negative / Security</v>
          </cell>
          <cell r="G116" t="str">
            <v>High</v>
          </cell>
          <cell r="O116" t="str">
            <v>Not Run</v>
          </cell>
        </row>
        <row r="117">
          <cell r="C117" t="str">
            <v>Acct Dashboard Financing</v>
          </cell>
          <cell r="F117" t="str">
            <v>UI / Functional</v>
          </cell>
          <cell r="G117" t="str">
            <v>Medium</v>
          </cell>
          <cell r="O117" t="str">
            <v>Not Run</v>
          </cell>
        </row>
        <row r="118">
          <cell r="C118" t="str">
            <v>Acct Dashboard Financing</v>
          </cell>
          <cell r="F118" t="str">
            <v>UI / Functional</v>
          </cell>
          <cell r="G118" t="str">
            <v>Medium</v>
          </cell>
          <cell r="O118" t="str">
            <v>Not Run</v>
          </cell>
        </row>
        <row r="119">
          <cell r="C119" t="str">
            <v>Acct Dashboard Financing</v>
          </cell>
          <cell r="F119" t="str">
            <v>UI / Functional</v>
          </cell>
          <cell r="G119" t="str">
            <v>Medium</v>
          </cell>
          <cell r="O119" t="str">
            <v>Not Run</v>
          </cell>
        </row>
        <row r="120">
          <cell r="C120" t="str">
            <v>Acct Dashboard Financing</v>
          </cell>
          <cell r="F120" t="str">
            <v>Functional</v>
          </cell>
          <cell r="G120" t="str">
            <v>High</v>
          </cell>
          <cell r="O120" t="str">
            <v>Not Run</v>
          </cell>
        </row>
        <row r="121">
          <cell r="C121" t="str">
            <v>Acct Dashboard Financing</v>
          </cell>
          <cell r="F121" t="str">
            <v>Functional</v>
          </cell>
          <cell r="G121" t="str">
            <v>Medium</v>
          </cell>
          <cell r="O121" t="str">
            <v>Not Run</v>
          </cell>
        </row>
        <row r="122">
          <cell r="C122" t="str">
            <v>Acct Dashboard Financing</v>
          </cell>
          <cell r="F122" t="str">
            <v>Functional</v>
          </cell>
          <cell r="G122" t="str">
            <v>Medium</v>
          </cell>
          <cell r="O122" t="str">
            <v>Not Run</v>
          </cell>
        </row>
        <row r="123">
          <cell r="C123" t="str">
            <v>Acct Dashboard Financing</v>
          </cell>
          <cell r="F123" t="str">
            <v>Functional</v>
          </cell>
          <cell r="G123" t="str">
            <v>Medium</v>
          </cell>
          <cell r="O123" t="str">
            <v>Not Run</v>
          </cell>
        </row>
        <row r="124">
          <cell r="C124" t="str">
            <v>Acct Dashboard Financing</v>
          </cell>
          <cell r="F124" t="str">
            <v>Functional</v>
          </cell>
          <cell r="G124" t="str">
            <v>Medium</v>
          </cell>
          <cell r="O124" t="str">
            <v>Not Run</v>
          </cell>
        </row>
        <row r="125">
          <cell r="C125" t="str">
            <v>Acct Dashboard Financing</v>
          </cell>
          <cell r="F125" t="str">
            <v>Functional</v>
          </cell>
          <cell r="G125" t="str">
            <v>Medium</v>
          </cell>
          <cell r="O125" t="str">
            <v>Not Run</v>
          </cell>
        </row>
        <row r="126">
          <cell r="C126" t="str">
            <v>Acct Dashboard Financing</v>
          </cell>
          <cell r="F126" t="str">
            <v>UI / Functional</v>
          </cell>
          <cell r="G126" t="str">
            <v>Medium</v>
          </cell>
          <cell r="O126" t="str">
            <v>Not Run</v>
          </cell>
        </row>
        <row r="127">
          <cell r="C127" t="str">
            <v>Acct Dashboard Financing</v>
          </cell>
          <cell r="F127" t="str">
            <v>Functional</v>
          </cell>
          <cell r="G127" t="str">
            <v>Medium</v>
          </cell>
          <cell r="O127" t="str">
            <v>Not Run</v>
          </cell>
        </row>
        <row r="128">
          <cell r="C128" t="str">
            <v>Acct Dashboard Financing</v>
          </cell>
          <cell r="F128" t="str">
            <v>Functional</v>
          </cell>
          <cell r="G128" t="str">
            <v>Medium</v>
          </cell>
          <cell r="O128" t="str">
            <v>Not Run</v>
          </cell>
        </row>
        <row r="129">
          <cell r="C129" t="str">
            <v>Acct Dashboard Financing</v>
          </cell>
          <cell r="F129" t="str">
            <v>Functional</v>
          </cell>
          <cell r="G129" t="str">
            <v>Medium</v>
          </cell>
          <cell r="O129" t="str">
            <v>Not Run</v>
          </cell>
        </row>
        <row r="130">
          <cell r="C130" t="str">
            <v>Acct Dashboard Financing</v>
          </cell>
          <cell r="F130" t="str">
            <v>Functional</v>
          </cell>
          <cell r="G130" t="str">
            <v>Medium</v>
          </cell>
          <cell r="O130" t="str">
            <v>Not Run</v>
          </cell>
        </row>
        <row r="131">
          <cell r="C131" t="str">
            <v>Acct Dashboard Financing</v>
          </cell>
          <cell r="F131" t="str">
            <v>Functional</v>
          </cell>
          <cell r="G131" t="str">
            <v>Medium</v>
          </cell>
          <cell r="O131" t="str">
            <v>Not Run</v>
          </cell>
        </row>
        <row r="132">
          <cell r="C132" t="str">
            <v>Acct Dashboard Financing</v>
          </cell>
          <cell r="F132" t="str">
            <v>Functional</v>
          </cell>
          <cell r="G132" t="str">
            <v>Medium</v>
          </cell>
          <cell r="O132" t="str">
            <v>Not Run</v>
          </cell>
        </row>
        <row r="133">
          <cell r="C133" t="str">
            <v>Acct Dashboard Financing</v>
          </cell>
          <cell r="F133" t="str">
            <v>Functional</v>
          </cell>
          <cell r="G133" t="str">
            <v>Medium</v>
          </cell>
          <cell r="O133" t="str">
            <v>Not Run</v>
          </cell>
        </row>
        <row r="134">
          <cell r="C134" t="str">
            <v>Acct Dashboard Financing</v>
          </cell>
          <cell r="F134" t="str">
            <v>Functional</v>
          </cell>
          <cell r="G134" t="str">
            <v>Medium</v>
          </cell>
          <cell r="O134" t="str">
            <v>Not Run</v>
          </cell>
        </row>
        <row r="135">
          <cell r="C135" t="str">
            <v>Acct Dashboard Financing</v>
          </cell>
          <cell r="F135" t="str">
            <v>Functional</v>
          </cell>
          <cell r="G135" t="str">
            <v>Medium</v>
          </cell>
          <cell r="O135" t="str">
            <v>Not Run</v>
          </cell>
        </row>
        <row r="136">
          <cell r="C136" t="str">
            <v>Acct Dashboard Financing</v>
          </cell>
          <cell r="F136" t="str">
            <v>Functional</v>
          </cell>
          <cell r="G136" t="str">
            <v>Medium</v>
          </cell>
          <cell r="O136" t="str">
            <v>Not Run</v>
          </cell>
        </row>
        <row r="137">
          <cell r="C137" t="str">
            <v>Acct Dashboard Financing</v>
          </cell>
          <cell r="F137" t="str">
            <v>Functional</v>
          </cell>
          <cell r="G137" t="str">
            <v>Medium</v>
          </cell>
          <cell r="O137" t="str">
            <v>Not Run</v>
          </cell>
        </row>
        <row r="138">
          <cell r="C138" t="str">
            <v>Acct Dashboard Financing</v>
          </cell>
          <cell r="F138" t="str">
            <v>Functional</v>
          </cell>
          <cell r="G138" t="str">
            <v>Medium</v>
          </cell>
          <cell r="O138" t="str">
            <v>Not Run</v>
          </cell>
        </row>
        <row r="139">
          <cell r="C139" t="str">
            <v>Acct Dashboard Financing</v>
          </cell>
          <cell r="F139" t="str">
            <v>Functional</v>
          </cell>
          <cell r="G139" t="str">
            <v>Medium</v>
          </cell>
          <cell r="O139" t="str">
            <v>Not Run</v>
          </cell>
        </row>
        <row r="140">
          <cell r="C140" t="str">
            <v>Acct Dashboard Financing</v>
          </cell>
          <cell r="F140" t="str">
            <v>Functional</v>
          </cell>
          <cell r="G140" t="str">
            <v>High</v>
          </cell>
          <cell r="O140" t="str">
            <v>Not Run</v>
          </cell>
        </row>
        <row r="141">
          <cell r="C141" t="str">
            <v>Acct Dashboard Financing</v>
          </cell>
          <cell r="F141" t="str">
            <v>Functional</v>
          </cell>
          <cell r="G141" t="str">
            <v>Medium</v>
          </cell>
          <cell r="O141" t="str">
            <v>Not Run</v>
          </cell>
        </row>
        <row r="142">
          <cell r="C142" t="str">
            <v>Acct Dashboard Financing</v>
          </cell>
          <cell r="F142" t="str">
            <v>Functional</v>
          </cell>
          <cell r="G142" t="str">
            <v>Medium</v>
          </cell>
          <cell r="O142" t="str">
            <v>Not Run</v>
          </cell>
        </row>
        <row r="143">
          <cell r="C143" t="str">
            <v>Acct Dashboard Financing</v>
          </cell>
          <cell r="F143" t="str">
            <v>Functional</v>
          </cell>
          <cell r="G143" t="str">
            <v>Medium</v>
          </cell>
          <cell r="O143" t="str">
            <v>Not Run</v>
          </cell>
        </row>
        <row r="144">
          <cell r="C144" t="str">
            <v>Acct Dashboard Financing</v>
          </cell>
          <cell r="F144" t="str">
            <v>Functional</v>
          </cell>
          <cell r="G144" t="str">
            <v>Medium</v>
          </cell>
          <cell r="O144" t="str">
            <v>Not Run</v>
          </cell>
        </row>
        <row r="145">
          <cell r="C145" t="str">
            <v>Acct Dashboard Financing</v>
          </cell>
          <cell r="F145" t="str">
            <v>Functional</v>
          </cell>
          <cell r="G145" t="str">
            <v>Medium</v>
          </cell>
          <cell r="O145" t="str">
            <v>Not Run</v>
          </cell>
        </row>
        <row r="146">
          <cell r="C146" t="str">
            <v>Acct Dashboard Financing</v>
          </cell>
          <cell r="F146" t="str">
            <v>Functional</v>
          </cell>
          <cell r="G146" t="str">
            <v>Medium</v>
          </cell>
          <cell r="O146" t="str">
            <v>Not Run</v>
          </cell>
        </row>
        <row r="147">
          <cell r="C147" t="str">
            <v>Acct Dashboard Financing</v>
          </cell>
          <cell r="F147" t="str">
            <v>Functional</v>
          </cell>
          <cell r="G147" t="str">
            <v>High</v>
          </cell>
          <cell r="O147" t="str">
            <v>Not Run</v>
          </cell>
        </row>
        <row r="148">
          <cell r="C148" t="str">
            <v>Acct Dashboard Financing</v>
          </cell>
          <cell r="F148" t="str">
            <v>Functional</v>
          </cell>
          <cell r="G148" t="str">
            <v>High</v>
          </cell>
          <cell r="O148" t="str">
            <v>Not Run</v>
          </cell>
        </row>
        <row r="149">
          <cell r="C149" t="str">
            <v>Acct Dashboard Financing</v>
          </cell>
          <cell r="F149" t="str">
            <v>Functional</v>
          </cell>
          <cell r="G149" t="str">
            <v>High</v>
          </cell>
          <cell r="O149" t="str">
            <v>Not Run</v>
          </cell>
        </row>
        <row r="150">
          <cell r="C150" t="str">
            <v>Acct Dashboard Financing</v>
          </cell>
          <cell r="F150" t="str">
            <v>Negative</v>
          </cell>
          <cell r="G150" t="str">
            <v>High</v>
          </cell>
          <cell r="O150" t="str">
            <v>Not Run</v>
          </cell>
        </row>
        <row r="151">
          <cell r="C151" t="str">
            <v>Acct Dashboard Financing</v>
          </cell>
          <cell r="F151" t="str">
            <v>Functional</v>
          </cell>
          <cell r="G151" t="str">
            <v>High</v>
          </cell>
          <cell r="O151" t="str">
            <v>Not Run</v>
          </cell>
        </row>
        <row r="152">
          <cell r="C152" t="str">
            <v>Acct Dashboard Financing</v>
          </cell>
          <cell r="F152" t="str">
            <v>Functional</v>
          </cell>
          <cell r="G152" t="str">
            <v>High</v>
          </cell>
          <cell r="O152" t="str">
            <v>Not Run</v>
          </cell>
        </row>
        <row r="153">
          <cell r="C153" t="str">
            <v>Acct Dashboard Financing</v>
          </cell>
          <cell r="F153" t="str">
            <v>Functional</v>
          </cell>
          <cell r="G153" t="str">
            <v>Medium</v>
          </cell>
          <cell r="O153" t="str">
            <v>Not Run</v>
          </cell>
        </row>
        <row r="154">
          <cell r="C154" t="str">
            <v>Acct Dashboard Financing</v>
          </cell>
          <cell r="F154" t="str">
            <v>Functional</v>
          </cell>
          <cell r="G154" t="str">
            <v>Medium</v>
          </cell>
          <cell r="O154" t="str">
            <v>Not Run</v>
          </cell>
        </row>
        <row r="155">
          <cell r="C155" t="str">
            <v>Acct Dashboard Financing</v>
          </cell>
          <cell r="F155" t="str">
            <v>Functional</v>
          </cell>
          <cell r="G155" t="str">
            <v>Medium</v>
          </cell>
          <cell r="O155" t="str">
            <v>Not Run</v>
          </cell>
        </row>
        <row r="156">
          <cell r="C156" t="str">
            <v>Acct Dashboard Financing</v>
          </cell>
          <cell r="F156" t="str">
            <v>Functional</v>
          </cell>
          <cell r="G156" t="str">
            <v>Medium</v>
          </cell>
          <cell r="O156" t="str">
            <v>Not Run</v>
          </cell>
        </row>
        <row r="157">
          <cell r="C157" t="str">
            <v>Acct Dashboard Financing</v>
          </cell>
          <cell r="F157" t="str">
            <v>Functional</v>
          </cell>
          <cell r="G157" t="str">
            <v>High</v>
          </cell>
          <cell r="O157" t="str">
            <v>Not Run</v>
          </cell>
        </row>
        <row r="158">
          <cell r="C158" t="str">
            <v>Acct Dashboard Financing</v>
          </cell>
          <cell r="F158" t="str">
            <v>Positive</v>
          </cell>
          <cell r="G158" t="str">
            <v>High</v>
          </cell>
          <cell r="O158" t="str">
            <v>Not Run</v>
          </cell>
        </row>
        <row r="159">
          <cell r="C159" t="str">
            <v>Acct Dashboard Financing</v>
          </cell>
          <cell r="F159" t="str">
            <v>Negative</v>
          </cell>
          <cell r="G159" t="str">
            <v>High</v>
          </cell>
          <cell r="O159" t="str">
            <v>Not Run</v>
          </cell>
        </row>
        <row r="160">
          <cell r="C160" t="str">
            <v>Acct Dashboard Non-Financing</v>
          </cell>
          <cell r="F160" t="str">
            <v>Positive</v>
          </cell>
          <cell r="G160" t="str">
            <v>Medium</v>
          </cell>
          <cell r="O160" t="str">
            <v>Not Run</v>
          </cell>
        </row>
        <row r="161">
          <cell r="C161" t="str">
            <v>Acct Dashboard Non-Financing</v>
          </cell>
          <cell r="F161" t="str">
            <v>Negative</v>
          </cell>
          <cell r="G161" t="str">
            <v>High</v>
          </cell>
          <cell r="O161" t="str">
            <v>Not Run</v>
          </cell>
        </row>
        <row r="162">
          <cell r="C162" t="str">
            <v>Acct Dashboard Non-Financing</v>
          </cell>
          <cell r="F162" t="str">
            <v>Security</v>
          </cell>
          <cell r="G162" t="str">
            <v>High</v>
          </cell>
          <cell r="O162" t="str">
            <v>Not Run</v>
          </cell>
        </row>
        <row r="163">
          <cell r="C163" t="str">
            <v>Acct Dashboard Non-Financing</v>
          </cell>
          <cell r="F163" t="str">
            <v>Negative / Security</v>
          </cell>
          <cell r="G163" t="str">
            <v>High</v>
          </cell>
          <cell r="O163" t="str">
            <v>Not Run</v>
          </cell>
        </row>
        <row r="164">
          <cell r="C164" t="str">
            <v>Acct Dashboard Non-Financing</v>
          </cell>
          <cell r="F164" t="str">
            <v>UI / Functional</v>
          </cell>
          <cell r="G164" t="str">
            <v>Medium</v>
          </cell>
          <cell r="O164" t="str">
            <v>Not Run</v>
          </cell>
        </row>
        <row r="165">
          <cell r="C165" t="str">
            <v>Acct Dashboard Non-Financing</v>
          </cell>
          <cell r="F165" t="str">
            <v>UI / Functional</v>
          </cell>
          <cell r="G165" t="str">
            <v>Medium</v>
          </cell>
          <cell r="O165" t="str">
            <v>Not Run</v>
          </cell>
        </row>
        <row r="166">
          <cell r="C166" t="str">
            <v>Acct Dashboard Non-Financing</v>
          </cell>
          <cell r="F166" t="str">
            <v>UI / Functional</v>
          </cell>
          <cell r="G166" t="str">
            <v>High</v>
          </cell>
          <cell r="O166" t="str">
            <v>Not Run</v>
          </cell>
        </row>
        <row r="167">
          <cell r="C167" t="str">
            <v>Acct Dashboard Non-Financing</v>
          </cell>
          <cell r="F167" t="str">
            <v>UI / Functional</v>
          </cell>
          <cell r="G167" t="str">
            <v>High</v>
          </cell>
          <cell r="O167" t="str">
            <v>Not Run</v>
          </cell>
        </row>
        <row r="168">
          <cell r="C168" t="str">
            <v>Acct Dashboard Non-Financing</v>
          </cell>
          <cell r="F168" t="str">
            <v>Functional</v>
          </cell>
          <cell r="G168" t="str">
            <v>Medium</v>
          </cell>
          <cell r="O168" t="str">
            <v>Not Run</v>
          </cell>
        </row>
        <row r="169">
          <cell r="C169" t="str">
            <v>Acct Dashboard Non-Financing</v>
          </cell>
          <cell r="F169" t="str">
            <v>UI / Functional</v>
          </cell>
          <cell r="G169" t="str">
            <v>Medium</v>
          </cell>
          <cell r="O169" t="str">
            <v>Not Run</v>
          </cell>
        </row>
        <row r="170">
          <cell r="C170" t="str">
            <v>Acct Dashboard Non-Financing</v>
          </cell>
          <cell r="F170" t="str">
            <v>Functional</v>
          </cell>
          <cell r="G170" t="str">
            <v>High</v>
          </cell>
          <cell r="O170" t="str">
            <v>Not Run</v>
          </cell>
        </row>
        <row r="171">
          <cell r="C171" t="str">
            <v>Acct Dashboard Non-Financing</v>
          </cell>
          <cell r="F171" t="str">
            <v>UI / Functional</v>
          </cell>
          <cell r="G171" t="str">
            <v>Medium</v>
          </cell>
          <cell r="O171" t="str">
            <v>Not Run</v>
          </cell>
        </row>
        <row r="172">
          <cell r="C172" t="str">
            <v>Acct Dashboard Non-Financing</v>
          </cell>
          <cell r="F172" t="str">
            <v>Negative</v>
          </cell>
          <cell r="G172" t="str">
            <v>High</v>
          </cell>
          <cell r="O172" t="str">
            <v>Not Run</v>
          </cell>
        </row>
        <row r="173">
          <cell r="C173" t="str">
            <v>Acct Dashboard Non-Financing</v>
          </cell>
          <cell r="F173" t="str">
            <v>Negative</v>
          </cell>
          <cell r="G173" t="str">
            <v>Medium</v>
          </cell>
          <cell r="O173" t="str">
            <v>Not Run</v>
          </cell>
        </row>
        <row r="174">
          <cell r="C174" t="str">
            <v>Acct Dashboard Non-Financing</v>
          </cell>
          <cell r="F174" t="str">
            <v>UI / Functional</v>
          </cell>
          <cell r="G174" t="str">
            <v>Medium</v>
          </cell>
          <cell r="O174" t="str">
            <v>Not Run</v>
          </cell>
        </row>
        <row r="175">
          <cell r="C175" t="str">
            <v>Acct Dashboard Non-Financing</v>
          </cell>
          <cell r="F175" t="str">
            <v>UI / Functional</v>
          </cell>
          <cell r="G175" t="str">
            <v>Medium</v>
          </cell>
          <cell r="O175" t="str">
            <v>Not Run</v>
          </cell>
        </row>
        <row r="176">
          <cell r="C176" t="str">
            <v>Acct Dashboard Non-Financing</v>
          </cell>
          <cell r="F176" t="str">
            <v>Security</v>
          </cell>
          <cell r="G176" t="str">
            <v>High</v>
          </cell>
          <cell r="O176" t="str">
            <v>Not Run</v>
          </cell>
        </row>
        <row r="177">
          <cell r="C177" t="str">
            <v>Acct Dashboard Non-Financing</v>
          </cell>
          <cell r="F177" t="str">
            <v>Positive</v>
          </cell>
          <cell r="G177" t="str">
            <v>High</v>
          </cell>
          <cell r="O177" t="str">
            <v>Not Run</v>
          </cell>
        </row>
        <row r="178">
          <cell r="C178" t="str">
            <v>Acct Dashboard Non-Financing</v>
          </cell>
          <cell r="F178" t="str">
            <v>Negative</v>
          </cell>
          <cell r="G178" t="str">
            <v>High</v>
          </cell>
          <cell r="O178" t="str">
            <v>Not Run</v>
          </cell>
        </row>
        <row r="179">
          <cell r="C179" t="str">
            <v>Acct Dashboard Non-Financing</v>
          </cell>
          <cell r="F179" t="str">
            <v>Positive</v>
          </cell>
          <cell r="G179" t="str">
            <v>Medium</v>
          </cell>
          <cell r="O179" t="str">
            <v>Not Run</v>
          </cell>
        </row>
        <row r="180">
          <cell r="C180" t="str">
            <v>Acct Dashboard Non-Financing</v>
          </cell>
          <cell r="F180" t="str">
            <v>Negative</v>
          </cell>
          <cell r="G180" t="str">
            <v>High</v>
          </cell>
          <cell r="O180" t="str">
            <v>Not Run</v>
          </cell>
        </row>
        <row r="181">
          <cell r="C181" t="str">
            <v>Acct Dashboard Non-Financing</v>
          </cell>
          <cell r="F181" t="str">
            <v>Security</v>
          </cell>
          <cell r="G181" t="str">
            <v>High</v>
          </cell>
          <cell r="O181" t="str">
            <v>Not Run</v>
          </cell>
        </row>
        <row r="182">
          <cell r="C182" t="str">
            <v>Acct Dashboard Non-Financing</v>
          </cell>
          <cell r="F182" t="str">
            <v>Negative / Security</v>
          </cell>
          <cell r="G182" t="str">
            <v>High</v>
          </cell>
          <cell r="O182" t="str">
            <v>Not Run</v>
          </cell>
        </row>
        <row r="183">
          <cell r="C183" t="str">
            <v>Acct Dashboard Non-Financing</v>
          </cell>
          <cell r="F183" t="str">
            <v>UI / Functional</v>
          </cell>
          <cell r="G183" t="str">
            <v>Medium</v>
          </cell>
          <cell r="O183" t="str">
            <v>Not Run</v>
          </cell>
        </row>
        <row r="184">
          <cell r="C184" t="str">
            <v>Acct Dashboard Non-Financing</v>
          </cell>
          <cell r="F184" t="str">
            <v>Functional</v>
          </cell>
          <cell r="G184" t="str">
            <v>Medium</v>
          </cell>
          <cell r="O184" t="str">
            <v>Not Run</v>
          </cell>
        </row>
        <row r="185">
          <cell r="C185" t="str">
            <v>Acct Dashboard Non-Financing</v>
          </cell>
          <cell r="F185" t="str">
            <v>Security</v>
          </cell>
          <cell r="G185" t="str">
            <v>High</v>
          </cell>
          <cell r="O185" t="str">
            <v>Not Run</v>
          </cell>
        </row>
        <row r="186">
          <cell r="C186" t="str">
            <v>Acct Dashboard Non-Financing</v>
          </cell>
          <cell r="F186" t="str">
            <v>UI / Functional</v>
          </cell>
          <cell r="G186" t="str">
            <v>Medium</v>
          </cell>
          <cell r="O186" t="str">
            <v>Not Run</v>
          </cell>
        </row>
        <row r="187">
          <cell r="C187" t="str">
            <v>Acct Dashboard Non-Financing</v>
          </cell>
          <cell r="F187" t="str">
            <v>UI / Functional</v>
          </cell>
          <cell r="G187" t="str">
            <v>Medium</v>
          </cell>
          <cell r="O187" t="str">
            <v>Not Run</v>
          </cell>
        </row>
        <row r="188">
          <cell r="C188" t="str">
            <v>Acct Dashboard Non-Financing</v>
          </cell>
          <cell r="F188" t="str">
            <v>Functional</v>
          </cell>
          <cell r="G188" t="str">
            <v>Medium</v>
          </cell>
          <cell r="O188" t="str">
            <v>Not Run</v>
          </cell>
        </row>
        <row r="189">
          <cell r="C189" t="str">
            <v>Acct Dashboard Non-Financing</v>
          </cell>
          <cell r="F189" t="str">
            <v>Functional</v>
          </cell>
          <cell r="G189" t="str">
            <v>Medium</v>
          </cell>
          <cell r="O189" t="str">
            <v>Not Run</v>
          </cell>
        </row>
        <row r="190">
          <cell r="C190" t="str">
            <v>Acct Dashboard Non-Financing</v>
          </cell>
          <cell r="F190" t="str">
            <v>Functional</v>
          </cell>
          <cell r="G190" t="str">
            <v>High</v>
          </cell>
          <cell r="O190" t="str">
            <v>Not Run</v>
          </cell>
        </row>
        <row r="191">
          <cell r="C191" t="str">
            <v>Acct Dashboard Non-Financing</v>
          </cell>
          <cell r="F191" t="str">
            <v>Positive</v>
          </cell>
          <cell r="G191" t="str">
            <v>High</v>
          </cell>
          <cell r="O191" t="str">
            <v>Not Run</v>
          </cell>
        </row>
        <row r="192">
          <cell r="C192" t="str">
            <v>Acct Dashboard Non-Financing</v>
          </cell>
          <cell r="F192" t="str">
            <v>Negative</v>
          </cell>
          <cell r="G192" t="str">
            <v>High</v>
          </cell>
          <cell r="O192" t="str">
            <v>Not Run</v>
          </cell>
        </row>
        <row r="193">
          <cell r="C193" t="str">
            <v>Acct Dashboard Non-Financing</v>
          </cell>
          <cell r="F193" t="str">
            <v>Positive</v>
          </cell>
          <cell r="G193" t="str">
            <v>Medium</v>
          </cell>
          <cell r="O193" t="str">
            <v>Not Run</v>
          </cell>
        </row>
        <row r="194">
          <cell r="C194" t="str">
            <v>Acct Dashboard Non-Financing</v>
          </cell>
          <cell r="F194" t="str">
            <v>Negative</v>
          </cell>
          <cell r="G194" t="str">
            <v>High</v>
          </cell>
          <cell r="O194" t="str">
            <v>Not Run</v>
          </cell>
        </row>
        <row r="195">
          <cell r="C195" t="str">
            <v>Acct Dashboard Non-Financing</v>
          </cell>
          <cell r="F195" t="str">
            <v>Security</v>
          </cell>
          <cell r="G195" t="str">
            <v>High</v>
          </cell>
          <cell r="O195" t="str">
            <v>Not Run</v>
          </cell>
        </row>
        <row r="196">
          <cell r="C196" t="str">
            <v>Acct Dashboard Non-Financing</v>
          </cell>
          <cell r="F196" t="str">
            <v>Negative / Security</v>
          </cell>
          <cell r="G196" t="str">
            <v>High</v>
          </cell>
          <cell r="O196" t="str">
            <v>Not Run</v>
          </cell>
        </row>
        <row r="197">
          <cell r="C197" t="str">
            <v>Acct Dashboard Non-Financing</v>
          </cell>
          <cell r="F197" t="str">
            <v>UI / Functional</v>
          </cell>
          <cell r="G197" t="str">
            <v>Medium</v>
          </cell>
          <cell r="O197" t="str">
            <v>Not Run</v>
          </cell>
        </row>
        <row r="198">
          <cell r="C198" t="str">
            <v>Acct Dashboard Non-Financing</v>
          </cell>
          <cell r="F198" t="str">
            <v>Functional</v>
          </cell>
          <cell r="G198" t="str">
            <v>Medium</v>
          </cell>
          <cell r="O198" t="str">
            <v>Not Run</v>
          </cell>
        </row>
        <row r="199">
          <cell r="C199" t="str">
            <v>Acct Dashboard Non-Financing</v>
          </cell>
          <cell r="F199" t="str">
            <v>UI / Functional</v>
          </cell>
          <cell r="G199" t="str">
            <v>Medium</v>
          </cell>
          <cell r="O199" t="str">
            <v>Not Run</v>
          </cell>
        </row>
        <row r="200">
          <cell r="C200" t="str">
            <v>Acct Dashboard Non-Financing</v>
          </cell>
          <cell r="F200" t="str">
            <v>UI / Functional</v>
          </cell>
          <cell r="G200" t="str">
            <v>Medium</v>
          </cell>
          <cell r="O200" t="str">
            <v>Not Run</v>
          </cell>
        </row>
        <row r="201">
          <cell r="C201" t="str">
            <v>Acct Dashboard Non-Financing</v>
          </cell>
          <cell r="F201" t="str">
            <v>UI / Functional</v>
          </cell>
          <cell r="G201" t="str">
            <v>Medium</v>
          </cell>
          <cell r="O201" t="str">
            <v>Not Run</v>
          </cell>
        </row>
        <row r="202">
          <cell r="C202" t="str">
            <v>Acct Dashboard Non-Financing</v>
          </cell>
          <cell r="F202" t="str">
            <v>Functional</v>
          </cell>
          <cell r="G202" t="str">
            <v>Medium</v>
          </cell>
          <cell r="O202" t="str">
            <v>Not Run</v>
          </cell>
        </row>
        <row r="203">
          <cell r="C203" t="str">
            <v>Acct Dashboard Non-Financing</v>
          </cell>
          <cell r="F203" t="str">
            <v>Functional</v>
          </cell>
          <cell r="G203" t="str">
            <v>Medium</v>
          </cell>
          <cell r="O203" t="str">
            <v>Not Run</v>
          </cell>
        </row>
        <row r="204">
          <cell r="C204" t="str">
            <v>Acct Dashboard Non-Financing</v>
          </cell>
          <cell r="F204" t="str">
            <v>Functional</v>
          </cell>
          <cell r="G204" t="str">
            <v>Medium</v>
          </cell>
          <cell r="O204" t="str">
            <v>Not Run</v>
          </cell>
        </row>
        <row r="205">
          <cell r="C205" t="str">
            <v>Acct Dashboard Non-Financing</v>
          </cell>
          <cell r="F205" t="str">
            <v>Positive</v>
          </cell>
          <cell r="G205" t="str">
            <v>High</v>
          </cell>
          <cell r="O205" t="str">
            <v>Not Run</v>
          </cell>
        </row>
        <row r="206">
          <cell r="C206" t="str">
            <v>Acct Dashboard Non-Financing</v>
          </cell>
          <cell r="F206" t="str">
            <v>Negative</v>
          </cell>
          <cell r="G206" t="str">
            <v>High</v>
          </cell>
          <cell r="O206" t="str">
            <v>Not Run</v>
          </cell>
        </row>
        <row r="207">
          <cell r="C207" t="str">
            <v>Acct Dashboard Non-Financing</v>
          </cell>
          <cell r="F207" t="str">
            <v>Positive</v>
          </cell>
          <cell r="G207" t="str">
            <v>Medium</v>
          </cell>
          <cell r="O207" t="str">
            <v>Not Run</v>
          </cell>
        </row>
        <row r="208">
          <cell r="C208" t="str">
            <v>Acct Dashboard Non-Financing</v>
          </cell>
          <cell r="F208" t="str">
            <v>Negative</v>
          </cell>
          <cell r="G208" t="str">
            <v>High</v>
          </cell>
          <cell r="O208" t="str">
            <v>Not Run</v>
          </cell>
        </row>
        <row r="209">
          <cell r="C209" t="str">
            <v>Acct Dashboard Non-Financing</v>
          </cell>
          <cell r="F209" t="str">
            <v>Security</v>
          </cell>
          <cell r="G209" t="str">
            <v>High</v>
          </cell>
          <cell r="O209" t="str">
            <v>Not Run</v>
          </cell>
        </row>
        <row r="210">
          <cell r="C210" t="str">
            <v>Acct Dashboard Non-Financing</v>
          </cell>
          <cell r="F210" t="str">
            <v>Negative / Security</v>
          </cell>
          <cell r="G210" t="str">
            <v>High</v>
          </cell>
          <cell r="O210" t="str">
            <v>Not Run</v>
          </cell>
        </row>
        <row r="211">
          <cell r="C211" t="str">
            <v>Acct Dashboard Non-Financing</v>
          </cell>
          <cell r="F211" t="str">
            <v>UI / Functional</v>
          </cell>
          <cell r="G211" t="str">
            <v>Medium</v>
          </cell>
          <cell r="O211" t="str">
            <v>Not Run</v>
          </cell>
        </row>
        <row r="212">
          <cell r="C212" t="str">
            <v>Acct Dashboard Non-Financing</v>
          </cell>
          <cell r="F212" t="str">
            <v>Functional</v>
          </cell>
          <cell r="G212" t="str">
            <v>Medium</v>
          </cell>
          <cell r="O212" t="str">
            <v>Not Run</v>
          </cell>
        </row>
        <row r="213">
          <cell r="C213" t="str">
            <v>Acct Dashboard Non-Financing</v>
          </cell>
          <cell r="F213" t="str">
            <v>Negative</v>
          </cell>
          <cell r="G213" t="str">
            <v>High</v>
          </cell>
          <cell r="O213" t="str">
            <v>Not Run</v>
          </cell>
        </row>
        <row r="214">
          <cell r="C214" t="str">
            <v>Acct Dashboard Non-Financing</v>
          </cell>
          <cell r="F214" t="str">
            <v>UI / Functional</v>
          </cell>
          <cell r="G214" t="str">
            <v>Medium</v>
          </cell>
          <cell r="O214" t="str">
            <v>Not Run</v>
          </cell>
        </row>
        <row r="215">
          <cell r="C215" t="str">
            <v>Acct Dashboard Non-Financing</v>
          </cell>
          <cell r="F215" t="str">
            <v>UI / Functional</v>
          </cell>
          <cell r="G215" t="str">
            <v>Medium</v>
          </cell>
          <cell r="O215" t="str">
            <v>Not Run</v>
          </cell>
        </row>
        <row r="216">
          <cell r="C216" t="str">
            <v>Acct Dashboard Non-Financing</v>
          </cell>
          <cell r="F216" t="str">
            <v>Functional</v>
          </cell>
          <cell r="G216" t="str">
            <v>Medium</v>
          </cell>
          <cell r="O216" t="str">
            <v>Not Run</v>
          </cell>
        </row>
        <row r="217">
          <cell r="C217" t="str">
            <v>Acct Dashboard Non-Financing</v>
          </cell>
          <cell r="F217" t="str">
            <v>Functional</v>
          </cell>
          <cell r="G217" t="str">
            <v>Medium</v>
          </cell>
          <cell r="O217" t="str">
            <v>Not Run</v>
          </cell>
        </row>
        <row r="218">
          <cell r="C218" t="str">
            <v>Acct Dashboard Non-Financing</v>
          </cell>
          <cell r="F218" t="str">
            <v>Functional</v>
          </cell>
          <cell r="G218" t="str">
            <v>Medium</v>
          </cell>
          <cell r="O218" t="str">
            <v>Not Run</v>
          </cell>
        </row>
        <row r="219">
          <cell r="C219" t="str">
            <v>Acct Dashboard Non-Financing</v>
          </cell>
          <cell r="F219" t="str">
            <v>Positive</v>
          </cell>
          <cell r="G219" t="str">
            <v>High</v>
          </cell>
          <cell r="O219" t="str">
            <v>Not Run</v>
          </cell>
        </row>
        <row r="220">
          <cell r="C220" t="str">
            <v>Acct Dashboard Non-Financing</v>
          </cell>
          <cell r="F220" t="str">
            <v>Negative</v>
          </cell>
          <cell r="G220" t="str">
            <v>High</v>
          </cell>
          <cell r="O220" t="str">
            <v>Not Run</v>
          </cell>
        </row>
        <row r="221">
          <cell r="C221" t="str">
            <v>Acct Dashboard Non-Financing</v>
          </cell>
          <cell r="F221" t="str">
            <v>Positive</v>
          </cell>
          <cell r="G221" t="str">
            <v>Medium</v>
          </cell>
          <cell r="O221" t="str">
            <v>Not Run</v>
          </cell>
        </row>
        <row r="222">
          <cell r="C222" t="str">
            <v>Acct Dashboard Non-Financing</v>
          </cell>
          <cell r="F222" t="str">
            <v>Negative</v>
          </cell>
          <cell r="G222" t="str">
            <v>High</v>
          </cell>
          <cell r="O222" t="str">
            <v>Not Run</v>
          </cell>
        </row>
        <row r="223">
          <cell r="C223" t="str">
            <v>Acct Dashboard Non-Financing</v>
          </cell>
          <cell r="F223" t="str">
            <v>Security</v>
          </cell>
          <cell r="G223" t="str">
            <v>High</v>
          </cell>
          <cell r="O223" t="str">
            <v>Not Run</v>
          </cell>
        </row>
        <row r="224">
          <cell r="C224" t="str">
            <v>Acct Dashboard Non-Financing</v>
          </cell>
          <cell r="F224" t="str">
            <v>Negative / Security</v>
          </cell>
          <cell r="G224" t="str">
            <v>High</v>
          </cell>
          <cell r="O224" t="str">
            <v>Not Run</v>
          </cell>
        </row>
        <row r="225">
          <cell r="C225" t="str">
            <v>Acct Dashboard Non-Financing</v>
          </cell>
          <cell r="F225" t="str">
            <v>UI / Functional</v>
          </cell>
          <cell r="G225" t="str">
            <v>Medium</v>
          </cell>
          <cell r="O225" t="str">
            <v>Not Run</v>
          </cell>
        </row>
        <row r="226">
          <cell r="C226" t="str">
            <v>Acct Dashboard Non-Financing</v>
          </cell>
          <cell r="F226" t="str">
            <v>Functional</v>
          </cell>
          <cell r="G226" t="str">
            <v>Medium</v>
          </cell>
          <cell r="O226" t="str">
            <v>Not Run</v>
          </cell>
        </row>
        <row r="227">
          <cell r="C227" t="str">
            <v>Acct Dashboard Non-Financing</v>
          </cell>
          <cell r="F227" t="str">
            <v>Functional</v>
          </cell>
          <cell r="G227" t="str">
            <v>Medium</v>
          </cell>
          <cell r="O227" t="str">
            <v>Not Run</v>
          </cell>
        </row>
        <row r="228">
          <cell r="C228" t="str">
            <v>Acct Dashboard Non-Financing</v>
          </cell>
          <cell r="F228" t="str">
            <v>Negative</v>
          </cell>
          <cell r="G228" t="str">
            <v>High</v>
          </cell>
          <cell r="O228" t="str">
            <v>Not Run</v>
          </cell>
        </row>
        <row r="229">
          <cell r="C229" t="str">
            <v>Acct Dashboard Non-Financing</v>
          </cell>
          <cell r="F229" t="str">
            <v>UI / Functional</v>
          </cell>
          <cell r="G229" t="str">
            <v>Medium</v>
          </cell>
          <cell r="O229" t="str">
            <v>Not Run</v>
          </cell>
        </row>
        <row r="230">
          <cell r="C230" t="str">
            <v>Acct Dashboard Non-Financing</v>
          </cell>
          <cell r="F230" t="str">
            <v>UI / Functional</v>
          </cell>
          <cell r="G230" t="str">
            <v>Medium</v>
          </cell>
          <cell r="O230" t="str">
            <v>Not Run</v>
          </cell>
        </row>
        <row r="231">
          <cell r="C231" t="str">
            <v>Acct Dashboard Non-Financing</v>
          </cell>
          <cell r="F231" t="str">
            <v>Functional</v>
          </cell>
          <cell r="G231" t="str">
            <v>Medium</v>
          </cell>
          <cell r="O231" t="str">
            <v>Not Run</v>
          </cell>
        </row>
        <row r="232">
          <cell r="C232" t="str">
            <v>Acct Dashboard Non-Financing</v>
          </cell>
          <cell r="F232" t="str">
            <v>Functional</v>
          </cell>
          <cell r="G232" t="str">
            <v>Medium</v>
          </cell>
          <cell r="O232" t="str">
            <v>Not Run</v>
          </cell>
        </row>
        <row r="233">
          <cell r="C233" t="str">
            <v>Acct Dashboard Non-Financing</v>
          </cell>
          <cell r="F233" t="str">
            <v>Functional</v>
          </cell>
          <cell r="G233" t="str">
            <v>Medium</v>
          </cell>
          <cell r="O233" t="str">
            <v>Not Run</v>
          </cell>
        </row>
        <row r="234">
          <cell r="C234" t="str">
            <v>Acct Dashboard Non-Financing</v>
          </cell>
          <cell r="F234" t="str">
            <v>Positive</v>
          </cell>
          <cell r="G234" t="str">
            <v>High</v>
          </cell>
          <cell r="O234" t="str">
            <v>Not Run</v>
          </cell>
        </row>
        <row r="235">
          <cell r="C235" t="str">
            <v>Acct Dashboard Non-Financing</v>
          </cell>
          <cell r="F235" t="str">
            <v>Negative</v>
          </cell>
          <cell r="G235" t="str">
            <v>High</v>
          </cell>
          <cell r="O235" t="str">
            <v>Not Run</v>
          </cell>
        </row>
        <row r="236">
          <cell r="C236" t="str">
            <v>Acct Dashboard Non-Financing</v>
          </cell>
          <cell r="F236" t="str">
            <v>Positive</v>
          </cell>
          <cell r="G236" t="str">
            <v>Medium</v>
          </cell>
          <cell r="O236" t="str">
            <v>Not Run</v>
          </cell>
        </row>
        <row r="237">
          <cell r="C237" t="str">
            <v>Acct Dashboard Non-Financing</v>
          </cell>
          <cell r="F237" t="str">
            <v>Negative</v>
          </cell>
          <cell r="G237" t="str">
            <v>High</v>
          </cell>
          <cell r="O237" t="str">
            <v>Not Run</v>
          </cell>
        </row>
        <row r="238">
          <cell r="C238" t="str">
            <v>Acct Dashboard Non-Financing</v>
          </cell>
          <cell r="F238" t="str">
            <v>Security</v>
          </cell>
          <cell r="G238" t="str">
            <v>High</v>
          </cell>
          <cell r="O238" t="str">
            <v>Not Run</v>
          </cell>
        </row>
        <row r="239">
          <cell r="C239" t="str">
            <v>Acct Dashboard Non-Financing</v>
          </cell>
          <cell r="F239" t="str">
            <v>Negative / Security</v>
          </cell>
          <cell r="G239" t="str">
            <v>High</v>
          </cell>
          <cell r="O239" t="str">
            <v>Not Run</v>
          </cell>
        </row>
        <row r="240">
          <cell r="C240" t="str">
            <v>Acct Dashboard Non-Financing</v>
          </cell>
          <cell r="F240" t="str">
            <v>UI / Functional</v>
          </cell>
          <cell r="G240" t="str">
            <v>Medium</v>
          </cell>
          <cell r="O240" t="str">
            <v>Not Run</v>
          </cell>
        </row>
        <row r="241">
          <cell r="C241" t="str">
            <v>Acct Dashboard Non-Financing</v>
          </cell>
          <cell r="F241" t="str">
            <v>Functional</v>
          </cell>
          <cell r="G241" t="str">
            <v>Medium</v>
          </cell>
          <cell r="O241" t="str">
            <v>Not Run</v>
          </cell>
        </row>
        <row r="242">
          <cell r="C242" t="str">
            <v>Acct Dashboard Non-Financing</v>
          </cell>
          <cell r="F242" t="str">
            <v>Functional</v>
          </cell>
          <cell r="G242" t="str">
            <v>Medium</v>
          </cell>
          <cell r="O242" t="str">
            <v>Not Run</v>
          </cell>
        </row>
        <row r="243">
          <cell r="C243" t="str">
            <v>Acct Dashboard Non-Financing</v>
          </cell>
          <cell r="F243" t="str">
            <v>Functional</v>
          </cell>
          <cell r="G243" t="str">
            <v>Medium</v>
          </cell>
          <cell r="O243" t="str">
            <v>Not Run</v>
          </cell>
        </row>
        <row r="244">
          <cell r="C244" t="str">
            <v>Acct Dashboard Non-Financing</v>
          </cell>
          <cell r="F244" t="str">
            <v>Functional</v>
          </cell>
          <cell r="G244" t="str">
            <v>High</v>
          </cell>
          <cell r="O244" t="str">
            <v>Not Run</v>
          </cell>
        </row>
        <row r="245">
          <cell r="C245" t="str">
            <v>Acct Dashboard Non-Financing</v>
          </cell>
          <cell r="F245" t="str">
            <v>UI / Functional</v>
          </cell>
          <cell r="G245" t="str">
            <v>High</v>
          </cell>
          <cell r="O245" t="str">
            <v>Not Run</v>
          </cell>
        </row>
        <row r="246">
          <cell r="C246" t="str">
            <v>Acct Dashboard Non-Financing</v>
          </cell>
          <cell r="F246" t="str">
            <v>UI / Functional</v>
          </cell>
          <cell r="G246" t="str">
            <v>Medium</v>
          </cell>
          <cell r="O246" t="str">
            <v>Not Run</v>
          </cell>
        </row>
        <row r="247">
          <cell r="C247" t="str">
            <v>Acct Dashboard Non-Financing</v>
          </cell>
          <cell r="F247" t="str">
            <v>UI / Functional</v>
          </cell>
          <cell r="G247" t="str">
            <v>Medium</v>
          </cell>
          <cell r="O247" t="str">
            <v>Not Run</v>
          </cell>
        </row>
        <row r="248">
          <cell r="C248" t="str">
            <v>Acct Dashboard Non-Financing</v>
          </cell>
          <cell r="F248" t="str">
            <v>Negative</v>
          </cell>
          <cell r="G248" t="str">
            <v>High</v>
          </cell>
          <cell r="O248" t="str">
            <v>Not Run</v>
          </cell>
        </row>
        <row r="249">
          <cell r="C249" t="str">
            <v>Acct Dashboard Non-Financing</v>
          </cell>
          <cell r="F249" t="str">
            <v>UI / Functional</v>
          </cell>
          <cell r="G249" t="str">
            <v>Medium</v>
          </cell>
          <cell r="O249" t="str">
            <v>Not Run</v>
          </cell>
        </row>
        <row r="250">
          <cell r="C250" t="str">
            <v>Acct Dashboard Non-Financing</v>
          </cell>
          <cell r="F250" t="str">
            <v>Functional</v>
          </cell>
          <cell r="G250" t="str">
            <v>Medium</v>
          </cell>
          <cell r="O250" t="str">
            <v>Not Run</v>
          </cell>
        </row>
        <row r="251">
          <cell r="C251" t="str">
            <v>Acct Dashboard Non-Financing</v>
          </cell>
          <cell r="F251" t="str">
            <v>Functional</v>
          </cell>
          <cell r="G251" t="str">
            <v>Medium</v>
          </cell>
          <cell r="O251" t="str">
            <v>Not Run</v>
          </cell>
        </row>
        <row r="252">
          <cell r="C252" t="str">
            <v>Acct Dashboard Non-Financing</v>
          </cell>
          <cell r="F252" t="str">
            <v>Functional</v>
          </cell>
          <cell r="G252" t="str">
            <v>High</v>
          </cell>
          <cell r="O252" t="str">
            <v>Not Run</v>
          </cell>
        </row>
        <row r="253">
          <cell r="C253" t="str">
            <v>Acct Dashboard Non-Financing</v>
          </cell>
          <cell r="F253" t="str">
            <v>Positive</v>
          </cell>
          <cell r="G253" t="str">
            <v>High</v>
          </cell>
          <cell r="O253" t="str">
            <v>Not Run</v>
          </cell>
        </row>
        <row r="254">
          <cell r="C254" t="str">
            <v>Acct Dashboard Non-Financing</v>
          </cell>
          <cell r="F254" t="str">
            <v>Negative</v>
          </cell>
          <cell r="G254" t="str">
            <v>High</v>
          </cell>
          <cell r="O254" t="str">
            <v>Not Run</v>
          </cell>
        </row>
        <row r="255">
          <cell r="C255" t="str">
            <v>Acct Dashboard Non-Financing</v>
          </cell>
          <cell r="F255" t="str">
            <v>Positive</v>
          </cell>
          <cell r="G255" t="str">
            <v>Medium</v>
          </cell>
          <cell r="O255" t="str">
            <v>Not Run</v>
          </cell>
        </row>
        <row r="256">
          <cell r="C256" t="str">
            <v>Acct Dashboard Non-Financing</v>
          </cell>
          <cell r="F256" t="str">
            <v>Negative</v>
          </cell>
          <cell r="G256" t="str">
            <v>High</v>
          </cell>
          <cell r="O256" t="str">
            <v>Not Run</v>
          </cell>
        </row>
        <row r="257">
          <cell r="C257" t="str">
            <v>Acct Dashboard Non-Financing</v>
          </cell>
          <cell r="F257" t="str">
            <v>Security</v>
          </cell>
          <cell r="G257" t="str">
            <v>High</v>
          </cell>
          <cell r="O257" t="str">
            <v>Not Run</v>
          </cell>
        </row>
        <row r="258">
          <cell r="C258" t="str">
            <v>Acct Dashboard Non-Financing</v>
          </cell>
          <cell r="F258" t="str">
            <v>Negative / Security</v>
          </cell>
          <cell r="G258" t="str">
            <v>High</v>
          </cell>
          <cell r="O258" t="str">
            <v>Not Run</v>
          </cell>
        </row>
        <row r="259">
          <cell r="C259" t="str">
            <v>Acct Dashboard Non-Financing</v>
          </cell>
          <cell r="F259" t="str">
            <v>UI / Functional</v>
          </cell>
          <cell r="G259" t="str">
            <v>Medium</v>
          </cell>
          <cell r="O259" t="str">
            <v>Not Run</v>
          </cell>
        </row>
        <row r="260">
          <cell r="C260" t="str">
            <v>Acct Dashboard Non-Financing</v>
          </cell>
          <cell r="F260" t="str">
            <v>Functional</v>
          </cell>
          <cell r="G260" t="str">
            <v>Medium</v>
          </cell>
          <cell r="O260" t="str">
            <v>Not Run</v>
          </cell>
        </row>
        <row r="261">
          <cell r="C261" t="str">
            <v>Acct Dashboard Non-Financing</v>
          </cell>
          <cell r="F261" t="str">
            <v>Functional</v>
          </cell>
          <cell r="G261" t="str">
            <v>Medium</v>
          </cell>
          <cell r="O261" t="str">
            <v>Not Run</v>
          </cell>
        </row>
        <row r="262">
          <cell r="C262" t="str">
            <v>Acct Dashboard Non-Financing</v>
          </cell>
          <cell r="F262" t="str">
            <v>Functional</v>
          </cell>
          <cell r="G262" t="str">
            <v>Medium</v>
          </cell>
          <cell r="O262" t="str">
            <v>Not Run</v>
          </cell>
        </row>
        <row r="263">
          <cell r="C263" t="str">
            <v>Acct Dashboard Non-Financing</v>
          </cell>
          <cell r="F263" t="str">
            <v>Functional</v>
          </cell>
          <cell r="G263" t="str">
            <v>High</v>
          </cell>
          <cell r="O263" t="str">
            <v>Not Run</v>
          </cell>
        </row>
        <row r="264">
          <cell r="C264" t="str">
            <v>Acct Dashboard Non-Financing</v>
          </cell>
          <cell r="F264" t="str">
            <v>UI / Functional</v>
          </cell>
          <cell r="G264" t="str">
            <v>Medium</v>
          </cell>
          <cell r="O264" t="str">
            <v>Not Run</v>
          </cell>
        </row>
        <row r="265">
          <cell r="C265" t="str">
            <v>Acct Dashboard Non-Financing</v>
          </cell>
          <cell r="F265" t="str">
            <v>UI / Functional</v>
          </cell>
          <cell r="G265" t="str">
            <v>High</v>
          </cell>
          <cell r="O265" t="str">
            <v>Not Run</v>
          </cell>
        </row>
        <row r="266">
          <cell r="C266" t="str">
            <v>Acct Dashboard Non-Financing</v>
          </cell>
          <cell r="F266" t="str">
            <v>UI / Functional</v>
          </cell>
          <cell r="G266" t="str">
            <v>Medium</v>
          </cell>
          <cell r="O266" t="str">
            <v>Not Run</v>
          </cell>
        </row>
        <row r="267">
          <cell r="C267" t="str">
            <v>Acct Dashboard Non-Financing</v>
          </cell>
          <cell r="F267" t="str">
            <v>Functional</v>
          </cell>
          <cell r="G267" t="str">
            <v>Medium</v>
          </cell>
          <cell r="O267" t="str">
            <v>Not Run</v>
          </cell>
        </row>
        <row r="268">
          <cell r="C268" t="str">
            <v>Acct Dashboard Non-Financing</v>
          </cell>
          <cell r="F268" t="str">
            <v>Functional</v>
          </cell>
          <cell r="G268" t="str">
            <v>Medium</v>
          </cell>
          <cell r="O268" t="str">
            <v>Not Run</v>
          </cell>
        </row>
        <row r="269">
          <cell r="C269" t="str">
            <v>Acct Dashboard Non-Financing</v>
          </cell>
          <cell r="F269" t="str">
            <v>Functional</v>
          </cell>
          <cell r="G269" t="str">
            <v>High</v>
          </cell>
          <cell r="O269" t="str">
            <v>Not Run</v>
          </cell>
        </row>
        <row r="270">
          <cell r="C270" t="str">
            <v>Acct Dashboard Non-Financing</v>
          </cell>
          <cell r="F270" t="str">
            <v>Positive</v>
          </cell>
          <cell r="G270" t="str">
            <v>High</v>
          </cell>
          <cell r="O270" t="str">
            <v>Not Run</v>
          </cell>
        </row>
        <row r="271">
          <cell r="C271" t="str">
            <v>Acct Dashboard Non-Financing</v>
          </cell>
          <cell r="F271" t="str">
            <v>Negative</v>
          </cell>
          <cell r="G271" t="str">
            <v>High</v>
          </cell>
          <cell r="O271" t="str">
            <v>Not Run</v>
          </cell>
        </row>
        <row r="272">
          <cell r="C272" t="str">
            <v>Acct Dashboard Non-Financing</v>
          </cell>
          <cell r="F272" t="str">
            <v>Positive</v>
          </cell>
          <cell r="G272" t="str">
            <v>Medium</v>
          </cell>
          <cell r="O272" t="str">
            <v>Not Run</v>
          </cell>
        </row>
        <row r="273">
          <cell r="C273" t="str">
            <v>Acct Dashboard Non-Financing</v>
          </cell>
          <cell r="F273" t="str">
            <v>Negative</v>
          </cell>
          <cell r="G273" t="str">
            <v>High</v>
          </cell>
          <cell r="O273" t="str">
            <v>Not Run</v>
          </cell>
        </row>
        <row r="274">
          <cell r="C274" t="str">
            <v>Acct Dashboard Non-Financing</v>
          </cell>
          <cell r="F274" t="str">
            <v>Security</v>
          </cell>
          <cell r="G274" t="str">
            <v>High</v>
          </cell>
          <cell r="O274" t="str">
            <v>Not Run</v>
          </cell>
        </row>
        <row r="275">
          <cell r="C275" t="str">
            <v>Acct Dashboard Non-Financing</v>
          </cell>
          <cell r="F275" t="str">
            <v>Negative / Security</v>
          </cell>
          <cell r="G275" t="str">
            <v>High</v>
          </cell>
          <cell r="O275" t="str">
            <v>Not Run</v>
          </cell>
        </row>
        <row r="276">
          <cell r="C276" t="str">
            <v>Acct Dashboard Non-Financing</v>
          </cell>
          <cell r="F276" t="str">
            <v>UI / Functional</v>
          </cell>
          <cell r="G276" t="str">
            <v>Medium</v>
          </cell>
          <cell r="O276" t="str">
            <v>Not Run</v>
          </cell>
        </row>
        <row r="277">
          <cell r="C277" t="str">
            <v>Acct Dashboard Non-Financing</v>
          </cell>
          <cell r="F277" t="str">
            <v>UI / Functional</v>
          </cell>
          <cell r="G277" t="str">
            <v>High</v>
          </cell>
          <cell r="O277" t="str">
            <v>Not Run</v>
          </cell>
        </row>
        <row r="278">
          <cell r="C278" t="str">
            <v>Acct Dashboard Non-Financing</v>
          </cell>
          <cell r="F278" t="str">
            <v>Security</v>
          </cell>
          <cell r="G278" t="str">
            <v>High</v>
          </cell>
          <cell r="O278" t="str">
            <v>Not Run</v>
          </cell>
        </row>
        <row r="279">
          <cell r="C279" t="str">
            <v>Acct Dashboard Non-Financing</v>
          </cell>
          <cell r="F279" t="str">
            <v>Security</v>
          </cell>
          <cell r="G279" t="str">
            <v>High</v>
          </cell>
          <cell r="O279" t="str">
            <v>Not Run</v>
          </cell>
        </row>
        <row r="280">
          <cell r="C280" t="str">
            <v>Acct Dashboard Non-Financing</v>
          </cell>
          <cell r="F280" t="str">
            <v>Negative</v>
          </cell>
          <cell r="G280" t="str">
            <v>High</v>
          </cell>
          <cell r="O280" t="str">
            <v>Not Run</v>
          </cell>
        </row>
        <row r="281">
          <cell r="C281" t="str">
            <v>Acct Dashboard Non-Financing</v>
          </cell>
          <cell r="F281" t="str">
            <v>Negative</v>
          </cell>
          <cell r="G281" t="str">
            <v>High</v>
          </cell>
          <cell r="O281" t="str">
            <v>Not Run</v>
          </cell>
        </row>
        <row r="282">
          <cell r="C282" t="str">
            <v>Acct Dashboard Non-Financing</v>
          </cell>
          <cell r="F282" t="str">
            <v>Negative</v>
          </cell>
          <cell r="G282" t="str">
            <v>High</v>
          </cell>
          <cell r="O282" t="str">
            <v>Not Run</v>
          </cell>
        </row>
        <row r="283">
          <cell r="C283" t="str">
            <v>Acct Dashboard Non-Financing</v>
          </cell>
          <cell r="F283" t="str">
            <v>Negative</v>
          </cell>
          <cell r="G283" t="str">
            <v>Medium</v>
          </cell>
          <cell r="O283" t="str">
            <v>Not Run</v>
          </cell>
        </row>
        <row r="284">
          <cell r="C284" t="str">
            <v>Acct Dashboard Non-Financing</v>
          </cell>
          <cell r="F284" t="str">
            <v>UI / Functional</v>
          </cell>
          <cell r="G284" t="str">
            <v>Medium</v>
          </cell>
          <cell r="O284" t="str">
            <v>Not Run</v>
          </cell>
        </row>
        <row r="285">
          <cell r="C285" t="str">
            <v>Acct Dashboard Non-Financing</v>
          </cell>
          <cell r="F285" t="str">
            <v>UI / Functional</v>
          </cell>
          <cell r="G285" t="str">
            <v>Medium</v>
          </cell>
          <cell r="O285" t="str">
            <v>Not Run</v>
          </cell>
        </row>
        <row r="286">
          <cell r="C286" t="str">
            <v>Acct Dashboard Non-Financing</v>
          </cell>
          <cell r="F286" t="str">
            <v>Functional</v>
          </cell>
          <cell r="G286" t="str">
            <v>Medium</v>
          </cell>
          <cell r="O286" t="str">
            <v>Not Run</v>
          </cell>
        </row>
        <row r="287">
          <cell r="C287" t="str">
            <v>Acct Dashboard Non-Financing</v>
          </cell>
          <cell r="F287" t="str">
            <v>UI / Functional</v>
          </cell>
          <cell r="G287" t="str">
            <v>Medium</v>
          </cell>
          <cell r="O287" t="str">
            <v>Not Run</v>
          </cell>
        </row>
        <row r="288">
          <cell r="C288" t="str">
            <v>Acct Dashboard Non-Financing</v>
          </cell>
          <cell r="F288" t="str">
            <v>Functional</v>
          </cell>
          <cell r="G288" t="str">
            <v>High</v>
          </cell>
          <cell r="O288" t="str">
            <v>Not Run</v>
          </cell>
        </row>
        <row r="289">
          <cell r="C289" t="str">
            <v>Acct Dashboard Non-Financing</v>
          </cell>
          <cell r="F289" t="str">
            <v>Security</v>
          </cell>
          <cell r="G289" t="str">
            <v>High</v>
          </cell>
          <cell r="O289" t="str">
            <v>Not Run</v>
          </cell>
        </row>
        <row r="290">
          <cell r="C290" t="str">
            <v>Acct Dashboard Non-Financing</v>
          </cell>
          <cell r="F290" t="str">
            <v>Positive</v>
          </cell>
          <cell r="G290" t="str">
            <v>High</v>
          </cell>
          <cell r="O290" t="str">
            <v>Not Run</v>
          </cell>
        </row>
        <row r="291">
          <cell r="C291" t="str">
            <v>Acct Dashboard Non-Financing</v>
          </cell>
          <cell r="F291" t="str">
            <v>Negative</v>
          </cell>
          <cell r="G291" t="str">
            <v>High</v>
          </cell>
          <cell r="O291" t="str">
            <v>Not Run</v>
          </cell>
        </row>
        <row r="292">
          <cell r="C292" t="str">
            <v>Acct Dashboard Non-Financing</v>
          </cell>
          <cell r="F292" t="str">
            <v>Positive</v>
          </cell>
          <cell r="G292" t="str">
            <v>Medium</v>
          </cell>
          <cell r="O292" t="str">
            <v>Not Run</v>
          </cell>
        </row>
        <row r="293">
          <cell r="C293" t="str">
            <v>Acct Dashboard Non-Financing</v>
          </cell>
          <cell r="F293" t="str">
            <v>Negative</v>
          </cell>
          <cell r="G293" t="str">
            <v>High</v>
          </cell>
          <cell r="O293" t="str">
            <v>Not Run</v>
          </cell>
        </row>
        <row r="294">
          <cell r="C294" t="str">
            <v>Acct Dashboard Non-Financing</v>
          </cell>
          <cell r="F294" t="str">
            <v>Security</v>
          </cell>
          <cell r="G294" t="str">
            <v>High</v>
          </cell>
          <cell r="O294" t="str">
            <v>Not Run</v>
          </cell>
        </row>
        <row r="295">
          <cell r="C295" t="str">
            <v>Acct Dashboard Non-Financing</v>
          </cell>
          <cell r="F295" t="str">
            <v>Negative / Security</v>
          </cell>
          <cell r="G295" t="str">
            <v>High</v>
          </cell>
          <cell r="O295" t="str">
            <v>Not Run</v>
          </cell>
        </row>
        <row r="296">
          <cell r="C296" t="str">
            <v>Acct Dashboard Non-Financing</v>
          </cell>
          <cell r="F296" t="str">
            <v>UI / Functional</v>
          </cell>
          <cell r="G296" t="str">
            <v>Medium</v>
          </cell>
          <cell r="O296" t="str">
            <v>Not Run</v>
          </cell>
        </row>
        <row r="297">
          <cell r="C297" t="str">
            <v>Acct Dashboard Non-Financing</v>
          </cell>
          <cell r="F297" t="str">
            <v>UI / Functional</v>
          </cell>
          <cell r="G297" t="str">
            <v>Medium</v>
          </cell>
          <cell r="O297" t="str">
            <v>Not Run</v>
          </cell>
        </row>
        <row r="298">
          <cell r="C298" t="str">
            <v>Acct Dashboard Non-Financing</v>
          </cell>
          <cell r="F298" t="str">
            <v>UI / Functional</v>
          </cell>
          <cell r="G298" t="str">
            <v>High</v>
          </cell>
          <cell r="O298" t="str">
            <v>Not Run</v>
          </cell>
        </row>
        <row r="299">
          <cell r="C299" t="str">
            <v>Acct Dashboard Non-Financing</v>
          </cell>
          <cell r="F299" t="str">
            <v>UI / Functional</v>
          </cell>
          <cell r="G299" t="str">
            <v>High</v>
          </cell>
          <cell r="O299" t="str">
            <v>Not Run</v>
          </cell>
        </row>
        <row r="300">
          <cell r="C300" t="str">
            <v>Acct Dashboard Non-Financing</v>
          </cell>
          <cell r="F300" t="str">
            <v>UI / Functional</v>
          </cell>
          <cell r="G300" t="str">
            <v>High</v>
          </cell>
          <cell r="O300" t="str">
            <v>Not Run</v>
          </cell>
        </row>
        <row r="301">
          <cell r="C301" t="str">
            <v>Acct Dashboard Non-Financing</v>
          </cell>
          <cell r="F301" t="str">
            <v>UI / Functional</v>
          </cell>
          <cell r="G301" t="str">
            <v>Medium</v>
          </cell>
          <cell r="O301" t="str">
            <v>Not Run</v>
          </cell>
        </row>
        <row r="302">
          <cell r="C302" t="str">
            <v>Acct Dashboard Non-Financing</v>
          </cell>
          <cell r="F302" t="str">
            <v>UI / Functional</v>
          </cell>
          <cell r="G302" t="str">
            <v>Medium</v>
          </cell>
          <cell r="O302" t="str">
            <v>Not Run</v>
          </cell>
        </row>
        <row r="303">
          <cell r="C303" t="str">
            <v>Acct Dashboard Non-Financing</v>
          </cell>
          <cell r="F303" t="str">
            <v>Functional</v>
          </cell>
          <cell r="G303" t="str">
            <v>Medium</v>
          </cell>
          <cell r="O303" t="str">
            <v>Not Run</v>
          </cell>
        </row>
        <row r="304">
          <cell r="C304" t="str">
            <v>Acct Dashboard Non-Financing</v>
          </cell>
          <cell r="F304" t="str">
            <v>Functional</v>
          </cell>
          <cell r="G304" t="str">
            <v>Medium</v>
          </cell>
          <cell r="O304" t="str">
            <v>Not Run</v>
          </cell>
        </row>
        <row r="305">
          <cell r="C305" t="str">
            <v>Acct Dashboard Non-Financing</v>
          </cell>
          <cell r="F305" t="str">
            <v>UI / Functional</v>
          </cell>
          <cell r="G305" t="str">
            <v>Medium</v>
          </cell>
          <cell r="O305" t="str">
            <v>Not Run</v>
          </cell>
        </row>
        <row r="306">
          <cell r="C306" t="str">
            <v>Acct Dashboard Non-Financing</v>
          </cell>
          <cell r="F306" t="str">
            <v>Positive</v>
          </cell>
          <cell r="G306" t="str">
            <v>High</v>
          </cell>
          <cell r="O306" t="str">
            <v>Not Run</v>
          </cell>
        </row>
        <row r="307">
          <cell r="C307" t="str">
            <v>Acct Dashboard Non-Financing</v>
          </cell>
          <cell r="F307" t="str">
            <v>Negative</v>
          </cell>
          <cell r="G307" t="str">
            <v>High</v>
          </cell>
          <cell r="O307" t="str">
            <v>Not Run</v>
          </cell>
        </row>
        <row r="308">
          <cell r="C308" t="str">
            <v>App Dashboard</v>
          </cell>
          <cell r="F308" t="str">
            <v>Positive</v>
          </cell>
          <cell r="G308" t="str">
            <v>Medium</v>
          </cell>
          <cell r="O308" t="str">
            <v>Not Run</v>
          </cell>
        </row>
        <row r="309">
          <cell r="C309" t="str">
            <v>App Dashboard</v>
          </cell>
          <cell r="F309" t="str">
            <v>Negative</v>
          </cell>
          <cell r="G309" t="str">
            <v>High</v>
          </cell>
          <cell r="O309" t="str">
            <v>Not Run</v>
          </cell>
        </row>
        <row r="310">
          <cell r="C310" t="str">
            <v>App Dashboard</v>
          </cell>
          <cell r="F310" t="str">
            <v>Security</v>
          </cell>
          <cell r="G310" t="str">
            <v>High</v>
          </cell>
          <cell r="O310" t="str">
            <v>Not Run</v>
          </cell>
        </row>
        <row r="311">
          <cell r="C311" t="str">
            <v>App Dashboard</v>
          </cell>
          <cell r="F311" t="str">
            <v>Negative / Security</v>
          </cell>
          <cell r="G311" t="str">
            <v>High</v>
          </cell>
          <cell r="O311" t="str">
            <v>Not Run</v>
          </cell>
        </row>
        <row r="312">
          <cell r="C312" t="str">
            <v>App Dashboard</v>
          </cell>
          <cell r="F312" t="str">
            <v>Functional</v>
          </cell>
          <cell r="G312" t="str">
            <v>Medium</v>
          </cell>
          <cell r="O312" t="str">
            <v>Not Run</v>
          </cell>
        </row>
        <row r="313">
          <cell r="C313" t="str">
            <v>App Dashboard</v>
          </cell>
          <cell r="F313" t="str">
            <v>UI / Functional</v>
          </cell>
          <cell r="G313" t="str">
            <v>Medium</v>
          </cell>
          <cell r="O313" t="str">
            <v>Not Run</v>
          </cell>
        </row>
        <row r="314">
          <cell r="C314" t="str">
            <v>App Dashboard</v>
          </cell>
          <cell r="F314" t="str">
            <v>UI / Functional</v>
          </cell>
          <cell r="G314" t="str">
            <v>Medium</v>
          </cell>
          <cell r="O314" t="str">
            <v>Not Run</v>
          </cell>
        </row>
        <row r="315">
          <cell r="C315" t="str">
            <v>App Dashboard</v>
          </cell>
          <cell r="F315" t="str">
            <v>Functional</v>
          </cell>
          <cell r="G315" t="str">
            <v>Medium</v>
          </cell>
          <cell r="O315" t="str">
            <v>Not Run</v>
          </cell>
        </row>
        <row r="316">
          <cell r="C316" t="str">
            <v>App Dashboard</v>
          </cell>
          <cell r="F316" t="str">
            <v>Functional</v>
          </cell>
          <cell r="G316" t="str">
            <v>Medium</v>
          </cell>
          <cell r="O316" t="str">
            <v>Not Run</v>
          </cell>
        </row>
        <row r="317">
          <cell r="C317" t="str">
            <v>App Dashboard</v>
          </cell>
          <cell r="F317" t="str">
            <v>Functional</v>
          </cell>
          <cell r="G317" t="str">
            <v>Medium</v>
          </cell>
          <cell r="O317" t="str">
            <v>Not Run</v>
          </cell>
        </row>
        <row r="318">
          <cell r="C318" t="str">
            <v>App Dashboard</v>
          </cell>
          <cell r="F318" t="str">
            <v>Functional</v>
          </cell>
          <cell r="G318" t="str">
            <v>Medium</v>
          </cell>
          <cell r="O318" t="str">
            <v>Not Run</v>
          </cell>
        </row>
        <row r="319">
          <cell r="C319" t="str">
            <v>App Dashboard</v>
          </cell>
          <cell r="F319" t="str">
            <v>Functional</v>
          </cell>
          <cell r="G319" t="str">
            <v>Medium</v>
          </cell>
          <cell r="O319" t="str">
            <v>Not Run</v>
          </cell>
        </row>
        <row r="320">
          <cell r="C320" t="str">
            <v>App Dashboard</v>
          </cell>
          <cell r="F320" t="str">
            <v>Functional</v>
          </cell>
          <cell r="G320" t="str">
            <v>Medium</v>
          </cell>
          <cell r="O320" t="str">
            <v>Not Run</v>
          </cell>
        </row>
        <row r="321">
          <cell r="C321" t="str">
            <v>App Dashboard</v>
          </cell>
          <cell r="F321" t="str">
            <v>Functional</v>
          </cell>
          <cell r="G321" t="str">
            <v>Medium</v>
          </cell>
          <cell r="O321" t="str">
            <v>Not Run</v>
          </cell>
        </row>
        <row r="322">
          <cell r="C322" t="str">
            <v>App Dashboard</v>
          </cell>
          <cell r="F322" t="str">
            <v>UI / Functional</v>
          </cell>
          <cell r="G322" t="str">
            <v>Medium</v>
          </cell>
          <cell r="O322" t="str">
            <v>Not Run</v>
          </cell>
        </row>
        <row r="323">
          <cell r="C323" t="str">
            <v>App Dashboard</v>
          </cell>
          <cell r="F323" t="str">
            <v>Security</v>
          </cell>
          <cell r="G323" t="str">
            <v>High</v>
          </cell>
          <cell r="O323" t="str">
            <v>Not Run</v>
          </cell>
        </row>
        <row r="324">
          <cell r="C324" t="str">
            <v>App Dashboard</v>
          </cell>
          <cell r="F324" t="str">
            <v>Functional</v>
          </cell>
          <cell r="G324" t="str">
            <v>Medium</v>
          </cell>
          <cell r="O324" t="str">
            <v>Not Run</v>
          </cell>
        </row>
        <row r="325">
          <cell r="C325" t="str">
            <v>App Dashboard</v>
          </cell>
          <cell r="F325" t="str">
            <v>Functional</v>
          </cell>
          <cell r="G325" t="str">
            <v>Medium</v>
          </cell>
          <cell r="O325" t="str">
            <v>Not Run</v>
          </cell>
        </row>
        <row r="326">
          <cell r="C326" t="str">
            <v>App Dashboard</v>
          </cell>
          <cell r="F326" t="str">
            <v>UI / Functional</v>
          </cell>
          <cell r="G326" t="str">
            <v>Medium</v>
          </cell>
          <cell r="O326" t="str">
            <v>Not Run</v>
          </cell>
        </row>
        <row r="327">
          <cell r="C327" t="str">
            <v>App Dashboard</v>
          </cell>
          <cell r="F327" t="str">
            <v>Positive</v>
          </cell>
          <cell r="G327" t="str">
            <v>High</v>
          </cell>
          <cell r="O327" t="str">
            <v>Not Run</v>
          </cell>
        </row>
        <row r="328">
          <cell r="C328" t="str">
            <v>App Dashboard</v>
          </cell>
          <cell r="F328" t="str">
            <v>Negative</v>
          </cell>
          <cell r="G328" t="str">
            <v>High</v>
          </cell>
          <cell r="O328" t="str">
            <v>Not Run</v>
          </cell>
        </row>
        <row r="329">
          <cell r="C329" t="str">
            <v>App Dashboard</v>
          </cell>
          <cell r="F329" t="str">
            <v>Positive</v>
          </cell>
          <cell r="G329" t="str">
            <v>Medium</v>
          </cell>
          <cell r="O329" t="str">
            <v>Not Run</v>
          </cell>
        </row>
        <row r="330">
          <cell r="C330" t="str">
            <v>App Dashboard</v>
          </cell>
          <cell r="F330" t="str">
            <v>Negative</v>
          </cell>
          <cell r="G330" t="str">
            <v>High</v>
          </cell>
          <cell r="O330" t="str">
            <v>Not Run</v>
          </cell>
        </row>
        <row r="331">
          <cell r="C331" t="str">
            <v>App Dashboard</v>
          </cell>
          <cell r="F331" t="str">
            <v>Security</v>
          </cell>
          <cell r="G331" t="str">
            <v>High</v>
          </cell>
          <cell r="O331" t="str">
            <v>Not Run</v>
          </cell>
        </row>
        <row r="332">
          <cell r="C332" t="str">
            <v>App Dashboard</v>
          </cell>
          <cell r="F332" t="str">
            <v>Negative / Security</v>
          </cell>
          <cell r="G332" t="str">
            <v>High</v>
          </cell>
          <cell r="O332" t="str">
            <v>Not Run</v>
          </cell>
        </row>
        <row r="333">
          <cell r="C333" t="str">
            <v>App Dashboard</v>
          </cell>
          <cell r="F333" t="str">
            <v>Functional</v>
          </cell>
          <cell r="G333" t="str">
            <v>Medium</v>
          </cell>
          <cell r="O333" t="str">
            <v>Not Run</v>
          </cell>
        </row>
        <row r="334">
          <cell r="C334" t="str">
            <v>App Dashboard</v>
          </cell>
          <cell r="F334" t="str">
            <v>UI / Functional</v>
          </cell>
          <cell r="G334" t="str">
            <v>Medium</v>
          </cell>
          <cell r="O334" t="str">
            <v>Not Run</v>
          </cell>
        </row>
        <row r="335">
          <cell r="C335" t="str">
            <v>App Dashboard</v>
          </cell>
          <cell r="F335" t="str">
            <v>Functional</v>
          </cell>
          <cell r="G335" t="str">
            <v>Medium</v>
          </cell>
          <cell r="O335" t="str">
            <v>Not Run</v>
          </cell>
        </row>
        <row r="336">
          <cell r="C336" t="str">
            <v>App Dashboard</v>
          </cell>
          <cell r="F336" t="str">
            <v>Functional</v>
          </cell>
          <cell r="G336" t="str">
            <v>Medium</v>
          </cell>
          <cell r="O336" t="str">
            <v>Not Run</v>
          </cell>
        </row>
        <row r="337">
          <cell r="C337" t="str">
            <v>App Dashboard</v>
          </cell>
          <cell r="F337" t="str">
            <v>Functional</v>
          </cell>
          <cell r="G337" t="str">
            <v>Medium</v>
          </cell>
          <cell r="O337" t="str">
            <v>Not Run</v>
          </cell>
        </row>
        <row r="338">
          <cell r="C338" t="str">
            <v>App Dashboard</v>
          </cell>
          <cell r="F338" t="str">
            <v>Functional</v>
          </cell>
          <cell r="G338" t="str">
            <v>Medium</v>
          </cell>
          <cell r="O338" t="str">
            <v>Not Run</v>
          </cell>
        </row>
        <row r="339">
          <cell r="C339" t="str">
            <v>App Dashboard</v>
          </cell>
          <cell r="F339" t="str">
            <v>Functional</v>
          </cell>
          <cell r="G339" t="str">
            <v>Medium</v>
          </cell>
          <cell r="O339" t="str">
            <v>Not Run</v>
          </cell>
        </row>
        <row r="340">
          <cell r="C340" t="str">
            <v>App Dashboard</v>
          </cell>
          <cell r="F340" t="str">
            <v>Functional</v>
          </cell>
          <cell r="G340" t="str">
            <v>Medium</v>
          </cell>
          <cell r="O340" t="str">
            <v>Not Run</v>
          </cell>
        </row>
        <row r="341">
          <cell r="C341" t="str">
            <v>App Dashboard</v>
          </cell>
          <cell r="F341" t="str">
            <v>Functional</v>
          </cell>
          <cell r="G341" t="str">
            <v>Medium</v>
          </cell>
          <cell r="O341" t="str">
            <v>Not Run</v>
          </cell>
        </row>
        <row r="342">
          <cell r="C342" t="str">
            <v>App Dashboard</v>
          </cell>
          <cell r="F342" t="str">
            <v>Functional</v>
          </cell>
          <cell r="G342" t="str">
            <v>Medium</v>
          </cell>
          <cell r="O342" t="str">
            <v>Not Run</v>
          </cell>
        </row>
        <row r="343">
          <cell r="C343" t="str">
            <v>App Dashboard</v>
          </cell>
          <cell r="F343" t="str">
            <v>UI / Functional</v>
          </cell>
          <cell r="G343" t="str">
            <v>Medium</v>
          </cell>
          <cell r="O343" t="str">
            <v>Not Run</v>
          </cell>
        </row>
        <row r="344">
          <cell r="C344" t="str">
            <v>App Dashboard</v>
          </cell>
          <cell r="F344" t="str">
            <v>Security</v>
          </cell>
          <cell r="G344" t="str">
            <v>High</v>
          </cell>
          <cell r="O344" t="str">
            <v>Not Run</v>
          </cell>
        </row>
        <row r="345">
          <cell r="C345" t="str">
            <v>App Dashboard</v>
          </cell>
          <cell r="F345" t="str">
            <v>Functional</v>
          </cell>
          <cell r="G345" t="str">
            <v>Medium</v>
          </cell>
          <cell r="O345" t="str">
            <v>Not Run</v>
          </cell>
        </row>
        <row r="346">
          <cell r="C346" t="str">
            <v>App Dashboard</v>
          </cell>
          <cell r="F346" t="str">
            <v>Functional</v>
          </cell>
          <cell r="G346" t="str">
            <v>Medium</v>
          </cell>
          <cell r="O346" t="str">
            <v>Not Run</v>
          </cell>
        </row>
        <row r="347">
          <cell r="C347" t="str">
            <v>App Dashboard</v>
          </cell>
          <cell r="F347" t="str">
            <v>UI / Functional</v>
          </cell>
          <cell r="G347" t="str">
            <v>Medium</v>
          </cell>
          <cell r="O347" t="str">
            <v>Not Run</v>
          </cell>
        </row>
        <row r="348">
          <cell r="C348" t="str">
            <v>App Dashboard</v>
          </cell>
          <cell r="F348" t="str">
            <v>Positive</v>
          </cell>
          <cell r="G348" t="str">
            <v>High</v>
          </cell>
          <cell r="O348" t="str">
            <v>Not Run</v>
          </cell>
        </row>
        <row r="349">
          <cell r="C349" t="str">
            <v>App Dashboard</v>
          </cell>
          <cell r="F349" t="str">
            <v>Negative</v>
          </cell>
          <cell r="G349" t="str">
            <v>High</v>
          </cell>
          <cell r="O349" t="str">
            <v>Not Run</v>
          </cell>
        </row>
        <row r="350">
          <cell r="C350" t="str">
            <v>App Dashboard</v>
          </cell>
          <cell r="F350" t="str">
            <v>Positive</v>
          </cell>
          <cell r="G350" t="str">
            <v>Medium</v>
          </cell>
          <cell r="O350" t="str">
            <v>Not Run</v>
          </cell>
        </row>
        <row r="351">
          <cell r="C351" t="str">
            <v>App Dashboard</v>
          </cell>
          <cell r="F351" t="str">
            <v>Negative</v>
          </cell>
          <cell r="G351" t="str">
            <v>High</v>
          </cell>
          <cell r="O351" t="str">
            <v>Not Run</v>
          </cell>
        </row>
        <row r="352">
          <cell r="C352" t="str">
            <v>App Dashboard</v>
          </cell>
          <cell r="F352" t="str">
            <v>Security</v>
          </cell>
          <cell r="G352" t="str">
            <v>High</v>
          </cell>
          <cell r="O352" t="str">
            <v>Not Run</v>
          </cell>
        </row>
        <row r="353">
          <cell r="C353" t="str">
            <v>App Dashboard</v>
          </cell>
          <cell r="F353" t="str">
            <v>Negative / Security</v>
          </cell>
          <cell r="G353" t="str">
            <v>High</v>
          </cell>
          <cell r="O353" t="str">
            <v>Not Run</v>
          </cell>
        </row>
        <row r="354">
          <cell r="C354" t="str">
            <v>App Dashboard</v>
          </cell>
          <cell r="F354" t="str">
            <v>Functional</v>
          </cell>
          <cell r="G354" t="str">
            <v>Medium</v>
          </cell>
          <cell r="O354" t="str">
            <v>Not Run</v>
          </cell>
        </row>
        <row r="355">
          <cell r="C355" t="str">
            <v>App Dashboard</v>
          </cell>
          <cell r="F355" t="str">
            <v>Positive</v>
          </cell>
          <cell r="G355" t="str">
            <v>High</v>
          </cell>
          <cell r="O355" t="str">
            <v>Not Run</v>
          </cell>
        </row>
        <row r="356">
          <cell r="C356" t="str">
            <v>App Dashboard</v>
          </cell>
          <cell r="F356" t="str">
            <v>Negative</v>
          </cell>
          <cell r="G356" t="str">
            <v>High</v>
          </cell>
          <cell r="O356" t="str">
            <v>Not Run</v>
          </cell>
        </row>
        <row r="357">
          <cell r="C357" t="str">
            <v>App Dashboard</v>
          </cell>
          <cell r="F357" t="str">
            <v>Positive</v>
          </cell>
          <cell r="G357" t="str">
            <v>Medium</v>
          </cell>
          <cell r="O357" t="str">
            <v>Not Run</v>
          </cell>
        </row>
        <row r="358">
          <cell r="C358" t="str">
            <v>App Dashboard</v>
          </cell>
          <cell r="F358" t="str">
            <v>Negative</v>
          </cell>
          <cell r="G358" t="str">
            <v>High</v>
          </cell>
          <cell r="O358" t="str">
            <v>Not Run</v>
          </cell>
        </row>
        <row r="359">
          <cell r="C359" t="str">
            <v>App Dashboard</v>
          </cell>
          <cell r="F359" t="str">
            <v>Security</v>
          </cell>
          <cell r="G359" t="str">
            <v>High</v>
          </cell>
          <cell r="O359" t="str">
            <v>Not Run</v>
          </cell>
        </row>
        <row r="360">
          <cell r="C360" t="str">
            <v>App Dashboard</v>
          </cell>
          <cell r="F360" t="str">
            <v>Negative / Security</v>
          </cell>
          <cell r="G360" t="str">
            <v>High</v>
          </cell>
          <cell r="O360" t="str">
            <v>Not Run</v>
          </cell>
        </row>
        <row r="361">
          <cell r="C361" t="str">
            <v>App Dashboard</v>
          </cell>
          <cell r="F361" t="str">
            <v>Functional</v>
          </cell>
          <cell r="G361" t="str">
            <v>Medium</v>
          </cell>
          <cell r="O361" t="str">
            <v>Not Run</v>
          </cell>
        </row>
        <row r="362">
          <cell r="C362" t="str">
            <v>App Dashboard</v>
          </cell>
          <cell r="F362" t="str">
            <v>Positive</v>
          </cell>
          <cell r="G362" t="str">
            <v>High</v>
          </cell>
          <cell r="O362" t="str">
            <v>Not Run</v>
          </cell>
        </row>
        <row r="363">
          <cell r="C363" t="str">
            <v>App Dashboard</v>
          </cell>
          <cell r="F363" t="str">
            <v>Negative</v>
          </cell>
          <cell r="G363" t="str">
            <v>High</v>
          </cell>
          <cell r="O363" t="str">
            <v>Not Run</v>
          </cell>
        </row>
        <row r="364">
          <cell r="C364" t="str">
            <v>App Dashboard</v>
          </cell>
          <cell r="F364" t="str">
            <v>Positive</v>
          </cell>
          <cell r="G364" t="str">
            <v>Medium</v>
          </cell>
          <cell r="O364" t="str">
            <v>Not Run</v>
          </cell>
        </row>
        <row r="365">
          <cell r="C365" t="str">
            <v>App Dashboard</v>
          </cell>
          <cell r="F365" t="str">
            <v>Negative</v>
          </cell>
          <cell r="G365" t="str">
            <v>High</v>
          </cell>
          <cell r="O365" t="str">
            <v>Not Run</v>
          </cell>
        </row>
        <row r="366">
          <cell r="C366" t="str">
            <v>App Dashboard</v>
          </cell>
          <cell r="F366" t="str">
            <v>Security</v>
          </cell>
          <cell r="G366" t="str">
            <v>High</v>
          </cell>
          <cell r="O366" t="str">
            <v>Not Run</v>
          </cell>
        </row>
        <row r="367">
          <cell r="C367" t="str">
            <v>App Dashboard</v>
          </cell>
          <cell r="F367" t="str">
            <v>Negative / Security</v>
          </cell>
          <cell r="G367" t="str">
            <v>High</v>
          </cell>
          <cell r="O367" t="str">
            <v>Not Run</v>
          </cell>
        </row>
        <row r="368">
          <cell r="C368" t="str">
            <v>App Dashboard</v>
          </cell>
          <cell r="F368" t="str">
            <v>Functional</v>
          </cell>
          <cell r="G368" t="str">
            <v>Medium</v>
          </cell>
          <cell r="O368" t="str">
            <v>Not Run</v>
          </cell>
        </row>
        <row r="369">
          <cell r="C369" t="str">
            <v>App Dashboard</v>
          </cell>
          <cell r="F369" t="str">
            <v>UI / Functional</v>
          </cell>
          <cell r="G369" t="str">
            <v>High</v>
          </cell>
          <cell r="O369" t="str">
            <v>Not Run</v>
          </cell>
        </row>
        <row r="370">
          <cell r="C370" t="str">
            <v>App Dashboard</v>
          </cell>
          <cell r="F370" t="str">
            <v>Functional</v>
          </cell>
          <cell r="G370" t="str">
            <v>Medium</v>
          </cell>
          <cell r="O370" t="str">
            <v>Not Run</v>
          </cell>
        </row>
        <row r="371">
          <cell r="C371" t="str">
            <v>App Dashboard</v>
          </cell>
          <cell r="F371" t="str">
            <v>Functional</v>
          </cell>
          <cell r="G371" t="str">
            <v>Medium</v>
          </cell>
          <cell r="O371" t="str">
            <v>Not Run</v>
          </cell>
        </row>
        <row r="372">
          <cell r="C372" t="str">
            <v>App Dashboard</v>
          </cell>
          <cell r="F372" t="str">
            <v>Functional</v>
          </cell>
          <cell r="G372" t="str">
            <v>Medium</v>
          </cell>
          <cell r="O372" t="str">
            <v>Not Run</v>
          </cell>
        </row>
        <row r="373">
          <cell r="C373" t="str">
            <v>App Dashboard</v>
          </cell>
          <cell r="F373" t="str">
            <v>Functional</v>
          </cell>
          <cell r="G373" t="str">
            <v>Medium</v>
          </cell>
          <cell r="O373" t="str">
            <v>Not Run</v>
          </cell>
        </row>
        <row r="374">
          <cell r="C374" t="str">
            <v>App Dashboard</v>
          </cell>
          <cell r="F374" t="str">
            <v>Functional</v>
          </cell>
          <cell r="G374" t="str">
            <v>Medium</v>
          </cell>
          <cell r="O374" t="str">
            <v>Not Run</v>
          </cell>
        </row>
        <row r="375">
          <cell r="C375" t="str">
            <v>App Dashboard</v>
          </cell>
          <cell r="F375" t="str">
            <v>Functional</v>
          </cell>
          <cell r="G375" t="str">
            <v>Medium</v>
          </cell>
          <cell r="O375" t="str">
            <v>Not Run</v>
          </cell>
        </row>
        <row r="376">
          <cell r="C376" t="str">
            <v>App Dashboard</v>
          </cell>
          <cell r="F376" t="str">
            <v>Functional</v>
          </cell>
          <cell r="G376" t="str">
            <v>Medium</v>
          </cell>
          <cell r="O376" t="str">
            <v>Not Run</v>
          </cell>
        </row>
        <row r="377">
          <cell r="C377" t="str">
            <v>App Dashboard</v>
          </cell>
          <cell r="F377" t="str">
            <v>Functional</v>
          </cell>
          <cell r="G377" t="str">
            <v>Medium</v>
          </cell>
          <cell r="O377" t="str">
            <v>Not Run</v>
          </cell>
        </row>
        <row r="378">
          <cell r="C378" t="str">
            <v>App Dashboard</v>
          </cell>
          <cell r="F378" t="str">
            <v>Functional</v>
          </cell>
          <cell r="G378" t="str">
            <v>Medium</v>
          </cell>
          <cell r="O378" t="str">
            <v>Not Run</v>
          </cell>
        </row>
        <row r="379">
          <cell r="C379" t="str">
            <v>App Dashboard</v>
          </cell>
          <cell r="F379" t="str">
            <v>Functional</v>
          </cell>
          <cell r="G379" t="str">
            <v>Medium</v>
          </cell>
          <cell r="O379" t="str">
            <v>Not Run</v>
          </cell>
        </row>
        <row r="380">
          <cell r="C380" t="str">
            <v>App Dashboard</v>
          </cell>
          <cell r="F380" t="str">
            <v>Functional</v>
          </cell>
          <cell r="G380" t="str">
            <v>Medium</v>
          </cell>
          <cell r="O380" t="str">
            <v>Not Run</v>
          </cell>
        </row>
        <row r="381">
          <cell r="C381" t="str">
            <v>App Dashboard</v>
          </cell>
          <cell r="F381" t="str">
            <v>UI / Functional</v>
          </cell>
          <cell r="G381" t="str">
            <v>High</v>
          </cell>
          <cell r="O381" t="str">
            <v>Not Run</v>
          </cell>
        </row>
        <row r="382">
          <cell r="C382" t="str">
            <v>App Dashboard</v>
          </cell>
          <cell r="F382" t="str">
            <v>Positive</v>
          </cell>
          <cell r="G382" t="str">
            <v>High</v>
          </cell>
          <cell r="O382" t="str">
            <v>Not Run</v>
          </cell>
        </row>
        <row r="383">
          <cell r="C383" t="str">
            <v>App Dashboard</v>
          </cell>
          <cell r="F383" t="str">
            <v>Negative</v>
          </cell>
          <cell r="G383" t="str">
            <v>High</v>
          </cell>
          <cell r="O383" t="str">
            <v>Not Run</v>
          </cell>
        </row>
        <row r="384">
          <cell r="C384" t="str">
            <v>App Dashboard</v>
          </cell>
          <cell r="F384" t="str">
            <v>Positive</v>
          </cell>
          <cell r="G384" t="str">
            <v>High</v>
          </cell>
          <cell r="O384" t="str">
            <v>Not Run</v>
          </cell>
        </row>
        <row r="385">
          <cell r="C385" t="str">
            <v>App Dashboard</v>
          </cell>
          <cell r="F385" t="str">
            <v>Negative</v>
          </cell>
          <cell r="G385" t="str">
            <v>High</v>
          </cell>
          <cell r="O385" t="str">
            <v>Not Run</v>
          </cell>
        </row>
        <row r="386">
          <cell r="C386" t="str">
            <v>App Dashboard</v>
          </cell>
          <cell r="F386" t="str">
            <v>Security</v>
          </cell>
          <cell r="G386" t="str">
            <v>High</v>
          </cell>
          <cell r="O386" t="str">
            <v>Not Run</v>
          </cell>
        </row>
        <row r="387">
          <cell r="C387" t="str">
            <v>App Dashboard</v>
          </cell>
          <cell r="F387" t="str">
            <v>Negative / Security</v>
          </cell>
          <cell r="G387" t="str">
            <v>High</v>
          </cell>
          <cell r="O387" t="str">
            <v>Not Run</v>
          </cell>
        </row>
        <row r="388">
          <cell r="C388" t="str">
            <v>App Dashboard</v>
          </cell>
          <cell r="F388" t="str">
            <v>Functional</v>
          </cell>
          <cell r="G388" t="str">
            <v>Medium</v>
          </cell>
          <cell r="O388" t="str">
            <v>Not Run</v>
          </cell>
        </row>
        <row r="389">
          <cell r="C389" t="str">
            <v>App Dashboard</v>
          </cell>
          <cell r="F389" t="str">
            <v>UI / Functional</v>
          </cell>
          <cell r="G389" t="str">
            <v>Medium</v>
          </cell>
          <cell r="O389" t="str">
            <v>Not Run</v>
          </cell>
        </row>
        <row r="390">
          <cell r="C390" t="str">
            <v>App Dashboard</v>
          </cell>
          <cell r="F390" t="str">
            <v>Security</v>
          </cell>
          <cell r="G390" t="str">
            <v>High</v>
          </cell>
          <cell r="O390" t="str">
            <v>Not Run</v>
          </cell>
        </row>
        <row r="391">
          <cell r="C391" t="str">
            <v>App Dashboard</v>
          </cell>
          <cell r="F391" t="str">
            <v>Functional</v>
          </cell>
          <cell r="G391" t="str">
            <v>Medium</v>
          </cell>
          <cell r="O391" t="str">
            <v>Not Run</v>
          </cell>
        </row>
        <row r="392">
          <cell r="C392" t="str">
            <v>App Dashboard</v>
          </cell>
          <cell r="F392" t="str">
            <v>Functional</v>
          </cell>
          <cell r="G392" t="str">
            <v>Medium</v>
          </cell>
          <cell r="O392" t="str">
            <v>Not Run</v>
          </cell>
        </row>
        <row r="393">
          <cell r="C393" t="str">
            <v>App Dashboard</v>
          </cell>
          <cell r="F393" t="str">
            <v>Security</v>
          </cell>
          <cell r="G393" t="str">
            <v>High</v>
          </cell>
          <cell r="O393" t="str">
            <v>Not Run</v>
          </cell>
        </row>
        <row r="394">
          <cell r="C394" t="str">
            <v>App Dashboard</v>
          </cell>
          <cell r="F394" t="str">
            <v>Functional</v>
          </cell>
          <cell r="G394" t="str">
            <v>Medium</v>
          </cell>
          <cell r="O394" t="str">
            <v>Not Run</v>
          </cell>
        </row>
        <row r="395">
          <cell r="C395" t="str">
            <v>App Dashboard</v>
          </cell>
          <cell r="F395" t="str">
            <v>Security</v>
          </cell>
          <cell r="G395" t="str">
            <v>High</v>
          </cell>
          <cell r="O395" t="str">
            <v>Not Run</v>
          </cell>
        </row>
        <row r="396">
          <cell r="C396" t="str">
            <v>App Dashboard</v>
          </cell>
          <cell r="F396" t="str">
            <v>Functional</v>
          </cell>
          <cell r="G396" t="str">
            <v>Medium</v>
          </cell>
          <cell r="O396" t="str">
            <v>Not Run</v>
          </cell>
        </row>
        <row r="397">
          <cell r="C397" t="str">
            <v>App Dashboard</v>
          </cell>
          <cell r="F397" t="str">
            <v>Security</v>
          </cell>
          <cell r="G397" t="str">
            <v>High</v>
          </cell>
          <cell r="O397" t="str">
            <v>Not Run</v>
          </cell>
        </row>
        <row r="398">
          <cell r="C398" t="str">
            <v>App Dashboard</v>
          </cell>
          <cell r="F398" t="str">
            <v>Security</v>
          </cell>
          <cell r="G398" t="str">
            <v>High</v>
          </cell>
          <cell r="O398" t="str">
            <v>Not Run</v>
          </cell>
        </row>
        <row r="399">
          <cell r="C399" t="str">
            <v>App Dashboard</v>
          </cell>
          <cell r="F399" t="str">
            <v>Functional</v>
          </cell>
          <cell r="G399" t="str">
            <v>Medium</v>
          </cell>
          <cell r="O399" t="str">
            <v>Not Run</v>
          </cell>
        </row>
        <row r="400">
          <cell r="C400" t="str">
            <v>App Dashboard</v>
          </cell>
          <cell r="F400" t="str">
            <v>Security</v>
          </cell>
          <cell r="G400" t="str">
            <v>High</v>
          </cell>
          <cell r="O400" t="str">
            <v>Not Run</v>
          </cell>
        </row>
        <row r="401">
          <cell r="C401" t="str">
            <v>App Dashboard</v>
          </cell>
          <cell r="F401" t="str">
            <v>Positive</v>
          </cell>
          <cell r="G401" t="str">
            <v>High</v>
          </cell>
          <cell r="O401" t="str">
            <v>Not Run</v>
          </cell>
        </row>
        <row r="402">
          <cell r="C402" t="str">
            <v>App Dashboard</v>
          </cell>
          <cell r="F402" t="str">
            <v>Negative</v>
          </cell>
          <cell r="G402" t="str">
            <v>High</v>
          </cell>
          <cell r="O402" t="str">
            <v>Not Run</v>
          </cell>
        </row>
        <row r="403">
          <cell r="C403" t="str">
            <v>App Dashboard</v>
          </cell>
          <cell r="F403" t="str">
            <v>Positive</v>
          </cell>
          <cell r="G403" t="str">
            <v>Medium</v>
          </cell>
          <cell r="O403" t="str">
            <v>Not Run</v>
          </cell>
        </row>
        <row r="404">
          <cell r="C404" t="str">
            <v>App Dashboard</v>
          </cell>
          <cell r="F404" t="str">
            <v>Negative</v>
          </cell>
          <cell r="G404" t="str">
            <v>High</v>
          </cell>
          <cell r="O404" t="str">
            <v>Not Run</v>
          </cell>
        </row>
        <row r="405">
          <cell r="C405" t="str">
            <v>App Dashboard</v>
          </cell>
          <cell r="F405" t="str">
            <v>Security</v>
          </cell>
          <cell r="G405" t="str">
            <v>High</v>
          </cell>
          <cell r="O405" t="str">
            <v>Not Run</v>
          </cell>
        </row>
        <row r="406">
          <cell r="C406" t="str">
            <v>App Dashboard</v>
          </cell>
          <cell r="F406" t="str">
            <v>Negative / Security</v>
          </cell>
          <cell r="G406" t="str">
            <v>High</v>
          </cell>
          <cell r="O406" t="str">
            <v>Not Run</v>
          </cell>
        </row>
        <row r="407">
          <cell r="C407" t="str">
            <v>App Dashboard</v>
          </cell>
          <cell r="F407" t="str">
            <v>Functional</v>
          </cell>
          <cell r="G407" t="str">
            <v>Medium</v>
          </cell>
          <cell r="O407" t="str">
            <v>Not Run</v>
          </cell>
        </row>
        <row r="408">
          <cell r="C408" t="str">
            <v>App Dashboard</v>
          </cell>
          <cell r="F408" t="str">
            <v>UI / Functional</v>
          </cell>
          <cell r="G408" t="str">
            <v>Medium</v>
          </cell>
          <cell r="O408" t="str">
            <v>Not Run</v>
          </cell>
        </row>
        <row r="409">
          <cell r="C409" t="str">
            <v>App Dashboard</v>
          </cell>
          <cell r="F409" t="str">
            <v>Functional</v>
          </cell>
          <cell r="G409" t="str">
            <v>Medium</v>
          </cell>
          <cell r="O409" t="str">
            <v>Not Run</v>
          </cell>
        </row>
        <row r="410">
          <cell r="C410" t="str">
            <v>App Dashboard</v>
          </cell>
          <cell r="F410" t="str">
            <v>Functional</v>
          </cell>
          <cell r="G410" t="str">
            <v>Medium</v>
          </cell>
          <cell r="O410" t="str">
            <v>Not Run</v>
          </cell>
        </row>
        <row r="411">
          <cell r="C411" t="str">
            <v>App Dashboard</v>
          </cell>
          <cell r="F411" t="str">
            <v>Functional</v>
          </cell>
          <cell r="G411" t="str">
            <v>Medium</v>
          </cell>
          <cell r="O411" t="str">
            <v>Not Run</v>
          </cell>
        </row>
        <row r="412">
          <cell r="C412" t="str">
            <v>App Dashboard</v>
          </cell>
          <cell r="F412" t="str">
            <v>Functional</v>
          </cell>
          <cell r="G412" t="str">
            <v>Medium</v>
          </cell>
          <cell r="O412" t="str">
            <v>Not Run</v>
          </cell>
        </row>
        <row r="413">
          <cell r="C413" t="str">
            <v>App Dashboard</v>
          </cell>
          <cell r="F413" t="str">
            <v>Functional</v>
          </cell>
          <cell r="G413" t="str">
            <v>Medium</v>
          </cell>
          <cell r="O413" t="str">
            <v>Not Run</v>
          </cell>
        </row>
        <row r="414">
          <cell r="C414" t="str">
            <v>App Dashboard</v>
          </cell>
          <cell r="F414" t="str">
            <v>Functional</v>
          </cell>
          <cell r="G414" t="str">
            <v>Medium</v>
          </cell>
          <cell r="O414" t="str">
            <v>Not Run</v>
          </cell>
        </row>
        <row r="415">
          <cell r="C415" t="str">
            <v>App Dashboard</v>
          </cell>
          <cell r="F415" t="str">
            <v>Security</v>
          </cell>
          <cell r="G415" t="str">
            <v>High</v>
          </cell>
          <cell r="O415" t="str">
            <v>Not Run</v>
          </cell>
        </row>
        <row r="416">
          <cell r="C416" t="str">
            <v>App Dashboard</v>
          </cell>
          <cell r="F416" t="str">
            <v>Security</v>
          </cell>
          <cell r="G416" t="str">
            <v>High</v>
          </cell>
          <cell r="O416" t="str">
            <v>Not Run</v>
          </cell>
        </row>
        <row r="417">
          <cell r="C417" t="str">
            <v>App Dashboard</v>
          </cell>
          <cell r="F417" t="str">
            <v>UI / Functional</v>
          </cell>
          <cell r="G417" t="str">
            <v>Medium</v>
          </cell>
          <cell r="O417" t="str">
            <v>Not Run</v>
          </cell>
        </row>
        <row r="418">
          <cell r="C418" t="str">
            <v>App Dashboard</v>
          </cell>
          <cell r="F418" t="str">
            <v>Positive</v>
          </cell>
          <cell r="G418" t="str">
            <v>High</v>
          </cell>
          <cell r="O418" t="str">
            <v>Not Run</v>
          </cell>
        </row>
        <row r="419">
          <cell r="C419" t="str">
            <v>App Dashboard</v>
          </cell>
          <cell r="F419" t="str">
            <v>Negative</v>
          </cell>
          <cell r="G419" t="str">
            <v>High</v>
          </cell>
          <cell r="O419" t="str">
            <v>Not Run</v>
          </cell>
        </row>
        <row r="420">
          <cell r="C420" t="str">
            <v>App Dashboard</v>
          </cell>
          <cell r="F420" t="str">
            <v>Positive</v>
          </cell>
          <cell r="G420" t="str">
            <v>High</v>
          </cell>
          <cell r="O420" t="str">
            <v>Not Run</v>
          </cell>
        </row>
        <row r="421">
          <cell r="C421" t="str">
            <v>App Dashboard</v>
          </cell>
          <cell r="F421" t="str">
            <v>Negative</v>
          </cell>
          <cell r="G421" t="str">
            <v>High</v>
          </cell>
          <cell r="O421" t="str">
            <v>Not Run</v>
          </cell>
        </row>
        <row r="422">
          <cell r="C422" t="str">
            <v>App Dashboard</v>
          </cell>
          <cell r="F422" t="str">
            <v>Security</v>
          </cell>
          <cell r="G422" t="str">
            <v>High</v>
          </cell>
          <cell r="O422" t="str">
            <v>Not Run</v>
          </cell>
        </row>
        <row r="423">
          <cell r="C423" t="str">
            <v>App Dashboard</v>
          </cell>
          <cell r="F423" t="str">
            <v>Negative / Security</v>
          </cell>
          <cell r="G423" t="str">
            <v>High</v>
          </cell>
          <cell r="O423" t="str">
            <v>Not Run</v>
          </cell>
        </row>
        <row r="424">
          <cell r="C424" t="str">
            <v>App Dashboard</v>
          </cell>
          <cell r="F424" t="str">
            <v>Negative</v>
          </cell>
          <cell r="G424" t="str">
            <v>High</v>
          </cell>
          <cell r="O424" t="str">
            <v>Not Run</v>
          </cell>
        </row>
        <row r="425">
          <cell r="C425" t="str">
            <v>App Dashboard</v>
          </cell>
          <cell r="F425" t="str">
            <v>Positive</v>
          </cell>
          <cell r="G425" t="str">
            <v>High</v>
          </cell>
          <cell r="O425" t="str">
            <v>Not Run</v>
          </cell>
        </row>
        <row r="426">
          <cell r="C426" t="str">
            <v>App Dashboard</v>
          </cell>
          <cell r="F426" t="str">
            <v>Negative</v>
          </cell>
          <cell r="G426" t="str">
            <v>High</v>
          </cell>
          <cell r="O426" t="str">
            <v>Not Run</v>
          </cell>
        </row>
        <row r="427">
          <cell r="C427" t="str">
            <v>App Dashboard</v>
          </cell>
          <cell r="F427" t="str">
            <v>Positive</v>
          </cell>
          <cell r="G427" t="str">
            <v>Medium</v>
          </cell>
          <cell r="O427" t="str">
            <v>Not Run</v>
          </cell>
        </row>
        <row r="428">
          <cell r="C428" t="str">
            <v>App Dashboard</v>
          </cell>
          <cell r="F428" t="str">
            <v>Negative</v>
          </cell>
          <cell r="G428" t="str">
            <v>High</v>
          </cell>
          <cell r="O428" t="str">
            <v>Not Run</v>
          </cell>
        </row>
        <row r="429">
          <cell r="C429" t="str">
            <v>App Dashboard</v>
          </cell>
          <cell r="F429" t="str">
            <v>Security</v>
          </cell>
          <cell r="G429" t="str">
            <v>High</v>
          </cell>
          <cell r="O429" t="str">
            <v>Not Run</v>
          </cell>
        </row>
        <row r="430">
          <cell r="C430" t="str">
            <v>App Dashboard</v>
          </cell>
          <cell r="F430" t="str">
            <v>Negative / Security</v>
          </cell>
          <cell r="G430" t="str">
            <v>High</v>
          </cell>
          <cell r="O430" t="str">
            <v>Not Run</v>
          </cell>
        </row>
        <row r="431">
          <cell r="C431" t="str">
            <v>App Dashboard</v>
          </cell>
          <cell r="F431" t="str">
            <v>Functional</v>
          </cell>
          <cell r="G431" t="str">
            <v>Medium</v>
          </cell>
          <cell r="O431" t="str">
            <v>Not Run</v>
          </cell>
        </row>
        <row r="432">
          <cell r="C432" t="str">
            <v>App Dashboard</v>
          </cell>
          <cell r="F432" t="str">
            <v>Functional</v>
          </cell>
          <cell r="G432" t="str">
            <v>High</v>
          </cell>
          <cell r="O432" t="str">
            <v>Not Run</v>
          </cell>
        </row>
        <row r="433">
          <cell r="C433" t="str">
            <v>App Dashboard</v>
          </cell>
          <cell r="F433" t="str">
            <v>Positive</v>
          </cell>
          <cell r="G433" t="str">
            <v>High</v>
          </cell>
          <cell r="O433" t="str">
            <v>Not Run</v>
          </cell>
        </row>
        <row r="434">
          <cell r="C434" t="str">
            <v>App Dashboard</v>
          </cell>
          <cell r="F434" t="str">
            <v>Negative</v>
          </cell>
          <cell r="G434" t="str">
            <v>High</v>
          </cell>
          <cell r="O434" t="str">
            <v>Not Run</v>
          </cell>
        </row>
        <row r="435">
          <cell r="C435" t="str">
            <v>App Dashboard</v>
          </cell>
          <cell r="F435" t="str">
            <v>Positive</v>
          </cell>
          <cell r="G435" t="str">
            <v>High</v>
          </cell>
          <cell r="O435" t="str">
            <v>Not Run</v>
          </cell>
        </row>
        <row r="436">
          <cell r="C436" t="str">
            <v>App Dashboard</v>
          </cell>
          <cell r="F436" t="str">
            <v>Negative</v>
          </cell>
          <cell r="G436" t="str">
            <v>High</v>
          </cell>
          <cell r="O436" t="str">
            <v>Not Run</v>
          </cell>
        </row>
        <row r="437">
          <cell r="C437" t="str">
            <v>App Dashboard</v>
          </cell>
          <cell r="F437" t="str">
            <v>Security</v>
          </cell>
          <cell r="G437" t="str">
            <v>High</v>
          </cell>
          <cell r="O437" t="str">
            <v>Not Run</v>
          </cell>
        </row>
        <row r="438">
          <cell r="C438" t="str">
            <v>App Dashboard</v>
          </cell>
          <cell r="F438" t="str">
            <v>Negative / Security</v>
          </cell>
          <cell r="G438" t="str">
            <v>High</v>
          </cell>
          <cell r="O438" t="str">
            <v>Not Run</v>
          </cell>
        </row>
        <row r="439">
          <cell r="C439" t="str">
            <v>App Dashboard</v>
          </cell>
          <cell r="F439" t="str">
            <v>Functional</v>
          </cell>
          <cell r="G439" t="str">
            <v>Medium</v>
          </cell>
          <cell r="O439" t="str">
            <v>Not Run</v>
          </cell>
        </row>
        <row r="440">
          <cell r="C440" t="str">
            <v>App Dashboard</v>
          </cell>
          <cell r="F440" t="str">
            <v>Security</v>
          </cell>
          <cell r="G440" t="str">
            <v>High</v>
          </cell>
          <cell r="O440" t="str">
            <v>Not Run</v>
          </cell>
        </row>
        <row r="441">
          <cell r="C441" t="str">
            <v>App Dashboard</v>
          </cell>
          <cell r="F441" t="str">
            <v>Functional</v>
          </cell>
          <cell r="G441" t="str">
            <v>Medium</v>
          </cell>
          <cell r="O441" t="str">
            <v>Not Run</v>
          </cell>
        </row>
        <row r="442">
          <cell r="C442" t="str">
            <v>App Dashboard</v>
          </cell>
          <cell r="F442" t="str">
            <v>Security</v>
          </cell>
          <cell r="G442" t="str">
            <v>High</v>
          </cell>
          <cell r="O442" t="str">
            <v>Not Run</v>
          </cell>
        </row>
        <row r="443">
          <cell r="C443" t="str">
            <v>App Dashboard</v>
          </cell>
          <cell r="F443" t="str">
            <v>Functional</v>
          </cell>
          <cell r="G443" t="str">
            <v>Medium</v>
          </cell>
          <cell r="O443" t="str">
            <v>Not Run</v>
          </cell>
        </row>
        <row r="444">
          <cell r="C444" t="str">
            <v>App Dashboard</v>
          </cell>
          <cell r="F444" t="str">
            <v>Security</v>
          </cell>
          <cell r="G444" t="str">
            <v>High</v>
          </cell>
          <cell r="O444" t="str">
            <v>Not Run</v>
          </cell>
        </row>
        <row r="445">
          <cell r="C445" t="str">
            <v>App Dashboard</v>
          </cell>
          <cell r="F445" t="str">
            <v>Functional</v>
          </cell>
          <cell r="G445" t="str">
            <v>Medium</v>
          </cell>
          <cell r="O445" t="str">
            <v>Not Run</v>
          </cell>
        </row>
        <row r="446">
          <cell r="C446" t="str">
            <v>App Dashboard</v>
          </cell>
          <cell r="F446" t="str">
            <v>Functional</v>
          </cell>
          <cell r="G446" t="str">
            <v>Medium</v>
          </cell>
          <cell r="O446" t="str">
            <v>Not Run</v>
          </cell>
        </row>
        <row r="447">
          <cell r="C447" t="str">
            <v>App Dashboard</v>
          </cell>
          <cell r="F447" t="str">
            <v>Functional</v>
          </cell>
          <cell r="G447" t="str">
            <v>Medium</v>
          </cell>
          <cell r="O447" t="str">
            <v>Not Run</v>
          </cell>
        </row>
        <row r="448">
          <cell r="C448" t="str">
            <v>App Dashboard</v>
          </cell>
          <cell r="F448" t="str">
            <v>Functional</v>
          </cell>
          <cell r="G448" t="str">
            <v>Medium</v>
          </cell>
          <cell r="O448" t="str">
            <v>Not Run</v>
          </cell>
        </row>
        <row r="449">
          <cell r="C449" t="str">
            <v>App Dashboard</v>
          </cell>
          <cell r="F449" t="str">
            <v>Positive</v>
          </cell>
          <cell r="G449" t="str">
            <v>High</v>
          </cell>
          <cell r="O449" t="str">
            <v>Not Run</v>
          </cell>
        </row>
        <row r="450">
          <cell r="C450" t="str">
            <v>App Dashboard</v>
          </cell>
          <cell r="F450" t="str">
            <v>Negative</v>
          </cell>
          <cell r="G450" t="str">
            <v>High</v>
          </cell>
          <cell r="O450" t="str">
            <v>Not Run</v>
          </cell>
        </row>
        <row r="451">
          <cell r="C451" t="str">
            <v>A&amp;A</v>
          </cell>
          <cell r="F451" t="str">
            <v>Positive</v>
          </cell>
          <cell r="G451" t="str">
            <v>High</v>
          </cell>
          <cell r="O451" t="str">
            <v>Not Run</v>
          </cell>
        </row>
        <row r="452">
          <cell r="C452" t="str">
            <v>A&amp;A</v>
          </cell>
          <cell r="F452" t="str">
            <v>Negative</v>
          </cell>
          <cell r="G452" t="str">
            <v>High</v>
          </cell>
          <cell r="O452" t="str">
            <v>Not Run</v>
          </cell>
        </row>
        <row r="453">
          <cell r="C453" t="str">
            <v>A&amp;A</v>
          </cell>
          <cell r="F453" t="str">
            <v>Security</v>
          </cell>
          <cell r="G453" t="str">
            <v>High</v>
          </cell>
          <cell r="O453" t="str">
            <v>Not Run</v>
          </cell>
        </row>
        <row r="454">
          <cell r="C454" t="str">
            <v>A&amp;A</v>
          </cell>
          <cell r="F454" t="str">
            <v>Security</v>
          </cell>
          <cell r="G454" t="str">
            <v>High</v>
          </cell>
          <cell r="O454" t="str">
            <v>Not Run</v>
          </cell>
        </row>
        <row r="455">
          <cell r="C455" t="str">
            <v>A&amp;A</v>
          </cell>
          <cell r="F455" t="str">
            <v>Security</v>
          </cell>
          <cell r="G455" t="str">
            <v>High</v>
          </cell>
          <cell r="O455" t="str">
            <v>Not Run</v>
          </cell>
        </row>
        <row r="456">
          <cell r="C456" t="str">
            <v>A&amp;A</v>
          </cell>
          <cell r="F456" t="str">
            <v>Security</v>
          </cell>
          <cell r="G456" t="str">
            <v>High</v>
          </cell>
          <cell r="O456" t="str">
            <v>Not Run</v>
          </cell>
        </row>
        <row r="457">
          <cell r="C457" t="str">
            <v>A&amp;A</v>
          </cell>
          <cell r="F457" t="str">
            <v>Security</v>
          </cell>
          <cell r="G457" t="str">
            <v>Medium</v>
          </cell>
          <cell r="O457" t="str">
            <v>Not Run</v>
          </cell>
        </row>
        <row r="458">
          <cell r="C458" t="str">
            <v>A&amp;A</v>
          </cell>
          <cell r="F458" t="str">
            <v>Security</v>
          </cell>
          <cell r="G458" t="str">
            <v>Medium</v>
          </cell>
          <cell r="O458" t="str">
            <v>Not Run</v>
          </cell>
        </row>
        <row r="459">
          <cell r="C459" t="str">
            <v>A&amp;A</v>
          </cell>
          <cell r="F459" t="str">
            <v>Security</v>
          </cell>
          <cell r="G459" t="str">
            <v>Medium</v>
          </cell>
          <cell r="O459" t="str">
            <v>Not Run</v>
          </cell>
        </row>
        <row r="460">
          <cell r="C460" t="str">
            <v>A&amp;A</v>
          </cell>
          <cell r="F460" t="str">
            <v>Security</v>
          </cell>
          <cell r="G460" t="str">
            <v>Medium</v>
          </cell>
          <cell r="O460" t="str">
            <v>Not Run</v>
          </cell>
        </row>
        <row r="461">
          <cell r="C461" t="str">
            <v>A&amp;A</v>
          </cell>
          <cell r="F461" t="str">
            <v>Positive</v>
          </cell>
          <cell r="G461" t="str">
            <v>High</v>
          </cell>
          <cell r="O461" t="str">
            <v>Not Run</v>
          </cell>
        </row>
        <row r="462">
          <cell r="C462" t="str">
            <v>A&amp;A</v>
          </cell>
          <cell r="F462" t="str">
            <v>Negative</v>
          </cell>
          <cell r="G462" t="str">
            <v>High</v>
          </cell>
          <cell r="O462" t="str">
            <v>Not Run</v>
          </cell>
        </row>
        <row r="463">
          <cell r="C463" t="str">
            <v>A&amp;A</v>
          </cell>
          <cell r="F463" t="str">
            <v>Positive</v>
          </cell>
          <cell r="G463" t="str">
            <v>High</v>
          </cell>
          <cell r="O463" t="str">
            <v>Not Run</v>
          </cell>
        </row>
        <row r="464">
          <cell r="C464" t="str">
            <v>A&amp;A</v>
          </cell>
          <cell r="F464" t="str">
            <v>Negative</v>
          </cell>
          <cell r="G464" t="str">
            <v>High</v>
          </cell>
          <cell r="O464" t="str">
            <v>Not Run</v>
          </cell>
        </row>
        <row r="465">
          <cell r="C465" t="str">
            <v>A&amp;A</v>
          </cell>
          <cell r="F465" t="str">
            <v>Security</v>
          </cell>
          <cell r="G465" t="str">
            <v>High</v>
          </cell>
          <cell r="O465" t="str">
            <v>Not Run</v>
          </cell>
        </row>
        <row r="466">
          <cell r="C466" t="str">
            <v>A&amp;A</v>
          </cell>
          <cell r="F466" t="str">
            <v>Security</v>
          </cell>
          <cell r="G466" t="str">
            <v>High</v>
          </cell>
          <cell r="O466" t="str">
            <v>Not Run</v>
          </cell>
        </row>
        <row r="467">
          <cell r="C467" t="str">
            <v>A&amp;A</v>
          </cell>
          <cell r="F467" t="str">
            <v>Positive</v>
          </cell>
          <cell r="G467" t="str">
            <v>High</v>
          </cell>
          <cell r="O467" t="str">
            <v>Not Run</v>
          </cell>
        </row>
        <row r="468">
          <cell r="C468" t="str">
            <v>A&amp;A</v>
          </cell>
          <cell r="F468" t="str">
            <v>Negative</v>
          </cell>
          <cell r="G468" t="str">
            <v>High</v>
          </cell>
          <cell r="O468" t="str">
            <v>Not Run</v>
          </cell>
        </row>
        <row r="469">
          <cell r="C469" t="str">
            <v>A&amp;A</v>
          </cell>
          <cell r="F469" t="str">
            <v>Positive</v>
          </cell>
          <cell r="G469" t="str">
            <v>High</v>
          </cell>
          <cell r="O469" t="str">
            <v>Not Run</v>
          </cell>
        </row>
        <row r="470">
          <cell r="C470" t="str">
            <v>A&amp;A</v>
          </cell>
          <cell r="F470" t="str">
            <v>Negative</v>
          </cell>
          <cell r="G470" t="str">
            <v>High</v>
          </cell>
          <cell r="O470" t="str">
            <v>Not Run</v>
          </cell>
        </row>
        <row r="471">
          <cell r="C471" t="str">
            <v>A&amp;A</v>
          </cell>
          <cell r="F471" t="str">
            <v>Security</v>
          </cell>
          <cell r="G471" t="str">
            <v>High</v>
          </cell>
          <cell r="O471" t="str">
            <v>Not Run</v>
          </cell>
        </row>
        <row r="472">
          <cell r="C472" t="str">
            <v>A&amp;A</v>
          </cell>
          <cell r="F472" t="str">
            <v>Security</v>
          </cell>
          <cell r="G472" t="str">
            <v>High</v>
          </cell>
          <cell r="O472" t="str">
            <v>Not Run</v>
          </cell>
        </row>
        <row r="473">
          <cell r="C473" t="str">
            <v>A&amp;A</v>
          </cell>
          <cell r="F473" t="str">
            <v>Security</v>
          </cell>
          <cell r="G473" t="str">
            <v>High</v>
          </cell>
          <cell r="O473" t="str">
            <v>Not Run</v>
          </cell>
        </row>
        <row r="474">
          <cell r="C474" t="str">
            <v>A&amp;A</v>
          </cell>
          <cell r="F474" t="str">
            <v>Security</v>
          </cell>
          <cell r="G474" t="str">
            <v>High</v>
          </cell>
          <cell r="O474" t="str">
            <v>Not Run</v>
          </cell>
        </row>
        <row r="475">
          <cell r="C475" t="str">
            <v>A&amp;A</v>
          </cell>
          <cell r="F475" t="str">
            <v>Security</v>
          </cell>
          <cell r="G475" t="str">
            <v>High</v>
          </cell>
          <cell r="O475" t="str">
            <v>Not Run</v>
          </cell>
        </row>
        <row r="476">
          <cell r="C476" t="str">
            <v>A&amp;A</v>
          </cell>
          <cell r="F476" t="str">
            <v>Security</v>
          </cell>
          <cell r="G476" t="str">
            <v>High</v>
          </cell>
          <cell r="O476" t="str">
            <v>Not Run</v>
          </cell>
        </row>
        <row r="477">
          <cell r="C477" t="str">
            <v>A&amp;A</v>
          </cell>
          <cell r="F477" t="str">
            <v>Security</v>
          </cell>
          <cell r="G477" t="str">
            <v>High</v>
          </cell>
          <cell r="O477" t="str">
            <v>Not Run</v>
          </cell>
        </row>
        <row r="478">
          <cell r="C478" t="str">
            <v>A&amp;A</v>
          </cell>
          <cell r="F478" t="str">
            <v>Security</v>
          </cell>
          <cell r="G478" t="str">
            <v>High</v>
          </cell>
          <cell r="O478" t="str">
            <v>Not Run</v>
          </cell>
        </row>
        <row r="479">
          <cell r="C479" t="str">
            <v>A&amp;A</v>
          </cell>
          <cell r="F479" t="str">
            <v>Positive</v>
          </cell>
          <cell r="G479" t="str">
            <v>High</v>
          </cell>
          <cell r="O479" t="str">
            <v>Not Run</v>
          </cell>
        </row>
        <row r="480">
          <cell r="C480" t="str">
            <v>A&amp;A</v>
          </cell>
          <cell r="F480" t="str">
            <v>Negative</v>
          </cell>
          <cell r="G480" t="str">
            <v>High</v>
          </cell>
          <cell r="O480" t="str">
            <v>Not Run</v>
          </cell>
        </row>
        <row r="481">
          <cell r="C481" t="str">
            <v>A&amp;A</v>
          </cell>
          <cell r="F481" t="str">
            <v>Positive</v>
          </cell>
          <cell r="G481" t="str">
            <v>Medium</v>
          </cell>
          <cell r="O481" t="str">
            <v>Not Run</v>
          </cell>
        </row>
        <row r="482">
          <cell r="C482" t="str">
            <v>A&amp;A</v>
          </cell>
          <cell r="F482" t="str">
            <v>Negative</v>
          </cell>
          <cell r="G482" t="str">
            <v>High</v>
          </cell>
          <cell r="O482" t="str">
            <v>Not Run</v>
          </cell>
        </row>
        <row r="483">
          <cell r="C483" t="str">
            <v>A&amp;A</v>
          </cell>
          <cell r="F483" t="str">
            <v>Security</v>
          </cell>
          <cell r="G483" t="str">
            <v>High</v>
          </cell>
          <cell r="O483" t="str">
            <v>Not Run</v>
          </cell>
        </row>
        <row r="484">
          <cell r="C484" t="str">
            <v>A&amp;A</v>
          </cell>
          <cell r="F484" t="str">
            <v>Security</v>
          </cell>
          <cell r="G484" t="str">
            <v>High</v>
          </cell>
          <cell r="O484" t="str">
            <v>Not Run</v>
          </cell>
        </row>
        <row r="485">
          <cell r="C485" t="str">
            <v>A&amp;A</v>
          </cell>
          <cell r="F485" t="str">
            <v>Security</v>
          </cell>
          <cell r="G485" t="str">
            <v>Medium</v>
          </cell>
          <cell r="O485" t="str">
            <v>Not Run</v>
          </cell>
        </row>
        <row r="486">
          <cell r="C486" t="str">
            <v>A&amp;A</v>
          </cell>
          <cell r="F486" t="str">
            <v>Security</v>
          </cell>
          <cell r="G486" t="str">
            <v>Medium</v>
          </cell>
          <cell r="O486" t="str">
            <v>Not Run</v>
          </cell>
        </row>
        <row r="487">
          <cell r="C487" t="str">
            <v>A&amp;A</v>
          </cell>
          <cell r="F487" t="str">
            <v>Positive</v>
          </cell>
          <cell r="G487" t="str">
            <v>High</v>
          </cell>
          <cell r="O487" t="str">
            <v>Not Run</v>
          </cell>
        </row>
        <row r="488">
          <cell r="C488" t="str">
            <v>A&amp;A</v>
          </cell>
          <cell r="F488" t="str">
            <v>Negative</v>
          </cell>
          <cell r="G488" t="str">
            <v>High</v>
          </cell>
          <cell r="O488" t="str">
            <v>Not Run</v>
          </cell>
        </row>
        <row r="489">
          <cell r="C489" t="str">
            <v>A&amp;A</v>
          </cell>
          <cell r="F489" t="str">
            <v>Positive</v>
          </cell>
          <cell r="G489" t="str">
            <v>High</v>
          </cell>
          <cell r="O489" t="str">
            <v>Not Run</v>
          </cell>
        </row>
        <row r="490">
          <cell r="C490" t="str">
            <v>A&amp;A</v>
          </cell>
          <cell r="F490" t="str">
            <v>Negative</v>
          </cell>
          <cell r="G490" t="str">
            <v>High</v>
          </cell>
          <cell r="O490" t="str">
            <v>Not Run</v>
          </cell>
        </row>
        <row r="491">
          <cell r="C491" t="str">
            <v>A&amp;A</v>
          </cell>
          <cell r="F491" t="str">
            <v>Functional</v>
          </cell>
          <cell r="G491" t="str">
            <v>High</v>
          </cell>
          <cell r="O491" t="str">
            <v>Not Run</v>
          </cell>
        </row>
        <row r="492">
          <cell r="C492" t="str">
            <v>A&amp;A</v>
          </cell>
          <cell r="F492" t="str">
            <v>Security</v>
          </cell>
          <cell r="G492" t="str">
            <v>High</v>
          </cell>
          <cell r="O492" t="str">
            <v>Not Run</v>
          </cell>
        </row>
        <row r="493">
          <cell r="C493" t="str">
            <v>A&amp;A</v>
          </cell>
          <cell r="F493" t="str">
            <v>Security</v>
          </cell>
          <cell r="G493" t="str">
            <v>High</v>
          </cell>
          <cell r="O493" t="str">
            <v>Not Run</v>
          </cell>
        </row>
        <row r="494">
          <cell r="C494" t="str">
            <v>A&amp;A</v>
          </cell>
          <cell r="F494" t="str">
            <v>Security</v>
          </cell>
          <cell r="G494" t="str">
            <v>Medium</v>
          </cell>
          <cell r="O494" t="str">
            <v>Not Run</v>
          </cell>
        </row>
        <row r="495">
          <cell r="C495" t="str">
            <v>A&amp;A</v>
          </cell>
          <cell r="F495" t="str">
            <v>Functional</v>
          </cell>
          <cell r="G495" t="str">
            <v>Medium</v>
          </cell>
          <cell r="O495" t="str">
            <v>Not Run</v>
          </cell>
        </row>
        <row r="496">
          <cell r="C496" t="str">
            <v>A&amp;A</v>
          </cell>
          <cell r="F496" t="str">
            <v>Security</v>
          </cell>
          <cell r="G496" t="str">
            <v>High</v>
          </cell>
          <cell r="O496" t="str">
            <v>Not Run</v>
          </cell>
        </row>
        <row r="497">
          <cell r="C497" t="str">
            <v>A&amp;A</v>
          </cell>
          <cell r="F497" t="str">
            <v>Functional</v>
          </cell>
          <cell r="G497" t="str">
            <v>Medium</v>
          </cell>
          <cell r="O497" t="str">
            <v>Not Run</v>
          </cell>
        </row>
        <row r="498">
          <cell r="C498" t="str">
            <v>A&amp;A</v>
          </cell>
          <cell r="F498" t="str">
            <v>Positive</v>
          </cell>
          <cell r="G498" t="str">
            <v>High</v>
          </cell>
          <cell r="O498" t="str">
            <v>Not Run</v>
          </cell>
        </row>
        <row r="499">
          <cell r="C499" t="str">
            <v>A&amp;A</v>
          </cell>
          <cell r="F499" t="str">
            <v>Negative</v>
          </cell>
          <cell r="G499" t="str">
            <v>High</v>
          </cell>
          <cell r="O499" t="str">
            <v>Not Run</v>
          </cell>
        </row>
        <row r="500">
          <cell r="C500" t="str">
            <v>A&amp;A</v>
          </cell>
          <cell r="F500" t="str">
            <v>Positive</v>
          </cell>
          <cell r="G500" t="str">
            <v>High</v>
          </cell>
          <cell r="O500" t="str">
            <v>Not Run</v>
          </cell>
        </row>
        <row r="501">
          <cell r="C501" t="str">
            <v>A&amp;A</v>
          </cell>
          <cell r="F501" t="str">
            <v>Negative</v>
          </cell>
          <cell r="G501" t="str">
            <v>High</v>
          </cell>
          <cell r="O501" t="str">
            <v>Not Run</v>
          </cell>
        </row>
        <row r="502">
          <cell r="C502" t="str">
            <v>A&amp;A</v>
          </cell>
          <cell r="F502" t="str">
            <v>Security</v>
          </cell>
          <cell r="G502" t="str">
            <v>High</v>
          </cell>
          <cell r="O502" t="str">
            <v>Not Run</v>
          </cell>
        </row>
        <row r="503">
          <cell r="C503" t="str">
            <v>A&amp;A</v>
          </cell>
          <cell r="F503" t="str">
            <v>Security</v>
          </cell>
          <cell r="G503" t="str">
            <v>High</v>
          </cell>
          <cell r="O503" t="str">
            <v>Not Run</v>
          </cell>
        </row>
        <row r="504">
          <cell r="C504" t="str">
            <v>A&amp;A</v>
          </cell>
          <cell r="F504" t="str">
            <v>Security</v>
          </cell>
          <cell r="G504" t="str">
            <v>High</v>
          </cell>
          <cell r="O504" t="str">
            <v>Not Run</v>
          </cell>
        </row>
        <row r="505">
          <cell r="C505" t="str">
            <v>A&amp;A</v>
          </cell>
          <cell r="F505" t="str">
            <v>Security</v>
          </cell>
          <cell r="G505" t="str">
            <v>High</v>
          </cell>
          <cell r="O505" t="str">
            <v>Not Run</v>
          </cell>
        </row>
        <row r="506">
          <cell r="C506" t="str">
            <v>A&amp;A</v>
          </cell>
          <cell r="F506" t="str">
            <v>Security</v>
          </cell>
          <cell r="G506" t="str">
            <v>Medium</v>
          </cell>
          <cell r="O506" t="str">
            <v>Not Run</v>
          </cell>
        </row>
        <row r="507">
          <cell r="C507" t="str">
            <v>A&amp;A</v>
          </cell>
          <cell r="F507" t="str">
            <v>Security</v>
          </cell>
          <cell r="G507" t="str">
            <v>Medium</v>
          </cell>
          <cell r="O507" t="str">
            <v>Not Run</v>
          </cell>
        </row>
        <row r="508">
          <cell r="C508" t="str">
            <v>A&amp;A</v>
          </cell>
          <cell r="F508" t="str">
            <v>Positive</v>
          </cell>
          <cell r="G508" t="str">
            <v>High</v>
          </cell>
          <cell r="O508" t="str">
            <v>Not Run</v>
          </cell>
        </row>
        <row r="509">
          <cell r="C509" t="str">
            <v>A&amp;A</v>
          </cell>
          <cell r="F509" t="str">
            <v>Negative</v>
          </cell>
          <cell r="G509" t="str">
            <v>High</v>
          </cell>
          <cell r="O509" t="str">
            <v>Not Run</v>
          </cell>
        </row>
        <row r="510">
          <cell r="C510" t="str">
            <v>A&amp;A</v>
          </cell>
          <cell r="F510" t="str">
            <v>Positive</v>
          </cell>
          <cell r="G510" t="str">
            <v>Medium</v>
          </cell>
          <cell r="O510" t="str">
            <v>Not Run</v>
          </cell>
        </row>
        <row r="511">
          <cell r="C511" t="str">
            <v>A&amp;A</v>
          </cell>
          <cell r="F511" t="str">
            <v>Negative</v>
          </cell>
          <cell r="G511" t="str">
            <v>High</v>
          </cell>
          <cell r="O511" t="str">
            <v>Not Run</v>
          </cell>
        </row>
        <row r="512">
          <cell r="C512" t="str">
            <v>A&amp;A</v>
          </cell>
          <cell r="F512" t="str">
            <v>Security</v>
          </cell>
          <cell r="G512" t="str">
            <v>High</v>
          </cell>
          <cell r="O512" t="str">
            <v>Not Run</v>
          </cell>
        </row>
        <row r="513">
          <cell r="C513" t="str">
            <v>A&amp;A</v>
          </cell>
          <cell r="F513" t="str">
            <v>Security</v>
          </cell>
          <cell r="G513" t="str">
            <v>High</v>
          </cell>
          <cell r="O513" t="str">
            <v>Not Run</v>
          </cell>
        </row>
        <row r="514">
          <cell r="C514" t="str">
            <v>A&amp;A</v>
          </cell>
          <cell r="F514" t="str">
            <v>Functional</v>
          </cell>
          <cell r="G514" t="str">
            <v>High</v>
          </cell>
          <cell r="O514" t="str">
            <v>Not Run</v>
          </cell>
        </row>
        <row r="515">
          <cell r="C515" t="str">
            <v>A&amp;A</v>
          </cell>
          <cell r="F515" t="str">
            <v>Functional</v>
          </cell>
          <cell r="G515" t="str">
            <v>Medium</v>
          </cell>
          <cell r="O515" t="str">
            <v>Not Run</v>
          </cell>
        </row>
        <row r="516">
          <cell r="C516" t="str">
            <v>A&amp;A</v>
          </cell>
          <cell r="F516" t="str">
            <v>Positive</v>
          </cell>
          <cell r="G516" t="str">
            <v>High</v>
          </cell>
          <cell r="O516" t="str">
            <v>Not Run</v>
          </cell>
        </row>
        <row r="517">
          <cell r="C517" t="str">
            <v>A&amp;A</v>
          </cell>
          <cell r="F517" t="str">
            <v>Negative</v>
          </cell>
          <cell r="G517" t="str">
            <v>High</v>
          </cell>
          <cell r="O517" t="str">
            <v>Not Run</v>
          </cell>
        </row>
        <row r="518">
          <cell r="C518" t="str">
            <v>A&amp;A</v>
          </cell>
          <cell r="F518" t="str">
            <v>Positive</v>
          </cell>
          <cell r="G518" t="str">
            <v>High</v>
          </cell>
          <cell r="O518" t="str">
            <v>Not Run</v>
          </cell>
        </row>
        <row r="519">
          <cell r="C519" t="str">
            <v>A&amp;A</v>
          </cell>
          <cell r="F519" t="str">
            <v>Negative</v>
          </cell>
          <cell r="G519" t="str">
            <v>High</v>
          </cell>
          <cell r="O519" t="str">
            <v>Not Run</v>
          </cell>
        </row>
        <row r="520">
          <cell r="C520" t="str">
            <v>A&amp;A</v>
          </cell>
          <cell r="F520" t="str">
            <v>Security</v>
          </cell>
          <cell r="G520" t="str">
            <v>High</v>
          </cell>
          <cell r="O520" t="str">
            <v>Not Run</v>
          </cell>
        </row>
        <row r="521">
          <cell r="C521" t="str">
            <v>A&amp;A</v>
          </cell>
          <cell r="F521" t="str">
            <v>Security</v>
          </cell>
          <cell r="G521" t="str">
            <v>High</v>
          </cell>
          <cell r="O521" t="str">
            <v>Not Run</v>
          </cell>
        </row>
        <row r="522">
          <cell r="C522" t="str">
            <v>A&amp;A</v>
          </cell>
          <cell r="F522" t="str">
            <v>Functional</v>
          </cell>
          <cell r="G522" t="str">
            <v>Medium</v>
          </cell>
          <cell r="O522" t="str">
            <v>Not Run</v>
          </cell>
        </row>
        <row r="523">
          <cell r="C523" t="str">
            <v>A&amp;A</v>
          </cell>
          <cell r="F523" t="str">
            <v>Positive</v>
          </cell>
          <cell r="G523" t="str">
            <v>High</v>
          </cell>
          <cell r="O523" t="str">
            <v>Not Run</v>
          </cell>
        </row>
        <row r="524">
          <cell r="C524" t="str">
            <v>A&amp;A</v>
          </cell>
          <cell r="F524" t="str">
            <v>Negative</v>
          </cell>
          <cell r="G524" t="str">
            <v>High</v>
          </cell>
          <cell r="O524" t="str">
            <v>Not Run</v>
          </cell>
        </row>
        <row r="525">
          <cell r="C525" t="str">
            <v>A&amp;A</v>
          </cell>
          <cell r="F525" t="str">
            <v>Positive</v>
          </cell>
          <cell r="G525" t="str">
            <v>High</v>
          </cell>
          <cell r="O525" t="str">
            <v>Not Run</v>
          </cell>
        </row>
        <row r="526">
          <cell r="C526" t="str">
            <v>A&amp;A</v>
          </cell>
          <cell r="F526" t="str">
            <v>Negative</v>
          </cell>
          <cell r="G526" t="str">
            <v>High</v>
          </cell>
          <cell r="O526" t="str">
            <v>Not Run</v>
          </cell>
        </row>
        <row r="527">
          <cell r="C527" t="str">
            <v>A&amp;A</v>
          </cell>
          <cell r="F527" t="str">
            <v>Functional</v>
          </cell>
          <cell r="G527" t="str">
            <v>Medium</v>
          </cell>
          <cell r="O527" t="str">
            <v>Not Run</v>
          </cell>
        </row>
        <row r="528">
          <cell r="C528" t="str">
            <v>A&amp;A</v>
          </cell>
          <cell r="F528" t="str">
            <v>Positive</v>
          </cell>
          <cell r="G528" t="str">
            <v>High</v>
          </cell>
          <cell r="O528" t="str">
            <v>Not Run</v>
          </cell>
        </row>
        <row r="529">
          <cell r="C529" t="str">
            <v>A&amp;A</v>
          </cell>
          <cell r="F529" t="str">
            <v>Negative</v>
          </cell>
          <cell r="G529" t="str">
            <v>High</v>
          </cell>
          <cell r="O529" t="str">
            <v>Not Run</v>
          </cell>
        </row>
        <row r="530">
          <cell r="C530" t="str">
            <v>A&amp;A</v>
          </cell>
          <cell r="F530" t="str">
            <v>Positive</v>
          </cell>
          <cell r="G530" t="str">
            <v>High</v>
          </cell>
          <cell r="O530" t="str">
            <v>Not Run</v>
          </cell>
        </row>
        <row r="531">
          <cell r="C531" t="str">
            <v>A&amp;A</v>
          </cell>
          <cell r="F531" t="str">
            <v>Negative</v>
          </cell>
          <cell r="G531" t="str">
            <v>High</v>
          </cell>
          <cell r="O531" t="str">
            <v>Not Run</v>
          </cell>
        </row>
        <row r="532">
          <cell r="C532" t="str">
            <v>A&amp;A</v>
          </cell>
          <cell r="F532" t="str">
            <v>Functional</v>
          </cell>
          <cell r="G532" t="str">
            <v>Medium</v>
          </cell>
          <cell r="O532" t="str">
            <v>Not Run</v>
          </cell>
        </row>
        <row r="533">
          <cell r="C533" t="str">
            <v>A&amp;A</v>
          </cell>
          <cell r="F533" t="str">
            <v>Positive</v>
          </cell>
          <cell r="G533" t="str">
            <v>High</v>
          </cell>
          <cell r="O533" t="str">
            <v>Not Run</v>
          </cell>
        </row>
        <row r="534">
          <cell r="C534" t="str">
            <v>A&amp;A</v>
          </cell>
          <cell r="F534" t="str">
            <v>Negative</v>
          </cell>
          <cell r="G534" t="str">
            <v>High</v>
          </cell>
          <cell r="O534" t="str">
            <v>Not Run</v>
          </cell>
        </row>
        <row r="535">
          <cell r="C535" t="str">
            <v>Local Transfer</v>
          </cell>
          <cell r="F535" t="str">
            <v>Positive</v>
          </cell>
          <cell r="G535" t="str">
            <v>High</v>
          </cell>
          <cell r="O535" t="str">
            <v>Not Run</v>
          </cell>
        </row>
        <row r="536">
          <cell r="C536" t="str">
            <v>Local Transfer</v>
          </cell>
          <cell r="F536" t="str">
            <v>Negative</v>
          </cell>
          <cell r="G536" t="str">
            <v>High</v>
          </cell>
          <cell r="O536" t="str">
            <v>Not Run</v>
          </cell>
        </row>
        <row r="537">
          <cell r="C537" t="str">
            <v>Local Transfer</v>
          </cell>
          <cell r="F537" t="str">
            <v>Security</v>
          </cell>
          <cell r="G537" t="str">
            <v>High</v>
          </cell>
          <cell r="O537" t="str">
            <v>Not Run</v>
          </cell>
        </row>
        <row r="538">
          <cell r="C538" t="str">
            <v>Local Transfer</v>
          </cell>
          <cell r="F538" t="str">
            <v>Negative / Security</v>
          </cell>
          <cell r="G538" t="str">
            <v>High</v>
          </cell>
          <cell r="O538" t="str">
            <v>Not Run</v>
          </cell>
        </row>
        <row r="539">
          <cell r="C539" t="str">
            <v>Local Transfer</v>
          </cell>
          <cell r="F539" t="str">
            <v>Functional</v>
          </cell>
          <cell r="G539" t="str">
            <v>High</v>
          </cell>
          <cell r="O539" t="str">
            <v>Not Run</v>
          </cell>
        </row>
        <row r="540">
          <cell r="C540" t="str">
            <v>Local Transfer</v>
          </cell>
          <cell r="F540" t="str">
            <v>UI / Functional</v>
          </cell>
          <cell r="G540" t="str">
            <v>High</v>
          </cell>
          <cell r="O540" t="str">
            <v>Not Run</v>
          </cell>
        </row>
        <row r="541">
          <cell r="C541" t="str">
            <v>Local Transfer</v>
          </cell>
          <cell r="F541" t="str">
            <v>Functional</v>
          </cell>
          <cell r="G541" t="str">
            <v>High</v>
          </cell>
          <cell r="O541" t="str">
            <v>Not Run</v>
          </cell>
        </row>
        <row r="542">
          <cell r="C542" t="str">
            <v>Local Transfer</v>
          </cell>
          <cell r="F542" t="str">
            <v>Functional</v>
          </cell>
          <cell r="G542" t="str">
            <v>Medium</v>
          </cell>
          <cell r="O542" t="str">
            <v>Not Run</v>
          </cell>
        </row>
        <row r="543">
          <cell r="C543" t="str">
            <v>Local Transfer</v>
          </cell>
          <cell r="F543" t="str">
            <v>UI / Functional</v>
          </cell>
          <cell r="G543" t="str">
            <v>High</v>
          </cell>
          <cell r="O543" t="str">
            <v>Not Run</v>
          </cell>
        </row>
        <row r="544">
          <cell r="C544" t="str">
            <v>Local Transfer</v>
          </cell>
          <cell r="F544" t="str">
            <v>Security</v>
          </cell>
          <cell r="G544" t="str">
            <v>High</v>
          </cell>
          <cell r="O544" t="str">
            <v>Not Run</v>
          </cell>
        </row>
        <row r="545">
          <cell r="C545" t="str">
            <v>Local Transfer</v>
          </cell>
          <cell r="F545" t="str">
            <v>Functional</v>
          </cell>
          <cell r="G545" t="str">
            <v>High</v>
          </cell>
          <cell r="O545" t="str">
            <v>Not Run</v>
          </cell>
        </row>
        <row r="546">
          <cell r="C546" t="str">
            <v>Local Transfer</v>
          </cell>
          <cell r="F546" t="str">
            <v>Functional</v>
          </cell>
          <cell r="G546" t="str">
            <v>Medium</v>
          </cell>
          <cell r="O546" t="str">
            <v>Not Run</v>
          </cell>
        </row>
        <row r="547">
          <cell r="C547" t="str">
            <v>Local Transfer</v>
          </cell>
          <cell r="F547" t="str">
            <v>Functional</v>
          </cell>
          <cell r="G547" t="str">
            <v>High</v>
          </cell>
          <cell r="O547" t="str">
            <v>Not Run</v>
          </cell>
        </row>
        <row r="548">
          <cell r="C548" t="str">
            <v>Local Transfer</v>
          </cell>
          <cell r="F548" t="str">
            <v>Positive</v>
          </cell>
          <cell r="G548" t="str">
            <v>High</v>
          </cell>
          <cell r="O548" t="str">
            <v>Not Run</v>
          </cell>
        </row>
        <row r="549">
          <cell r="C549" t="str">
            <v>Local Transfer</v>
          </cell>
          <cell r="F549" t="str">
            <v>Negative</v>
          </cell>
          <cell r="G549" t="str">
            <v>High</v>
          </cell>
          <cell r="O549" t="str">
            <v>Not Run</v>
          </cell>
        </row>
        <row r="550">
          <cell r="C550" t="str">
            <v>Local Transfer</v>
          </cell>
          <cell r="F550" t="str">
            <v>Positive</v>
          </cell>
          <cell r="G550" t="str">
            <v>High</v>
          </cell>
          <cell r="O550" t="str">
            <v>Not Run</v>
          </cell>
        </row>
        <row r="551">
          <cell r="C551" t="str">
            <v>Local Transfer</v>
          </cell>
          <cell r="F551" t="str">
            <v>Negative</v>
          </cell>
          <cell r="G551" t="str">
            <v>High</v>
          </cell>
          <cell r="O551" t="str">
            <v>Not Run</v>
          </cell>
        </row>
        <row r="552">
          <cell r="C552" t="str">
            <v>Local Transfer</v>
          </cell>
          <cell r="F552" t="str">
            <v>Security</v>
          </cell>
          <cell r="G552" t="str">
            <v>High</v>
          </cell>
          <cell r="O552" t="str">
            <v>Not Run</v>
          </cell>
        </row>
        <row r="553">
          <cell r="C553" t="str">
            <v>Local Transfer</v>
          </cell>
          <cell r="F553" t="str">
            <v>Negative / Security</v>
          </cell>
          <cell r="G553" t="str">
            <v>High</v>
          </cell>
          <cell r="O553" t="str">
            <v>Not Run</v>
          </cell>
        </row>
        <row r="554">
          <cell r="C554" t="str">
            <v>Local Transfer</v>
          </cell>
          <cell r="F554" t="str">
            <v>Functional</v>
          </cell>
          <cell r="G554" t="str">
            <v>High</v>
          </cell>
          <cell r="O554" t="str">
            <v>Not Run</v>
          </cell>
        </row>
        <row r="555">
          <cell r="C555" t="str">
            <v>Local Transfer</v>
          </cell>
          <cell r="F555" t="str">
            <v>UI / Functional</v>
          </cell>
          <cell r="G555" t="str">
            <v>High</v>
          </cell>
          <cell r="O555" t="str">
            <v>Not Run</v>
          </cell>
        </row>
        <row r="556">
          <cell r="C556" t="str">
            <v>Local Transfer</v>
          </cell>
          <cell r="F556" t="str">
            <v>Functional</v>
          </cell>
          <cell r="G556" t="str">
            <v>High</v>
          </cell>
          <cell r="O556" t="str">
            <v>Not Run</v>
          </cell>
        </row>
        <row r="557">
          <cell r="C557" t="str">
            <v>Local Transfer</v>
          </cell>
          <cell r="F557" t="str">
            <v>Functional</v>
          </cell>
          <cell r="G557" t="str">
            <v>High</v>
          </cell>
          <cell r="O557" t="str">
            <v>Not Run</v>
          </cell>
        </row>
        <row r="558">
          <cell r="C558" t="str">
            <v>Local Transfer</v>
          </cell>
          <cell r="F558" t="str">
            <v>Functional</v>
          </cell>
          <cell r="G558" t="str">
            <v>Medium</v>
          </cell>
          <cell r="O558" t="str">
            <v>Not Run</v>
          </cell>
        </row>
        <row r="559">
          <cell r="C559" t="str">
            <v>Local Transfer</v>
          </cell>
          <cell r="F559" t="str">
            <v>UI / Functional</v>
          </cell>
          <cell r="G559" t="str">
            <v>High</v>
          </cell>
          <cell r="O559" t="str">
            <v>Not Run</v>
          </cell>
        </row>
        <row r="560">
          <cell r="C560" t="str">
            <v>Local Transfer</v>
          </cell>
          <cell r="F560" t="str">
            <v>UI / Functional</v>
          </cell>
          <cell r="G560" t="str">
            <v>High</v>
          </cell>
          <cell r="O560" t="str">
            <v>Not Run</v>
          </cell>
        </row>
        <row r="561">
          <cell r="C561" t="str">
            <v>Local Transfer</v>
          </cell>
          <cell r="F561" t="str">
            <v>Functional</v>
          </cell>
          <cell r="G561" t="str">
            <v>High</v>
          </cell>
          <cell r="O561" t="str">
            <v>Not Run</v>
          </cell>
        </row>
        <row r="562">
          <cell r="C562" t="str">
            <v>Local Transfer</v>
          </cell>
          <cell r="F562" t="str">
            <v>Security</v>
          </cell>
          <cell r="G562" t="str">
            <v>High</v>
          </cell>
          <cell r="O562" t="str">
            <v>Not Run</v>
          </cell>
        </row>
        <row r="563">
          <cell r="C563" t="str">
            <v>Local Transfer</v>
          </cell>
          <cell r="F563" t="str">
            <v>Functional</v>
          </cell>
          <cell r="G563" t="str">
            <v>High</v>
          </cell>
          <cell r="O563" t="str">
            <v>Not Run</v>
          </cell>
        </row>
        <row r="564">
          <cell r="C564" t="str">
            <v>Local Transfer</v>
          </cell>
          <cell r="F564" t="str">
            <v>Functional</v>
          </cell>
          <cell r="G564" t="str">
            <v>Medium</v>
          </cell>
          <cell r="O564" t="str">
            <v>Not Run</v>
          </cell>
        </row>
        <row r="565">
          <cell r="C565" t="str">
            <v>Local Transfer</v>
          </cell>
          <cell r="F565" t="str">
            <v>Functional</v>
          </cell>
          <cell r="G565" t="str">
            <v>High</v>
          </cell>
          <cell r="O565" t="str">
            <v>Not Run</v>
          </cell>
        </row>
        <row r="566">
          <cell r="C566" t="str">
            <v>Local Transfer</v>
          </cell>
          <cell r="F566" t="str">
            <v>Positive</v>
          </cell>
          <cell r="G566" t="str">
            <v>High</v>
          </cell>
          <cell r="O566" t="str">
            <v>Not Run</v>
          </cell>
        </row>
        <row r="567">
          <cell r="C567" t="str">
            <v>Local Transfer</v>
          </cell>
          <cell r="F567" t="str">
            <v>Negative</v>
          </cell>
          <cell r="G567" t="str">
            <v>High</v>
          </cell>
          <cell r="O567" t="str">
            <v>Not Run</v>
          </cell>
        </row>
        <row r="568">
          <cell r="C568" t="str">
            <v>Local Transfer</v>
          </cell>
          <cell r="F568" t="str">
            <v>Positive</v>
          </cell>
          <cell r="G568" t="str">
            <v>High</v>
          </cell>
          <cell r="O568" t="str">
            <v>Not Run</v>
          </cell>
        </row>
        <row r="569">
          <cell r="C569" t="str">
            <v>Local Transfer</v>
          </cell>
          <cell r="F569" t="str">
            <v>Negative</v>
          </cell>
          <cell r="G569" t="str">
            <v>High</v>
          </cell>
          <cell r="O569" t="str">
            <v>Not Run</v>
          </cell>
        </row>
        <row r="570">
          <cell r="C570" t="str">
            <v>Local Transfer</v>
          </cell>
          <cell r="F570" t="str">
            <v>Security</v>
          </cell>
          <cell r="G570" t="str">
            <v>High</v>
          </cell>
          <cell r="O570" t="str">
            <v>Not Run</v>
          </cell>
        </row>
        <row r="571">
          <cell r="C571" t="str">
            <v>Local Transfer</v>
          </cell>
          <cell r="F571" t="str">
            <v>Negative / Security</v>
          </cell>
          <cell r="G571" t="str">
            <v>High</v>
          </cell>
          <cell r="O571" t="str">
            <v>Not Run</v>
          </cell>
        </row>
        <row r="572">
          <cell r="C572" t="str">
            <v>Local Transfer</v>
          </cell>
          <cell r="F572" t="str">
            <v>Functional</v>
          </cell>
          <cell r="G572" t="str">
            <v>High</v>
          </cell>
          <cell r="O572" t="str">
            <v>Not Run</v>
          </cell>
        </row>
        <row r="573">
          <cell r="C573" t="str">
            <v>Local Transfer</v>
          </cell>
          <cell r="F573" t="str">
            <v>UI / Functional</v>
          </cell>
          <cell r="G573" t="str">
            <v>High</v>
          </cell>
          <cell r="O573" t="str">
            <v>Not Run</v>
          </cell>
        </row>
        <row r="574">
          <cell r="C574" t="str">
            <v>Local Transfer</v>
          </cell>
          <cell r="F574" t="str">
            <v>Functional</v>
          </cell>
          <cell r="G574" t="str">
            <v>High</v>
          </cell>
          <cell r="O574" t="str">
            <v>Not Run</v>
          </cell>
        </row>
        <row r="575">
          <cell r="C575" t="str">
            <v>Local Transfer</v>
          </cell>
          <cell r="F575" t="str">
            <v>Functional</v>
          </cell>
          <cell r="G575" t="str">
            <v>High</v>
          </cell>
          <cell r="O575" t="str">
            <v>Not Run</v>
          </cell>
        </row>
        <row r="576">
          <cell r="C576" t="str">
            <v>Local Transfer</v>
          </cell>
          <cell r="F576" t="str">
            <v>UI / Functional</v>
          </cell>
          <cell r="G576" t="str">
            <v>High</v>
          </cell>
          <cell r="O576" t="str">
            <v>Not Run</v>
          </cell>
        </row>
        <row r="577">
          <cell r="C577" t="str">
            <v>Local Transfer</v>
          </cell>
          <cell r="F577" t="str">
            <v>Security</v>
          </cell>
          <cell r="G577" t="str">
            <v>High</v>
          </cell>
          <cell r="O577" t="str">
            <v>Not Run</v>
          </cell>
        </row>
        <row r="578">
          <cell r="C578" t="str">
            <v>Local Transfer</v>
          </cell>
          <cell r="F578" t="str">
            <v>Functional</v>
          </cell>
          <cell r="G578" t="str">
            <v>High</v>
          </cell>
          <cell r="O578" t="str">
            <v>Not Run</v>
          </cell>
        </row>
        <row r="579">
          <cell r="C579" t="str">
            <v>Local Transfer</v>
          </cell>
          <cell r="F579" t="str">
            <v>Functional</v>
          </cell>
          <cell r="G579" t="str">
            <v>Medium</v>
          </cell>
          <cell r="O579" t="str">
            <v>Not Run</v>
          </cell>
        </row>
        <row r="580">
          <cell r="C580" t="str">
            <v>Local Transfer</v>
          </cell>
          <cell r="F580" t="str">
            <v>Functional</v>
          </cell>
          <cell r="G580" t="str">
            <v>High</v>
          </cell>
          <cell r="O580" t="str">
            <v>Not Run</v>
          </cell>
        </row>
        <row r="581">
          <cell r="C581" t="str">
            <v>Local Transfer</v>
          </cell>
          <cell r="F581" t="str">
            <v>Positive</v>
          </cell>
          <cell r="G581" t="str">
            <v>High</v>
          </cell>
          <cell r="O581" t="str">
            <v>Not Run</v>
          </cell>
        </row>
        <row r="582">
          <cell r="C582" t="str">
            <v>Local Transfer</v>
          </cell>
          <cell r="F582" t="str">
            <v>Negative</v>
          </cell>
          <cell r="G582" t="str">
            <v>High</v>
          </cell>
          <cell r="O582" t="str">
            <v>Not Run</v>
          </cell>
        </row>
        <row r="583">
          <cell r="C583" t="str">
            <v>Local Transfer</v>
          </cell>
          <cell r="F583" t="str">
            <v>Positive</v>
          </cell>
          <cell r="G583" t="str">
            <v>High</v>
          </cell>
          <cell r="O583" t="str">
            <v>Not Run</v>
          </cell>
        </row>
        <row r="584">
          <cell r="C584" t="str">
            <v>Local Transfer</v>
          </cell>
          <cell r="F584" t="str">
            <v>Negative</v>
          </cell>
          <cell r="G584" t="str">
            <v>High</v>
          </cell>
          <cell r="O584" t="str">
            <v>Not Run</v>
          </cell>
        </row>
        <row r="585">
          <cell r="C585" t="str">
            <v>Local Transfer</v>
          </cell>
          <cell r="F585" t="str">
            <v>Security</v>
          </cell>
          <cell r="G585" t="str">
            <v>High</v>
          </cell>
          <cell r="O585" t="str">
            <v>Not Run</v>
          </cell>
        </row>
        <row r="586">
          <cell r="C586" t="str">
            <v>Local Transfer</v>
          </cell>
          <cell r="F586" t="str">
            <v>Negative / Security</v>
          </cell>
          <cell r="G586" t="str">
            <v>High</v>
          </cell>
          <cell r="O586" t="str">
            <v>Not Run</v>
          </cell>
        </row>
        <row r="587">
          <cell r="C587" t="str">
            <v>Local Transfer</v>
          </cell>
          <cell r="F587" t="str">
            <v>Functional</v>
          </cell>
          <cell r="G587" t="str">
            <v>High</v>
          </cell>
          <cell r="O587" t="str">
            <v>Not Run</v>
          </cell>
        </row>
        <row r="588">
          <cell r="C588" t="str">
            <v>Local Transfer</v>
          </cell>
          <cell r="F588" t="str">
            <v>UI / Functional</v>
          </cell>
          <cell r="G588" t="str">
            <v>High</v>
          </cell>
          <cell r="O588" t="str">
            <v>Not Run</v>
          </cell>
        </row>
        <row r="589">
          <cell r="C589" t="str">
            <v>Local Transfer</v>
          </cell>
          <cell r="F589" t="str">
            <v>Functional</v>
          </cell>
          <cell r="G589" t="str">
            <v>High</v>
          </cell>
          <cell r="O589" t="str">
            <v>Not Run</v>
          </cell>
        </row>
        <row r="590">
          <cell r="C590" t="str">
            <v>Local Transfer</v>
          </cell>
          <cell r="F590" t="str">
            <v>Functional</v>
          </cell>
          <cell r="G590" t="str">
            <v>High</v>
          </cell>
          <cell r="O590" t="str">
            <v>Not Run</v>
          </cell>
        </row>
        <row r="591">
          <cell r="C591" t="str">
            <v>Local Transfer</v>
          </cell>
          <cell r="F591" t="str">
            <v>UI / Functional</v>
          </cell>
          <cell r="G591" t="str">
            <v>High</v>
          </cell>
          <cell r="O591" t="str">
            <v>Not Run</v>
          </cell>
        </row>
        <row r="592">
          <cell r="C592" t="str">
            <v>Local Transfer</v>
          </cell>
          <cell r="F592" t="str">
            <v>Security</v>
          </cell>
          <cell r="G592" t="str">
            <v>High</v>
          </cell>
          <cell r="O592" t="str">
            <v>Not Run</v>
          </cell>
        </row>
        <row r="593">
          <cell r="C593" t="str">
            <v>Local Transfer</v>
          </cell>
          <cell r="F593" t="str">
            <v>Functional</v>
          </cell>
          <cell r="G593" t="str">
            <v>High</v>
          </cell>
          <cell r="O593" t="str">
            <v>Not Run</v>
          </cell>
        </row>
        <row r="594">
          <cell r="C594" t="str">
            <v>Local Transfer</v>
          </cell>
          <cell r="F594" t="str">
            <v>Functional</v>
          </cell>
          <cell r="G594" t="str">
            <v>Medium</v>
          </cell>
          <cell r="O594" t="str">
            <v>Not Run</v>
          </cell>
        </row>
        <row r="595">
          <cell r="C595" t="str">
            <v>Local Transfer</v>
          </cell>
          <cell r="F595" t="str">
            <v>Functional</v>
          </cell>
          <cell r="G595" t="str">
            <v>High</v>
          </cell>
          <cell r="O595" t="str">
            <v>Not Run</v>
          </cell>
        </row>
        <row r="596">
          <cell r="C596" t="str">
            <v>Local Transfer</v>
          </cell>
          <cell r="F596" t="str">
            <v>Positive</v>
          </cell>
          <cell r="G596" t="str">
            <v>High</v>
          </cell>
          <cell r="O596" t="str">
            <v>Not Run</v>
          </cell>
        </row>
        <row r="597">
          <cell r="C597" t="str">
            <v>Local Transfer</v>
          </cell>
          <cell r="F597" t="str">
            <v>Negative</v>
          </cell>
          <cell r="G597" t="str">
            <v>High</v>
          </cell>
          <cell r="O597" t="str">
            <v>Not Run</v>
          </cell>
        </row>
        <row r="598">
          <cell r="C598" t="str">
            <v>Local Transfer</v>
          </cell>
          <cell r="F598" t="str">
            <v>Positive</v>
          </cell>
          <cell r="G598" t="str">
            <v>High</v>
          </cell>
          <cell r="O598" t="str">
            <v>Not Run</v>
          </cell>
        </row>
        <row r="599">
          <cell r="C599" t="str">
            <v>Local Transfer</v>
          </cell>
          <cell r="F599" t="str">
            <v>Negative</v>
          </cell>
          <cell r="G599" t="str">
            <v>High</v>
          </cell>
          <cell r="O599" t="str">
            <v>Not Run</v>
          </cell>
        </row>
        <row r="600">
          <cell r="C600" t="str">
            <v>Local Transfer</v>
          </cell>
          <cell r="F600" t="str">
            <v>Security</v>
          </cell>
          <cell r="G600" t="str">
            <v>High</v>
          </cell>
          <cell r="O600" t="str">
            <v>Not Run</v>
          </cell>
        </row>
        <row r="601">
          <cell r="C601" t="str">
            <v>Local Transfer</v>
          </cell>
          <cell r="F601" t="str">
            <v>Negative / Security</v>
          </cell>
          <cell r="G601" t="str">
            <v>High</v>
          </cell>
          <cell r="O601" t="str">
            <v>Not Run</v>
          </cell>
        </row>
        <row r="602">
          <cell r="C602" t="str">
            <v>Local Transfer</v>
          </cell>
          <cell r="F602" t="str">
            <v>Functional</v>
          </cell>
          <cell r="G602" t="str">
            <v>High</v>
          </cell>
          <cell r="O602" t="str">
            <v>Not Run</v>
          </cell>
        </row>
        <row r="603">
          <cell r="C603" t="str">
            <v>Local Transfer</v>
          </cell>
          <cell r="F603" t="str">
            <v>UI / Functional</v>
          </cell>
          <cell r="G603" t="str">
            <v>High</v>
          </cell>
          <cell r="O603" t="str">
            <v>Not Run</v>
          </cell>
        </row>
        <row r="604">
          <cell r="C604" t="str">
            <v>Local Transfer</v>
          </cell>
          <cell r="F604" t="str">
            <v>Functional</v>
          </cell>
          <cell r="G604" t="str">
            <v>High</v>
          </cell>
          <cell r="O604" t="str">
            <v>Not Run</v>
          </cell>
        </row>
        <row r="605">
          <cell r="C605" t="str">
            <v>Local Transfer</v>
          </cell>
          <cell r="F605" t="str">
            <v>Functional</v>
          </cell>
          <cell r="G605" t="str">
            <v>High</v>
          </cell>
          <cell r="O605" t="str">
            <v>Not Run</v>
          </cell>
        </row>
        <row r="606">
          <cell r="C606" t="str">
            <v>Local Transfer</v>
          </cell>
          <cell r="F606" t="str">
            <v>Functional</v>
          </cell>
          <cell r="G606" t="str">
            <v>Medium</v>
          </cell>
          <cell r="O606" t="str">
            <v>Not Run</v>
          </cell>
        </row>
        <row r="607">
          <cell r="C607" t="str">
            <v>Local Transfer</v>
          </cell>
          <cell r="F607" t="str">
            <v>UI / Functional</v>
          </cell>
          <cell r="G607" t="str">
            <v>High</v>
          </cell>
          <cell r="O607" t="str">
            <v>Not Run</v>
          </cell>
        </row>
        <row r="608">
          <cell r="C608" t="str">
            <v>Local Transfer</v>
          </cell>
          <cell r="F608" t="str">
            <v>UI / Functional</v>
          </cell>
          <cell r="G608" t="str">
            <v>High</v>
          </cell>
          <cell r="O608" t="str">
            <v>Not Run</v>
          </cell>
        </row>
        <row r="609">
          <cell r="C609" t="str">
            <v>Local Transfer</v>
          </cell>
          <cell r="F609" t="str">
            <v>Functional</v>
          </cell>
          <cell r="G609" t="str">
            <v>High</v>
          </cell>
          <cell r="O609" t="str">
            <v>Not Run</v>
          </cell>
        </row>
        <row r="610">
          <cell r="C610" t="str">
            <v>Local Transfer</v>
          </cell>
          <cell r="F610" t="str">
            <v>Security</v>
          </cell>
          <cell r="G610" t="str">
            <v>High</v>
          </cell>
          <cell r="O610" t="str">
            <v>Not Run</v>
          </cell>
        </row>
        <row r="611">
          <cell r="C611" t="str">
            <v>Local Transfer</v>
          </cell>
          <cell r="F611" t="str">
            <v>Functional</v>
          </cell>
          <cell r="G611" t="str">
            <v>High</v>
          </cell>
          <cell r="O611" t="str">
            <v>Not Run</v>
          </cell>
        </row>
        <row r="612">
          <cell r="C612" t="str">
            <v>Local Transfer</v>
          </cell>
          <cell r="F612" t="str">
            <v>Functional</v>
          </cell>
          <cell r="G612" t="str">
            <v>Medium</v>
          </cell>
          <cell r="O612" t="str">
            <v>Not Run</v>
          </cell>
        </row>
        <row r="613">
          <cell r="C613" t="str">
            <v>Local Transfer</v>
          </cell>
          <cell r="F613" t="str">
            <v>Functional</v>
          </cell>
          <cell r="G613" t="str">
            <v>High</v>
          </cell>
          <cell r="O613" t="str">
            <v>Not Run</v>
          </cell>
        </row>
        <row r="614">
          <cell r="C614" t="str">
            <v>Local Transfer</v>
          </cell>
          <cell r="F614" t="str">
            <v>Positive</v>
          </cell>
          <cell r="G614" t="str">
            <v>High</v>
          </cell>
          <cell r="O614" t="str">
            <v>Not Run</v>
          </cell>
        </row>
        <row r="615">
          <cell r="C615" t="str">
            <v>Local Transfer</v>
          </cell>
          <cell r="F615" t="str">
            <v>Negative</v>
          </cell>
          <cell r="G615" t="str">
            <v>High</v>
          </cell>
          <cell r="O615" t="str">
            <v>Not Run</v>
          </cell>
        </row>
        <row r="616">
          <cell r="C616" t="str">
            <v>Local Transfer</v>
          </cell>
          <cell r="F616" t="str">
            <v>Positive</v>
          </cell>
          <cell r="G616" t="str">
            <v>High</v>
          </cell>
          <cell r="O616" t="str">
            <v>Not Run</v>
          </cell>
        </row>
        <row r="617">
          <cell r="C617" t="str">
            <v>Local Transfer</v>
          </cell>
          <cell r="F617" t="str">
            <v>Negative</v>
          </cell>
          <cell r="G617" t="str">
            <v>High</v>
          </cell>
          <cell r="O617" t="str">
            <v>Not Run</v>
          </cell>
        </row>
        <row r="618">
          <cell r="C618" t="str">
            <v>Local Transfer</v>
          </cell>
          <cell r="F618" t="str">
            <v>Security</v>
          </cell>
          <cell r="G618" t="str">
            <v>High</v>
          </cell>
          <cell r="O618" t="str">
            <v>Not Run</v>
          </cell>
        </row>
        <row r="619">
          <cell r="C619" t="str">
            <v>Local Transfer</v>
          </cell>
          <cell r="F619" t="str">
            <v>Negative / Security</v>
          </cell>
          <cell r="G619" t="str">
            <v>High</v>
          </cell>
          <cell r="O619" t="str">
            <v>Not Run</v>
          </cell>
        </row>
        <row r="620">
          <cell r="C620" t="str">
            <v>Local Transfer</v>
          </cell>
          <cell r="F620" t="str">
            <v>Functional</v>
          </cell>
          <cell r="G620" t="str">
            <v>High</v>
          </cell>
          <cell r="O620" t="str">
            <v>Not Run</v>
          </cell>
        </row>
        <row r="621">
          <cell r="C621" t="str">
            <v>Local Transfer</v>
          </cell>
          <cell r="F621" t="str">
            <v>UI / Functional</v>
          </cell>
          <cell r="G621" t="str">
            <v>High</v>
          </cell>
          <cell r="O621" t="str">
            <v>Not Run</v>
          </cell>
        </row>
        <row r="622">
          <cell r="C622" t="str">
            <v>Local Transfer</v>
          </cell>
          <cell r="F622" t="str">
            <v>Functional</v>
          </cell>
          <cell r="G622" t="str">
            <v>High</v>
          </cell>
          <cell r="O622" t="str">
            <v>Not Run</v>
          </cell>
        </row>
        <row r="623">
          <cell r="C623" t="str">
            <v>Local Transfer</v>
          </cell>
          <cell r="F623" t="str">
            <v>Functional</v>
          </cell>
          <cell r="G623" t="str">
            <v>High</v>
          </cell>
          <cell r="O623" t="str">
            <v>Not Run</v>
          </cell>
        </row>
        <row r="624">
          <cell r="C624" t="str">
            <v>Local Transfer</v>
          </cell>
          <cell r="F624" t="str">
            <v>Functional</v>
          </cell>
          <cell r="G624" t="str">
            <v>Medium</v>
          </cell>
          <cell r="O624" t="str">
            <v>Not Run</v>
          </cell>
        </row>
        <row r="625">
          <cell r="C625" t="str">
            <v>Local Transfer</v>
          </cell>
          <cell r="F625" t="str">
            <v>UI / Functional</v>
          </cell>
          <cell r="G625" t="str">
            <v>High</v>
          </cell>
          <cell r="O625" t="str">
            <v>Not Run</v>
          </cell>
        </row>
        <row r="626">
          <cell r="C626" t="str">
            <v>Local Transfer</v>
          </cell>
          <cell r="F626" t="str">
            <v>UI / Functional</v>
          </cell>
          <cell r="G626" t="str">
            <v>High</v>
          </cell>
          <cell r="O626" t="str">
            <v>Not Run</v>
          </cell>
        </row>
        <row r="627">
          <cell r="C627" t="str">
            <v>Local Transfer</v>
          </cell>
          <cell r="F627" t="str">
            <v>Functional</v>
          </cell>
          <cell r="G627" t="str">
            <v>High</v>
          </cell>
          <cell r="O627" t="str">
            <v>Not Run</v>
          </cell>
        </row>
        <row r="628">
          <cell r="C628" t="str">
            <v>Local Transfer</v>
          </cell>
          <cell r="F628" t="str">
            <v>Security</v>
          </cell>
          <cell r="G628" t="str">
            <v>High</v>
          </cell>
          <cell r="O628" t="str">
            <v>Not Run</v>
          </cell>
        </row>
        <row r="629">
          <cell r="C629" t="str">
            <v>Local Transfer</v>
          </cell>
          <cell r="F629" t="str">
            <v>Functional</v>
          </cell>
          <cell r="G629" t="str">
            <v>High</v>
          </cell>
          <cell r="O629" t="str">
            <v>Not Run</v>
          </cell>
        </row>
        <row r="630">
          <cell r="C630" t="str">
            <v>Local Transfer</v>
          </cell>
          <cell r="F630" t="str">
            <v>Functional</v>
          </cell>
          <cell r="G630" t="str">
            <v>Medium</v>
          </cell>
          <cell r="O630" t="str">
            <v>Not Run</v>
          </cell>
        </row>
        <row r="631">
          <cell r="C631" t="str">
            <v>Local Transfer</v>
          </cell>
          <cell r="F631" t="str">
            <v>Functional</v>
          </cell>
          <cell r="G631" t="str">
            <v>High</v>
          </cell>
          <cell r="O631" t="str">
            <v>Not Run</v>
          </cell>
        </row>
        <row r="632">
          <cell r="C632" t="str">
            <v>Local Transfer</v>
          </cell>
          <cell r="F632" t="str">
            <v>Positive</v>
          </cell>
          <cell r="G632" t="str">
            <v>High</v>
          </cell>
          <cell r="O632" t="str">
            <v>Not Run</v>
          </cell>
        </row>
        <row r="633">
          <cell r="C633" t="str">
            <v>Local Transfer</v>
          </cell>
          <cell r="F633" t="str">
            <v>Negative</v>
          </cell>
          <cell r="G633" t="str">
            <v>High</v>
          </cell>
          <cell r="O633" t="str">
            <v>Not Run</v>
          </cell>
        </row>
        <row r="634">
          <cell r="C634" t="str">
            <v>Local Transfer</v>
          </cell>
          <cell r="F634" t="str">
            <v>Positive</v>
          </cell>
          <cell r="G634" t="str">
            <v>Medium</v>
          </cell>
          <cell r="O634" t="str">
            <v>Not Run</v>
          </cell>
        </row>
        <row r="635">
          <cell r="C635" t="str">
            <v>Local Transfer</v>
          </cell>
          <cell r="F635" t="str">
            <v>Negative</v>
          </cell>
          <cell r="G635" t="str">
            <v>High</v>
          </cell>
          <cell r="O635" t="str">
            <v>Not Run</v>
          </cell>
        </row>
        <row r="636">
          <cell r="C636" t="str">
            <v>Local Transfer</v>
          </cell>
          <cell r="F636" t="str">
            <v>Security</v>
          </cell>
          <cell r="G636" t="str">
            <v>High</v>
          </cell>
          <cell r="O636" t="str">
            <v>Not Run</v>
          </cell>
        </row>
        <row r="637">
          <cell r="C637" t="str">
            <v>Local Transfer</v>
          </cell>
          <cell r="F637" t="str">
            <v>Negative / Security</v>
          </cell>
          <cell r="G637" t="str">
            <v>High</v>
          </cell>
          <cell r="O637" t="str">
            <v>Not Run</v>
          </cell>
        </row>
        <row r="638">
          <cell r="C638" t="str">
            <v>Local Transfer</v>
          </cell>
          <cell r="F638" t="str">
            <v>UI / Functional</v>
          </cell>
          <cell r="G638" t="str">
            <v>High</v>
          </cell>
          <cell r="O638" t="str">
            <v>Not Run</v>
          </cell>
        </row>
        <row r="639">
          <cell r="C639" t="str">
            <v>Local Transfer</v>
          </cell>
          <cell r="F639" t="str">
            <v>UI / Functional</v>
          </cell>
          <cell r="G639" t="str">
            <v>Medium</v>
          </cell>
          <cell r="O639" t="str">
            <v>Not Run</v>
          </cell>
        </row>
        <row r="640">
          <cell r="C640" t="str">
            <v>Local Transfer</v>
          </cell>
          <cell r="F640" t="str">
            <v>Functional</v>
          </cell>
          <cell r="G640" t="str">
            <v>Medium</v>
          </cell>
          <cell r="O640" t="str">
            <v>Not Run</v>
          </cell>
        </row>
        <row r="641">
          <cell r="C641" t="str">
            <v>Local Transfer</v>
          </cell>
          <cell r="F641" t="str">
            <v>Functional</v>
          </cell>
          <cell r="G641" t="str">
            <v>Medium</v>
          </cell>
          <cell r="O641" t="str">
            <v>Not Run</v>
          </cell>
        </row>
        <row r="642">
          <cell r="C642" t="str">
            <v>Local Transfer</v>
          </cell>
          <cell r="F642" t="str">
            <v>Functional</v>
          </cell>
          <cell r="G642" t="str">
            <v>Medium</v>
          </cell>
          <cell r="O642" t="str">
            <v>Not Run</v>
          </cell>
        </row>
        <row r="643">
          <cell r="C643" t="str">
            <v>Local Transfer</v>
          </cell>
          <cell r="F643" t="str">
            <v>Functional</v>
          </cell>
          <cell r="G643" t="str">
            <v>Medium</v>
          </cell>
          <cell r="O643" t="str">
            <v>Not Run</v>
          </cell>
        </row>
        <row r="644">
          <cell r="C644" t="str">
            <v>Local Transfer</v>
          </cell>
          <cell r="F644" t="str">
            <v>Functional</v>
          </cell>
          <cell r="G644" t="str">
            <v>Medium</v>
          </cell>
          <cell r="O644" t="str">
            <v>Not Run</v>
          </cell>
        </row>
        <row r="645">
          <cell r="C645" t="str">
            <v>Local Transfer</v>
          </cell>
          <cell r="F645" t="str">
            <v>Positive</v>
          </cell>
          <cell r="G645" t="str">
            <v>High</v>
          </cell>
          <cell r="O645" t="str">
            <v>Not Run</v>
          </cell>
        </row>
        <row r="646">
          <cell r="C646" t="str">
            <v>Local Transfer</v>
          </cell>
          <cell r="F646" t="str">
            <v>Negative</v>
          </cell>
          <cell r="G646" t="str">
            <v>High</v>
          </cell>
          <cell r="O646" t="str">
            <v>Not Run</v>
          </cell>
        </row>
        <row r="647">
          <cell r="C647" t="str">
            <v>Local Transfer</v>
          </cell>
          <cell r="F647" t="str">
            <v>Positive</v>
          </cell>
          <cell r="G647" t="str">
            <v>Medium</v>
          </cell>
          <cell r="O647" t="str">
            <v>Not Run</v>
          </cell>
        </row>
        <row r="648">
          <cell r="C648" t="str">
            <v>Local Transfer</v>
          </cell>
          <cell r="F648" t="str">
            <v>Negative</v>
          </cell>
          <cell r="G648" t="str">
            <v>High</v>
          </cell>
          <cell r="O648" t="str">
            <v>Not Run</v>
          </cell>
        </row>
        <row r="649">
          <cell r="C649" t="str">
            <v>Local Transfer</v>
          </cell>
          <cell r="F649" t="str">
            <v>Security</v>
          </cell>
          <cell r="G649" t="str">
            <v>High</v>
          </cell>
          <cell r="O649" t="str">
            <v>Not Run</v>
          </cell>
        </row>
        <row r="650">
          <cell r="C650" t="str">
            <v>Local Transfer</v>
          </cell>
          <cell r="F650" t="str">
            <v>Negative / Security</v>
          </cell>
          <cell r="G650" t="str">
            <v>High</v>
          </cell>
          <cell r="O650" t="str">
            <v>Not Run</v>
          </cell>
        </row>
        <row r="651">
          <cell r="C651" t="str">
            <v>Local Transfer</v>
          </cell>
          <cell r="F651" t="str">
            <v>UI / Functional</v>
          </cell>
          <cell r="G651" t="str">
            <v>High</v>
          </cell>
          <cell r="O651" t="str">
            <v>Not Run</v>
          </cell>
        </row>
        <row r="652">
          <cell r="C652" t="str">
            <v>Local Transfer</v>
          </cell>
          <cell r="F652" t="str">
            <v>UI / Functional</v>
          </cell>
          <cell r="G652" t="str">
            <v>Medium</v>
          </cell>
          <cell r="O652" t="str">
            <v>Not Run</v>
          </cell>
        </row>
        <row r="653">
          <cell r="C653" t="str">
            <v>Local Transfer</v>
          </cell>
          <cell r="F653" t="str">
            <v>Functional</v>
          </cell>
          <cell r="G653" t="str">
            <v>Medium</v>
          </cell>
          <cell r="O653" t="str">
            <v>Not Run</v>
          </cell>
        </row>
        <row r="654">
          <cell r="C654" t="str">
            <v>Local Transfer</v>
          </cell>
          <cell r="F654" t="str">
            <v>Functional</v>
          </cell>
          <cell r="G654" t="str">
            <v>Medium</v>
          </cell>
          <cell r="O654" t="str">
            <v>Not Run</v>
          </cell>
        </row>
        <row r="655">
          <cell r="C655" t="str">
            <v>Local Transfer</v>
          </cell>
          <cell r="F655" t="str">
            <v>Functional</v>
          </cell>
          <cell r="G655" t="str">
            <v>High</v>
          </cell>
          <cell r="O655" t="str">
            <v>Not Run</v>
          </cell>
        </row>
        <row r="656">
          <cell r="C656" t="str">
            <v>Local Transfer</v>
          </cell>
          <cell r="F656" t="str">
            <v>Functional</v>
          </cell>
          <cell r="G656" t="str">
            <v>Medium</v>
          </cell>
          <cell r="O656" t="str">
            <v>Not Run</v>
          </cell>
        </row>
        <row r="657">
          <cell r="C657" t="str">
            <v>Local Transfer</v>
          </cell>
          <cell r="F657" t="str">
            <v>Functional</v>
          </cell>
          <cell r="G657" t="str">
            <v>Medium</v>
          </cell>
          <cell r="O657" t="str">
            <v>Not Run</v>
          </cell>
        </row>
        <row r="658">
          <cell r="C658" t="str">
            <v>Local Transfer</v>
          </cell>
          <cell r="F658" t="str">
            <v>Positive</v>
          </cell>
          <cell r="G658" t="str">
            <v>High</v>
          </cell>
          <cell r="O658" t="str">
            <v>Not Run</v>
          </cell>
        </row>
        <row r="659">
          <cell r="C659" t="str">
            <v>Local Transfer</v>
          </cell>
          <cell r="F659" t="str">
            <v>Negative</v>
          </cell>
          <cell r="G659" t="str">
            <v>High</v>
          </cell>
          <cell r="O659" t="str">
            <v>Not Run</v>
          </cell>
        </row>
        <row r="660">
          <cell r="C660" t="str">
            <v>Local Transfer</v>
          </cell>
          <cell r="F660" t="str">
            <v>Positive</v>
          </cell>
          <cell r="G660" t="str">
            <v>High</v>
          </cell>
          <cell r="O660" t="str">
            <v>Not Run</v>
          </cell>
        </row>
        <row r="661">
          <cell r="C661" t="str">
            <v>Local Transfer</v>
          </cell>
          <cell r="F661" t="str">
            <v>Negative</v>
          </cell>
          <cell r="G661" t="str">
            <v>High</v>
          </cell>
          <cell r="O661" t="str">
            <v>Not Run</v>
          </cell>
        </row>
        <row r="662">
          <cell r="C662" t="str">
            <v>Local Transfer</v>
          </cell>
          <cell r="F662" t="str">
            <v>Security</v>
          </cell>
          <cell r="G662" t="str">
            <v>High</v>
          </cell>
          <cell r="O662" t="str">
            <v>Not Run</v>
          </cell>
        </row>
        <row r="663">
          <cell r="C663" t="str">
            <v>Local Transfer</v>
          </cell>
          <cell r="F663" t="str">
            <v>Negative / Security</v>
          </cell>
          <cell r="G663" t="str">
            <v>High</v>
          </cell>
          <cell r="O663" t="str">
            <v>Not Run</v>
          </cell>
        </row>
        <row r="664">
          <cell r="C664" t="str">
            <v>Local Transfer</v>
          </cell>
          <cell r="F664" t="str">
            <v>UI / Functional</v>
          </cell>
          <cell r="G664" t="str">
            <v>High</v>
          </cell>
          <cell r="O664" t="str">
            <v>Not Run</v>
          </cell>
        </row>
        <row r="665">
          <cell r="C665" t="str">
            <v>Local Transfer</v>
          </cell>
          <cell r="F665" t="str">
            <v>UI / Functional</v>
          </cell>
          <cell r="G665" t="str">
            <v>High</v>
          </cell>
          <cell r="O665" t="str">
            <v>Not Run</v>
          </cell>
        </row>
        <row r="666">
          <cell r="C666" t="str">
            <v>Local Transfer</v>
          </cell>
          <cell r="F666" t="str">
            <v>Functional</v>
          </cell>
          <cell r="G666" t="str">
            <v>High</v>
          </cell>
          <cell r="O666" t="str">
            <v>Not Run</v>
          </cell>
        </row>
        <row r="667">
          <cell r="C667" t="str">
            <v>Local Transfer</v>
          </cell>
          <cell r="F667" t="str">
            <v>UI / Functional</v>
          </cell>
          <cell r="G667" t="str">
            <v>High</v>
          </cell>
          <cell r="O667" t="str">
            <v>Not Run</v>
          </cell>
        </row>
        <row r="668">
          <cell r="C668" t="str">
            <v>Local Transfer</v>
          </cell>
          <cell r="F668" t="str">
            <v>Positive</v>
          </cell>
          <cell r="G668" t="str">
            <v>High</v>
          </cell>
          <cell r="O668" t="str">
            <v>Not Run</v>
          </cell>
        </row>
        <row r="669">
          <cell r="C669" t="str">
            <v>Local Transfer</v>
          </cell>
          <cell r="F669" t="str">
            <v>Negative</v>
          </cell>
          <cell r="G669" t="str">
            <v>High</v>
          </cell>
          <cell r="O669" t="str">
            <v>Not Run</v>
          </cell>
        </row>
        <row r="670">
          <cell r="C670" t="str">
            <v>Local Transfer</v>
          </cell>
          <cell r="F670" t="str">
            <v>Positive</v>
          </cell>
          <cell r="G670" t="str">
            <v>High</v>
          </cell>
          <cell r="O670" t="str">
            <v>Not Run</v>
          </cell>
        </row>
        <row r="671">
          <cell r="C671" t="str">
            <v>Local Transfer</v>
          </cell>
          <cell r="F671" t="str">
            <v>Negative</v>
          </cell>
          <cell r="G671" t="str">
            <v>High</v>
          </cell>
          <cell r="O671" t="str">
            <v>Not Run</v>
          </cell>
        </row>
        <row r="672">
          <cell r="C672" t="str">
            <v>Local Transfer</v>
          </cell>
          <cell r="F672" t="str">
            <v>Security</v>
          </cell>
          <cell r="G672" t="str">
            <v>High</v>
          </cell>
          <cell r="O672" t="str">
            <v>Not Run</v>
          </cell>
        </row>
        <row r="673">
          <cell r="C673" t="str">
            <v>Local Transfer</v>
          </cell>
          <cell r="F673" t="str">
            <v>Negative / Security</v>
          </cell>
          <cell r="G673" t="str">
            <v>High</v>
          </cell>
          <cell r="O673" t="str">
            <v>Not Run</v>
          </cell>
        </row>
        <row r="674">
          <cell r="C674" t="str">
            <v>Local Transfer</v>
          </cell>
          <cell r="F674" t="str">
            <v>UI / Functional</v>
          </cell>
          <cell r="G674" t="str">
            <v>High</v>
          </cell>
          <cell r="O674" t="str">
            <v>Not Run</v>
          </cell>
        </row>
        <row r="675">
          <cell r="C675" t="str">
            <v>Local Transfer</v>
          </cell>
          <cell r="F675" t="str">
            <v>UI / Functional</v>
          </cell>
          <cell r="G675" t="str">
            <v>High</v>
          </cell>
          <cell r="O675" t="str">
            <v>Not Run</v>
          </cell>
        </row>
        <row r="676">
          <cell r="C676" t="str">
            <v>Local Transfer</v>
          </cell>
          <cell r="F676" t="str">
            <v>Functional</v>
          </cell>
          <cell r="G676" t="str">
            <v>High</v>
          </cell>
          <cell r="O676" t="str">
            <v>Not Run</v>
          </cell>
        </row>
        <row r="677">
          <cell r="C677" t="str">
            <v>Local Transfer</v>
          </cell>
          <cell r="F677" t="str">
            <v>UI / Functional</v>
          </cell>
          <cell r="G677" t="str">
            <v>High</v>
          </cell>
          <cell r="O677" t="str">
            <v>Not Run</v>
          </cell>
        </row>
        <row r="678">
          <cell r="C678" t="str">
            <v>Local Transfer</v>
          </cell>
          <cell r="F678" t="str">
            <v>Positive</v>
          </cell>
          <cell r="G678" t="str">
            <v>High</v>
          </cell>
          <cell r="O678" t="str">
            <v>Not Run</v>
          </cell>
        </row>
        <row r="679">
          <cell r="C679" t="str">
            <v>Local Transfer</v>
          </cell>
          <cell r="F679" t="str">
            <v>Negative</v>
          </cell>
          <cell r="G679" t="str">
            <v>High</v>
          </cell>
          <cell r="O679" t="str">
            <v>Not Run</v>
          </cell>
        </row>
        <row r="680">
          <cell r="C680" t="str">
            <v>Scan &amp; pay</v>
          </cell>
          <cell r="F680" t="str">
            <v>Positive</v>
          </cell>
          <cell r="G680" t="str">
            <v>High</v>
          </cell>
          <cell r="O680" t="str">
            <v>Not Run</v>
          </cell>
        </row>
        <row r="681">
          <cell r="C681" t="str">
            <v>Scan &amp; pay</v>
          </cell>
          <cell r="F681" t="str">
            <v>Negative</v>
          </cell>
          <cell r="G681" t="str">
            <v>High</v>
          </cell>
          <cell r="O681" t="str">
            <v>Not Run</v>
          </cell>
        </row>
        <row r="682">
          <cell r="C682" t="str">
            <v>Scan &amp; pay</v>
          </cell>
          <cell r="F682" t="str">
            <v>Security</v>
          </cell>
          <cell r="G682" t="str">
            <v>High</v>
          </cell>
          <cell r="O682" t="str">
            <v>Not Run</v>
          </cell>
        </row>
        <row r="683">
          <cell r="C683" t="str">
            <v>Scan &amp; pay</v>
          </cell>
          <cell r="F683" t="str">
            <v>Negative / Security</v>
          </cell>
          <cell r="G683" t="str">
            <v>High</v>
          </cell>
          <cell r="O683" t="str">
            <v>Not Run</v>
          </cell>
        </row>
        <row r="684">
          <cell r="C684" t="str">
            <v>Scan &amp; pay</v>
          </cell>
          <cell r="F684" t="str">
            <v>Functional</v>
          </cell>
          <cell r="G684" t="str">
            <v>Medium</v>
          </cell>
          <cell r="O684" t="str">
            <v>Not Run</v>
          </cell>
        </row>
        <row r="685">
          <cell r="C685" t="str">
            <v>Scan &amp; pay</v>
          </cell>
          <cell r="F685" t="str">
            <v>UI / Functional</v>
          </cell>
          <cell r="G685" t="str">
            <v>Medium</v>
          </cell>
          <cell r="O685" t="str">
            <v>Not Run</v>
          </cell>
        </row>
        <row r="686">
          <cell r="C686" t="str">
            <v>Scan &amp; pay</v>
          </cell>
          <cell r="F686" t="str">
            <v>Functional</v>
          </cell>
          <cell r="G686" t="str">
            <v>Medium</v>
          </cell>
          <cell r="O686" t="str">
            <v>Not Run</v>
          </cell>
        </row>
        <row r="687">
          <cell r="C687" t="str">
            <v>Scan &amp; pay</v>
          </cell>
          <cell r="F687" t="str">
            <v>Functional</v>
          </cell>
          <cell r="G687" t="str">
            <v>High</v>
          </cell>
          <cell r="O687" t="str">
            <v>Not Run</v>
          </cell>
        </row>
        <row r="688">
          <cell r="C688" t="str">
            <v>Scan &amp; pay</v>
          </cell>
          <cell r="F688" t="str">
            <v>Functional</v>
          </cell>
          <cell r="G688" t="str">
            <v>Medium</v>
          </cell>
          <cell r="O688" t="str">
            <v>Not Run</v>
          </cell>
        </row>
        <row r="689">
          <cell r="C689" t="str">
            <v>Scan &amp; pay</v>
          </cell>
          <cell r="F689" t="str">
            <v>Functional</v>
          </cell>
          <cell r="G689" t="str">
            <v>High</v>
          </cell>
          <cell r="O689" t="str">
            <v>Not Run</v>
          </cell>
        </row>
        <row r="690">
          <cell r="C690" t="str">
            <v>Scan &amp; pay</v>
          </cell>
          <cell r="F690" t="str">
            <v>Functional</v>
          </cell>
          <cell r="G690" t="str">
            <v>High</v>
          </cell>
          <cell r="O690" t="str">
            <v>Not Run</v>
          </cell>
        </row>
        <row r="691">
          <cell r="C691" t="str">
            <v>Scan &amp; pay</v>
          </cell>
          <cell r="F691" t="str">
            <v>Positive</v>
          </cell>
          <cell r="G691" t="str">
            <v>High</v>
          </cell>
          <cell r="O691" t="str">
            <v>Not Run</v>
          </cell>
        </row>
        <row r="692">
          <cell r="C692" t="str">
            <v>Scan &amp; pay</v>
          </cell>
          <cell r="F692" t="str">
            <v>Negative</v>
          </cell>
          <cell r="G692" t="str">
            <v>High</v>
          </cell>
          <cell r="O692" t="str">
            <v>Not Run</v>
          </cell>
        </row>
        <row r="693">
          <cell r="C693" t="str">
            <v>Scan &amp; pay</v>
          </cell>
          <cell r="F693" t="str">
            <v>Positive</v>
          </cell>
          <cell r="G693" t="str">
            <v>High</v>
          </cell>
          <cell r="O693" t="str">
            <v>Not Run</v>
          </cell>
        </row>
        <row r="694">
          <cell r="C694" t="str">
            <v>Scan &amp; pay</v>
          </cell>
          <cell r="F694" t="str">
            <v>Negative</v>
          </cell>
          <cell r="G694" t="str">
            <v>High</v>
          </cell>
          <cell r="O694" t="str">
            <v>Not Run</v>
          </cell>
        </row>
        <row r="695">
          <cell r="C695" t="str">
            <v>Scan &amp; pay</v>
          </cell>
          <cell r="F695" t="str">
            <v>Security</v>
          </cell>
          <cell r="G695" t="str">
            <v>High</v>
          </cell>
          <cell r="O695" t="str">
            <v>Not Run</v>
          </cell>
        </row>
        <row r="696">
          <cell r="C696" t="str">
            <v>Scan &amp; pay</v>
          </cell>
          <cell r="F696" t="str">
            <v>Negative / Security</v>
          </cell>
          <cell r="G696" t="str">
            <v>High</v>
          </cell>
          <cell r="O696" t="str">
            <v>Not Run</v>
          </cell>
        </row>
        <row r="697">
          <cell r="C697" t="str">
            <v>Scan &amp; pay</v>
          </cell>
          <cell r="F697" t="str">
            <v>Functional</v>
          </cell>
          <cell r="G697" t="str">
            <v>Medium</v>
          </cell>
          <cell r="O697" t="str">
            <v>Not Run</v>
          </cell>
        </row>
        <row r="698">
          <cell r="C698" t="str">
            <v>Scan &amp; pay</v>
          </cell>
          <cell r="F698" t="str">
            <v>UI / Functional</v>
          </cell>
          <cell r="G698" t="str">
            <v>Medium</v>
          </cell>
          <cell r="O698" t="str">
            <v>Not Run</v>
          </cell>
        </row>
        <row r="699">
          <cell r="C699" t="str">
            <v>Scan &amp; pay</v>
          </cell>
          <cell r="F699" t="str">
            <v>Functional</v>
          </cell>
          <cell r="G699" t="str">
            <v>Medium</v>
          </cell>
          <cell r="O699" t="str">
            <v>Not Run</v>
          </cell>
        </row>
        <row r="700">
          <cell r="C700" t="str">
            <v>Scan &amp; pay</v>
          </cell>
          <cell r="F700" t="str">
            <v>Functional</v>
          </cell>
          <cell r="G700" t="str">
            <v>High</v>
          </cell>
          <cell r="O700" t="str">
            <v>Not Run</v>
          </cell>
        </row>
        <row r="701">
          <cell r="C701" t="str">
            <v>Scan &amp; pay</v>
          </cell>
          <cell r="F701" t="str">
            <v>Functional</v>
          </cell>
          <cell r="G701" t="str">
            <v>Medium</v>
          </cell>
          <cell r="O701" t="str">
            <v>Not Run</v>
          </cell>
        </row>
        <row r="702">
          <cell r="C702" t="str">
            <v>Scan &amp; pay</v>
          </cell>
          <cell r="F702" t="str">
            <v>Functional</v>
          </cell>
          <cell r="G702" t="str">
            <v>High</v>
          </cell>
          <cell r="O702" t="str">
            <v>Not Run</v>
          </cell>
        </row>
        <row r="703">
          <cell r="C703" t="str">
            <v>Scan &amp; pay</v>
          </cell>
          <cell r="F703" t="str">
            <v>Functional</v>
          </cell>
          <cell r="G703" t="str">
            <v>High</v>
          </cell>
          <cell r="O703" t="str">
            <v>Not Run</v>
          </cell>
        </row>
        <row r="704">
          <cell r="C704" t="str">
            <v>Scan &amp; pay</v>
          </cell>
          <cell r="F704" t="str">
            <v>Positive</v>
          </cell>
          <cell r="G704" t="str">
            <v>High</v>
          </cell>
          <cell r="O704" t="str">
            <v>Not Run</v>
          </cell>
        </row>
        <row r="705">
          <cell r="C705" t="str">
            <v>Scan &amp; pay</v>
          </cell>
          <cell r="F705" t="str">
            <v>Negative</v>
          </cell>
          <cell r="G705" t="str">
            <v>High</v>
          </cell>
          <cell r="O705" t="str">
            <v>Not Run</v>
          </cell>
        </row>
        <row r="706">
          <cell r="C706" t="str">
            <v>Scan &amp; pay</v>
          </cell>
          <cell r="F706" t="str">
            <v>Positive</v>
          </cell>
          <cell r="G706" t="str">
            <v>High</v>
          </cell>
          <cell r="O706" t="str">
            <v>Not Run</v>
          </cell>
        </row>
        <row r="707">
          <cell r="C707" t="str">
            <v>Scan &amp; pay</v>
          </cell>
          <cell r="F707" t="str">
            <v>Negative</v>
          </cell>
          <cell r="G707" t="str">
            <v>High</v>
          </cell>
          <cell r="O707" t="str">
            <v>Not Run</v>
          </cell>
        </row>
        <row r="708">
          <cell r="C708" t="str">
            <v>Scan &amp; pay</v>
          </cell>
          <cell r="F708" t="str">
            <v>Security</v>
          </cell>
          <cell r="G708" t="str">
            <v>High</v>
          </cell>
          <cell r="O708" t="str">
            <v>Not Run</v>
          </cell>
        </row>
        <row r="709">
          <cell r="C709" t="str">
            <v>Scan &amp; pay</v>
          </cell>
          <cell r="F709" t="str">
            <v>Negative / Security</v>
          </cell>
          <cell r="G709" t="str">
            <v>High</v>
          </cell>
          <cell r="O709" t="str">
            <v>Not Run</v>
          </cell>
        </row>
        <row r="710">
          <cell r="C710" t="str">
            <v>Scan &amp; pay</v>
          </cell>
          <cell r="F710" t="str">
            <v>Functional</v>
          </cell>
          <cell r="G710" t="str">
            <v>Medium</v>
          </cell>
          <cell r="O710" t="str">
            <v>Not Run</v>
          </cell>
        </row>
        <row r="711">
          <cell r="C711" t="str">
            <v>Scan &amp; pay</v>
          </cell>
          <cell r="F711" t="str">
            <v>UI / Functional</v>
          </cell>
          <cell r="G711" t="str">
            <v>Medium</v>
          </cell>
          <cell r="O711" t="str">
            <v>Not Run</v>
          </cell>
        </row>
        <row r="712">
          <cell r="C712" t="str">
            <v>Scan &amp; pay</v>
          </cell>
          <cell r="F712" t="str">
            <v>Functional</v>
          </cell>
          <cell r="G712" t="str">
            <v>Medium</v>
          </cell>
          <cell r="O712" t="str">
            <v>Not Run</v>
          </cell>
        </row>
        <row r="713">
          <cell r="C713" t="str">
            <v>Scan &amp; pay</v>
          </cell>
          <cell r="F713" t="str">
            <v>Functional</v>
          </cell>
          <cell r="G713" t="str">
            <v>High</v>
          </cell>
          <cell r="O713" t="str">
            <v>Not Run</v>
          </cell>
        </row>
        <row r="714">
          <cell r="C714" t="str">
            <v>Scan &amp; pay</v>
          </cell>
          <cell r="F714" t="str">
            <v>Functional</v>
          </cell>
          <cell r="G714" t="str">
            <v>Medium</v>
          </cell>
          <cell r="O714" t="str">
            <v>Not Run</v>
          </cell>
        </row>
        <row r="715">
          <cell r="C715" t="str">
            <v>Scan &amp; pay</v>
          </cell>
          <cell r="F715" t="str">
            <v>Functional</v>
          </cell>
          <cell r="G715" t="str">
            <v>High</v>
          </cell>
          <cell r="O715" t="str">
            <v>Not Run</v>
          </cell>
        </row>
        <row r="716">
          <cell r="C716" t="str">
            <v>Scan &amp; pay</v>
          </cell>
          <cell r="F716" t="str">
            <v>Functional</v>
          </cell>
          <cell r="G716" t="str">
            <v>High</v>
          </cell>
          <cell r="O716" t="str">
            <v>Not Run</v>
          </cell>
        </row>
        <row r="717">
          <cell r="C717" t="str">
            <v>Scan &amp; pay</v>
          </cell>
          <cell r="F717" t="str">
            <v>Positive</v>
          </cell>
          <cell r="G717" t="str">
            <v>High</v>
          </cell>
          <cell r="O717" t="str">
            <v>Not Run</v>
          </cell>
        </row>
        <row r="718">
          <cell r="C718" t="str">
            <v>Scan &amp; pay</v>
          </cell>
          <cell r="F718" t="str">
            <v>Negative</v>
          </cell>
          <cell r="G718" t="str">
            <v>High</v>
          </cell>
          <cell r="O718" t="str">
            <v>Not Run</v>
          </cell>
        </row>
        <row r="719">
          <cell r="C719" t="str">
            <v>Scan &amp; pay</v>
          </cell>
          <cell r="F719" t="str">
            <v>Positive</v>
          </cell>
          <cell r="G719" t="str">
            <v>Medium</v>
          </cell>
          <cell r="O719" t="str">
            <v>Not Run</v>
          </cell>
        </row>
        <row r="720">
          <cell r="C720" t="str">
            <v>Scan &amp; pay</v>
          </cell>
          <cell r="F720" t="str">
            <v>Negative</v>
          </cell>
          <cell r="G720" t="str">
            <v>High</v>
          </cell>
          <cell r="O720" t="str">
            <v>Not Run</v>
          </cell>
        </row>
        <row r="721">
          <cell r="C721" t="str">
            <v>Scan &amp; pay</v>
          </cell>
          <cell r="F721" t="str">
            <v>Security</v>
          </cell>
          <cell r="G721" t="str">
            <v>High</v>
          </cell>
          <cell r="O721" t="str">
            <v>Not Run</v>
          </cell>
        </row>
        <row r="722">
          <cell r="C722" t="str">
            <v>Scan &amp; pay</v>
          </cell>
          <cell r="F722" t="str">
            <v>Negative / Security</v>
          </cell>
          <cell r="G722" t="str">
            <v>High</v>
          </cell>
          <cell r="O722" t="str">
            <v>Not Run</v>
          </cell>
        </row>
        <row r="723">
          <cell r="C723" t="str">
            <v>Scan &amp; pay</v>
          </cell>
          <cell r="F723" t="str">
            <v>Functional</v>
          </cell>
          <cell r="G723" t="str">
            <v>Medium</v>
          </cell>
          <cell r="O723" t="str">
            <v>Not Run</v>
          </cell>
        </row>
        <row r="724">
          <cell r="C724" t="str">
            <v>Scan &amp; pay</v>
          </cell>
          <cell r="F724" t="str">
            <v>Functional</v>
          </cell>
          <cell r="G724" t="str">
            <v>Medium</v>
          </cell>
          <cell r="O724" t="str">
            <v>Not Run</v>
          </cell>
        </row>
        <row r="725">
          <cell r="C725" t="str">
            <v>Scan &amp; pay</v>
          </cell>
          <cell r="F725" t="str">
            <v>Functional</v>
          </cell>
          <cell r="G725" t="str">
            <v>Medium</v>
          </cell>
          <cell r="O725" t="str">
            <v>Not Run</v>
          </cell>
        </row>
        <row r="726">
          <cell r="C726" t="str">
            <v>Scan &amp; pay</v>
          </cell>
          <cell r="F726" t="str">
            <v>Functional</v>
          </cell>
          <cell r="G726" t="str">
            <v>Medium</v>
          </cell>
          <cell r="O726" t="str">
            <v>Not Run</v>
          </cell>
        </row>
        <row r="727">
          <cell r="C727" t="str">
            <v>Scan &amp; pay</v>
          </cell>
          <cell r="F727" t="str">
            <v>Functional</v>
          </cell>
          <cell r="G727" t="str">
            <v>Medium</v>
          </cell>
          <cell r="O727" t="str">
            <v>Not Run</v>
          </cell>
        </row>
        <row r="728">
          <cell r="C728" t="str">
            <v>Scan &amp; pay</v>
          </cell>
          <cell r="F728" t="str">
            <v>Functional</v>
          </cell>
          <cell r="G728" t="str">
            <v>Medium</v>
          </cell>
          <cell r="O728" t="str">
            <v>Not Run</v>
          </cell>
        </row>
        <row r="729">
          <cell r="C729" t="str">
            <v>Scan &amp; pay</v>
          </cell>
          <cell r="F729" t="str">
            <v>Functional</v>
          </cell>
          <cell r="G729" t="str">
            <v>Medium</v>
          </cell>
          <cell r="O729" t="str">
            <v>Not Run</v>
          </cell>
        </row>
        <row r="730">
          <cell r="C730" t="str">
            <v>Scan &amp; pay</v>
          </cell>
          <cell r="F730" t="str">
            <v>Functional</v>
          </cell>
          <cell r="G730" t="str">
            <v>High</v>
          </cell>
          <cell r="O730" t="str">
            <v>Not Run</v>
          </cell>
        </row>
        <row r="731">
          <cell r="C731" t="str">
            <v>Scan &amp; pay</v>
          </cell>
          <cell r="F731" t="str">
            <v>Functional</v>
          </cell>
          <cell r="G731" t="str">
            <v>High</v>
          </cell>
          <cell r="O731" t="str">
            <v>Not Run</v>
          </cell>
        </row>
        <row r="732">
          <cell r="C732" t="str">
            <v>Scan &amp; pay</v>
          </cell>
          <cell r="F732" t="str">
            <v>Functional</v>
          </cell>
          <cell r="G732" t="str">
            <v>Medium</v>
          </cell>
          <cell r="O732" t="str">
            <v>Not Run</v>
          </cell>
        </row>
        <row r="733">
          <cell r="C733" t="str">
            <v>Scan &amp; pay</v>
          </cell>
          <cell r="F733" t="str">
            <v>Positive</v>
          </cell>
          <cell r="G733" t="str">
            <v>High</v>
          </cell>
          <cell r="O733" t="str">
            <v>Not Run</v>
          </cell>
        </row>
        <row r="734">
          <cell r="C734" t="str">
            <v>Scan &amp; pay</v>
          </cell>
          <cell r="F734" t="str">
            <v>Negative</v>
          </cell>
          <cell r="G734" t="str">
            <v>High</v>
          </cell>
          <cell r="O734" t="str">
            <v>Not Run</v>
          </cell>
        </row>
        <row r="735">
          <cell r="C735" t="str">
            <v>Scan &amp; pay</v>
          </cell>
          <cell r="F735" t="str">
            <v>Positive</v>
          </cell>
          <cell r="G735" t="str">
            <v>Medium</v>
          </cell>
          <cell r="O735" t="str">
            <v>Not Run</v>
          </cell>
        </row>
        <row r="736">
          <cell r="C736" t="str">
            <v>Scan &amp; pay</v>
          </cell>
          <cell r="F736" t="str">
            <v>Negative</v>
          </cell>
          <cell r="G736" t="str">
            <v>High</v>
          </cell>
          <cell r="O736" t="str">
            <v>Not Run</v>
          </cell>
        </row>
        <row r="737">
          <cell r="C737" t="str">
            <v>Scan &amp; pay</v>
          </cell>
          <cell r="F737" t="str">
            <v>Security</v>
          </cell>
          <cell r="G737" t="str">
            <v>High</v>
          </cell>
          <cell r="O737" t="str">
            <v>Not Run</v>
          </cell>
        </row>
        <row r="738">
          <cell r="C738" t="str">
            <v>Scan &amp; pay</v>
          </cell>
          <cell r="F738" t="str">
            <v>Negative / Security</v>
          </cell>
          <cell r="G738" t="str">
            <v>High</v>
          </cell>
          <cell r="O738" t="str">
            <v>Not Run</v>
          </cell>
        </row>
        <row r="739">
          <cell r="C739" t="str">
            <v>Scan &amp; pay</v>
          </cell>
          <cell r="F739" t="str">
            <v>Functional</v>
          </cell>
          <cell r="G739" t="str">
            <v>Medium</v>
          </cell>
          <cell r="O739" t="str">
            <v>Not Run</v>
          </cell>
        </row>
        <row r="740">
          <cell r="C740" t="str">
            <v>Scan &amp; pay</v>
          </cell>
          <cell r="F740" t="str">
            <v>Functional</v>
          </cell>
          <cell r="G740" t="str">
            <v>Medium</v>
          </cell>
          <cell r="O740" t="str">
            <v>Not Run</v>
          </cell>
        </row>
        <row r="741">
          <cell r="C741" t="str">
            <v>Scan &amp; pay</v>
          </cell>
          <cell r="F741" t="str">
            <v>Functional</v>
          </cell>
          <cell r="G741" t="str">
            <v>Medium</v>
          </cell>
          <cell r="O741" t="str">
            <v>Not Run</v>
          </cell>
        </row>
        <row r="742">
          <cell r="C742" t="str">
            <v>Scan &amp; pay</v>
          </cell>
          <cell r="F742" t="str">
            <v>Functional</v>
          </cell>
          <cell r="G742" t="str">
            <v>Medium</v>
          </cell>
          <cell r="O742" t="str">
            <v>Not Run</v>
          </cell>
        </row>
        <row r="743">
          <cell r="C743" t="str">
            <v>Scan &amp; pay</v>
          </cell>
          <cell r="F743" t="str">
            <v>Functional</v>
          </cell>
          <cell r="G743" t="str">
            <v>Medium</v>
          </cell>
          <cell r="O743" t="str">
            <v>Not Run</v>
          </cell>
        </row>
        <row r="744">
          <cell r="C744" t="str">
            <v>Scan &amp; pay</v>
          </cell>
          <cell r="F744" t="str">
            <v>Functional</v>
          </cell>
          <cell r="G744" t="str">
            <v>Medium</v>
          </cell>
          <cell r="O744" t="str">
            <v>Not Run</v>
          </cell>
        </row>
        <row r="745">
          <cell r="C745" t="str">
            <v>Scan &amp; pay</v>
          </cell>
          <cell r="F745" t="str">
            <v>Functional</v>
          </cell>
          <cell r="G745" t="str">
            <v>Medium</v>
          </cell>
          <cell r="O745" t="str">
            <v>Not Run</v>
          </cell>
        </row>
        <row r="746">
          <cell r="C746" t="str">
            <v>Scan &amp; pay</v>
          </cell>
          <cell r="F746" t="str">
            <v>Functional</v>
          </cell>
          <cell r="G746" t="str">
            <v>High</v>
          </cell>
          <cell r="O746" t="str">
            <v>Not Run</v>
          </cell>
        </row>
        <row r="747">
          <cell r="C747" t="str">
            <v>Scan &amp; pay</v>
          </cell>
          <cell r="F747" t="str">
            <v>Functional</v>
          </cell>
          <cell r="G747" t="str">
            <v>High</v>
          </cell>
          <cell r="O747" t="str">
            <v>Not Run</v>
          </cell>
        </row>
        <row r="748">
          <cell r="C748" t="str">
            <v>Scan &amp; pay</v>
          </cell>
          <cell r="F748" t="str">
            <v>Functional</v>
          </cell>
          <cell r="G748" t="str">
            <v>Medium</v>
          </cell>
          <cell r="O748" t="str">
            <v>Not Run</v>
          </cell>
        </row>
        <row r="749">
          <cell r="C749" t="str">
            <v>Scan &amp; pay</v>
          </cell>
          <cell r="F749" t="str">
            <v>Positive</v>
          </cell>
          <cell r="G749" t="str">
            <v>High</v>
          </cell>
          <cell r="O749" t="str">
            <v>Not Run</v>
          </cell>
        </row>
        <row r="750">
          <cell r="C750" t="str">
            <v>Scan &amp; pay</v>
          </cell>
          <cell r="F750" t="str">
            <v>Negative</v>
          </cell>
          <cell r="G750" t="str">
            <v>High</v>
          </cell>
          <cell r="O750" t="str">
            <v>Not Run</v>
          </cell>
        </row>
        <row r="751">
          <cell r="C751" t="str">
            <v>Scan &amp; pay</v>
          </cell>
          <cell r="F751" t="str">
            <v>Positive</v>
          </cell>
          <cell r="G751" t="str">
            <v>High</v>
          </cell>
          <cell r="O751" t="str">
            <v>Not Run</v>
          </cell>
        </row>
        <row r="752">
          <cell r="C752" t="str">
            <v>Scan &amp; pay</v>
          </cell>
          <cell r="F752" t="str">
            <v>Negative</v>
          </cell>
          <cell r="G752" t="str">
            <v>High</v>
          </cell>
          <cell r="O752" t="str">
            <v>Not Run</v>
          </cell>
        </row>
        <row r="753">
          <cell r="C753" t="str">
            <v>Scan &amp; pay</v>
          </cell>
          <cell r="F753" t="str">
            <v>Security</v>
          </cell>
          <cell r="G753" t="str">
            <v>High</v>
          </cell>
          <cell r="O753" t="str">
            <v>Not Run</v>
          </cell>
        </row>
        <row r="754">
          <cell r="C754" t="str">
            <v>Scan &amp; pay</v>
          </cell>
          <cell r="F754" t="str">
            <v>Negative / Security</v>
          </cell>
          <cell r="G754" t="str">
            <v>High</v>
          </cell>
          <cell r="O754" t="str">
            <v>Not Run</v>
          </cell>
        </row>
        <row r="755">
          <cell r="C755" t="str">
            <v>Scan &amp; pay</v>
          </cell>
          <cell r="F755" t="str">
            <v>Functional</v>
          </cell>
          <cell r="G755" t="str">
            <v>Medium</v>
          </cell>
          <cell r="O755" t="str">
            <v>Not Run</v>
          </cell>
        </row>
        <row r="756">
          <cell r="C756" t="str">
            <v>Scan &amp; pay</v>
          </cell>
          <cell r="F756" t="str">
            <v>Functional</v>
          </cell>
          <cell r="G756" t="str">
            <v>Medium</v>
          </cell>
          <cell r="O756" t="str">
            <v>Not Run</v>
          </cell>
        </row>
        <row r="757">
          <cell r="C757" t="str">
            <v>Scan &amp; pay</v>
          </cell>
          <cell r="F757" t="str">
            <v>Functional</v>
          </cell>
          <cell r="G757" t="str">
            <v>Medium</v>
          </cell>
          <cell r="O757" t="str">
            <v>Not Run</v>
          </cell>
        </row>
        <row r="758">
          <cell r="C758" t="str">
            <v>Scan &amp; pay</v>
          </cell>
          <cell r="F758" t="str">
            <v>Functional</v>
          </cell>
          <cell r="G758" t="str">
            <v>Medium</v>
          </cell>
          <cell r="O758" t="str">
            <v>Not Run</v>
          </cell>
        </row>
        <row r="759">
          <cell r="C759" t="str">
            <v>Scan &amp; pay</v>
          </cell>
          <cell r="F759" t="str">
            <v>Functional</v>
          </cell>
          <cell r="G759" t="str">
            <v>Medium</v>
          </cell>
          <cell r="O759" t="str">
            <v>Not Run</v>
          </cell>
        </row>
        <row r="760">
          <cell r="C760" t="str">
            <v>Scan &amp; pay</v>
          </cell>
          <cell r="F760" t="str">
            <v>Functional</v>
          </cell>
          <cell r="G760" t="str">
            <v>Medium</v>
          </cell>
          <cell r="O760" t="str">
            <v>Not Run</v>
          </cell>
        </row>
        <row r="761">
          <cell r="C761" t="str">
            <v>Scan &amp; pay</v>
          </cell>
          <cell r="F761" t="str">
            <v>Functional</v>
          </cell>
          <cell r="G761" t="str">
            <v>Medium</v>
          </cell>
          <cell r="O761" t="str">
            <v>Not Run</v>
          </cell>
        </row>
        <row r="762">
          <cell r="C762" t="str">
            <v>Scan &amp; pay</v>
          </cell>
          <cell r="F762" t="str">
            <v>Functional</v>
          </cell>
          <cell r="G762" t="str">
            <v>High</v>
          </cell>
          <cell r="O762" t="str">
            <v>Not Run</v>
          </cell>
        </row>
        <row r="763">
          <cell r="C763" t="str">
            <v>Scan &amp; pay</v>
          </cell>
          <cell r="F763" t="str">
            <v>Functional</v>
          </cell>
          <cell r="G763" t="str">
            <v>High</v>
          </cell>
          <cell r="O763" t="str">
            <v>Not Run</v>
          </cell>
        </row>
        <row r="764">
          <cell r="C764" t="str">
            <v>Scan &amp; pay</v>
          </cell>
          <cell r="F764" t="str">
            <v>Positive</v>
          </cell>
          <cell r="G764" t="str">
            <v>High</v>
          </cell>
          <cell r="O764" t="str">
            <v>Not Run</v>
          </cell>
        </row>
        <row r="765">
          <cell r="C765" t="str">
            <v>Scan &amp; pay</v>
          </cell>
          <cell r="F765" t="str">
            <v>Negative</v>
          </cell>
          <cell r="G765" t="str">
            <v>High</v>
          </cell>
          <cell r="O765" t="str">
            <v>Not Run</v>
          </cell>
        </row>
        <row r="766">
          <cell r="C766" t="str">
            <v>Scan &amp; pay</v>
          </cell>
          <cell r="F766" t="str">
            <v>Positive</v>
          </cell>
          <cell r="G766" t="str">
            <v>Medium</v>
          </cell>
          <cell r="O766" t="str">
            <v>Not Run</v>
          </cell>
        </row>
        <row r="767">
          <cell r="C767" t="str">
            <v>Scan &amp; pay</v>
          </cell>
          <cell r="F767" t="str">
            <v>Negative</v>
          </cell>
          <cell r="G767" t="str">
            <v>High</v>
          </cell>
          <cell r="O767" t="str">
            <v>Not Run</v>
          </cell>
        </row>
        <row r="768">
          <cell r="C768" t="str">
            <v>Scan &amp; pay</v>
          </cell>
          <cell r="F768" t="str">
            <v>Security</v>
          </cell>
          <cell r="G768" t="str">
            <v>High</v>
          </cell>
          <cell r="O768" t="str">
            <v>Not Run</v>
          </cell>
        </row>
        <row r="769">
          <cell r="C769" t="str">
            <v>Scan &amp; pay</v>
          </cell>
          <cell r="F769" t="str">
            <v>Negative / Security</v>
          </cell>
          <cell r="G769" t="str">
            <v>High</v>
          </cell>
          <cell r="O769" t="str">
            <v>Not Run</v>
          </cell>
        </row>
        <row r="770">
          <cell r="C770" t="str">
            <v>Scan &amp; pay</v>
          </cell>
          <cell r="F770" t="str">
            <v>Functional</v>
          </cell>
          <cell r="G770" t="str">
            <v>Medium</v>
          </cell>
          <cell r="O770" t="str">
            <v>Not Run</v>
          </cell>
        </row>
        <row r="771">
          <cell r="C771" t="str">
            <v>Scan &amp; pay</v>
          </cell>
          <cell r="F771" t="str">
            <v>Functional</v>
          </cell>
          <cell r="G771" t="str">
            <v>High</v>
          </cell>
          <cell r="O771" t="str">
            <v>Not Run</v>
          </cell>
        </row>
        <row r="772">
          <cell r="C772" t="str">
            <v>Scan &amp; pay</v>
          </cell>
          <cell r="F772" t="str">
            <v>Functional</v>
          </cell>
          <cell r="G772" t="str">
            <v>High</v>
          </cell>
          <cell r="O772" t="str">
            <v>Not Run</v>
          </cell>
        </row>
        <row r="773">
          <cell r="C773" t="str">
            <v>Scan &amp; pay</v>
          </cell>
          <cell r="F773" t="str">
            <v>Positive</v>
          </cell>
          <cell r="G773" t="str">
            <v>High</v>
          </cell>
          <cell r="O773" t="str">
            <v>Not Run</v>
          </cell>
        </row>
        <row r="774">
          <cell r="C774" t="str">
            <v>Scan &amp; pay</v>
          </cell>
          <cell r="F774" t="str">
            <v>Negative</v>
          </cell>
          <cell r="G774" t="str">
            <v>High</v>
          </cell>
          <cell r="O774" t="str">
            <v>Not Run</v>
          </cell>
        </row>
        <row r="775">
          <cell r="C775" t="str">
            <v>Scan &amp; pay</v>
          </cell>
          <cell r="F775" t="str">
            <v>Positive</v>
          </cell>
          <cell r="G775" t="str">
            <v>Medium</v>
          </cell>
          <cell r="O775" t="str">
            <v>Not Run</v>
          </cell>
        </row>
        <row r="776">
          <cell r="C776" t="str">
            <v>Scan &amp; pay</v>
          </cell>
          <cell r="F776" t="str">
            <v>Negative</v>
          </cell>
          <cell r="G776" t="str">
            <v>High</v>
          </cell>
          <cell r="O776" t="str">
            <v>Not Run</v>
          </cell>
        </row>
        <row r="777">
          <cell r="C777" t="str">
            <v>Scan &amp; pay</v>
          </cell>
          <cell r="F777" t="str">
            <v>Security</v>
          </cell>
          <cell r="G777" t="str">
            <v>High</v>
          </cell>
          <cell r="O777" t="str">
            <v>Not Run</v>
          </cell>
        </row>
        <row r="778">
          <cell r="C778" t="str">
            <v>Scan &amp; pay</v>
          </cell>
          <cell r="F778" t="str">
            <v>Negative / Security</v>
          </cell>
          <cell r="G778" t="str">
            <v>High</v>
          </cell>
          <cell r="O778" t="str">
            <v>Not Run</v>
          </cell>
        </row>
        <row r="779">
          <cell r="C779" t="str">
            <v>Scan &amp; pay</v>
          </cell>
          <cell r="F779" t="str">
            <v>Functional</v>
          </cell>
          <cell r="G779" t="str">
            <v>Medium</v>
          </cell>
          <cell r="O779" t="str">
            <v>Not Run</v>
          </cell>
        </row>
        <row r="780">
          <cell r="C780" t="str">
            <v>Scan &amp; pay</v>
          </cell>
          <cell r="F780" t="str">
            <v>Functional</v>
          </cell>
          <cell r="G780" t="str">
            <v>Medium</v>
          </cell>
          <cell r="O780" t="str">
            <v>Not Run</v>
          </cell>
        </row>
        <row r="781">
          <cell r="C781" t="str">
            <v>Scan &amp; pay</v>
          </cell>
          <cell r="F781" t="str">
            <v>Functional</v>
          </cell>
          <cell r="G781" t="str">
            <v>Medium</v>
          </cell>
          <cell r="O781" t="str">
            <v>Not Run</v>
          </cell>
        </row>
        <row r="782">
          <cell r="C782" t="str">
            <v>Scan &amp; pay</v>
          </cell>
          <cell r="F782" t="str">
            <v>Positive</v>
          </cell>
          <cell r="G782" t="str">
            <v>High</v>
          </cell>
          <cell r="O782" t="str">
            <v>Not Run</v>
          </cell>
        </row>
        <row r="783">
          <cell r="C783" t="str">
            <v>Scan &amp; pay</v>
          </cell>
          <cell r="F783" t="str">
            <v>Negative</v>
          </cell>
          <cell r="G783" t="str">
            <v>High</v>
          </cell>
          <cell r="O783" t="str">
            <v>Not Run</v>
          </cell>
        </row>
        <row r="784">
          <cell r="C784" t="str">
            <v>Scan &amp; pay</v>
          </cell>
          <cell r="F784" t="str">
            <v>Positive</v>
          </cell>
          <cell r="G784" t="str">
            <v>Medium</v>
          </cell>
          <cell r="O784" t="str">
            <v>Not Run</v>
          </cell>
        </row>
        <row r="785">
          <cell r="C785" t="str">
            <v>Scan &amp; pay</v>
          </cell>
          <cell r="F785" t="str">
            <v>Negative</v>
          </cell>
          <cell r="G785" t="str">
            <v>High</v>
          </cell>
          <cell r="O785" t="str">
            <v>Not Run</v>
          </cell>
        </row>
        <row r="786">
          <cell r="C786" t="str">
            <v>Scan &amp; pay</v>
          </cell>
          <cell r="F786" t="str">
            <v>Security</v>
          </cell>
          <cell r="G786" t="str">
            <v>High</v>
          </cell>
          <cell r="O786" t="str">
            <v>Not Run</v>
          </cell>
        </row>
        <row r="787">
          <cell r="C787" t="str">
            <v>Scan &amp; pay</v>
          </cell>
          <cell r="F787" t="str">
            <v>Negative / Security</v>
          </cell>
          <cell r="G787" t="str">
            <v>High</v>
          </cell>
          <cell r="O787" t="str">
            <v>Not Run</v>
          </cell>
        </row>
        <row r="788">
          <cell r="C788" t="str">
            <v>Scan &amp; pay</v>
          </cell>
          <cell r="F788" t="str">
            <v>Functional</v>
          </cell>
          <cell r="G788" t="str">
            <v>Medium</v>
          </cell>
          <cell r="O788" t="str">
            <v>Not Run</v>
          </cell>
        </row>
        <row r="789">
          <cell r="C789" t="str">
            <v>Scan &amp; pay</v>
          </cell>
          <cell r="F789" t="str">
            <v>Functional</v>
          </cell>
          <cell r="G789" t="str">
            <v>Medium</v>
          </cell>
          <cell r="O789" t="str">
            <v>Not Run</v>
          </cell>
        </row>
        <row r="790">
          <cell r="C790" t="str">
            <v>Scan &amp; pay</v>
          </cell>
          <cell r="F790" t="str">
            <v>Functional</v>
          </cell>
          <cell r="G790" t="str">
            <v>Medium</v>
          </cell>
          <cell r="O790" t="str">
            <v>Not Run</v>
          </cell>
        </row>
        <row r="791">
          <cell r="C791" t="str">
            <v>Scan &amp; pay</v>
          </cell>
          <cell r="F791" t="str">
            <v>Positive</v>
          </cell>
          <cell r="G791" t="str">
            <v>High</v>
          </cell>
          <cell r="O791" t="str">
            <v>Not Run</v>
          </cell>
        </row>
        <row r="792">
          <cell r="C792" t="str">
            <v>Scan &amp; pay</v>
          </cell>
          <cell r="F792" t="str">
            <v>Negative</v>
          </cell>
          <cell r="G792" t="str">
            <v>High</v>
          </cell>
          <cell r="O792" t="str">
            <v>Not Run</v>
          </cell>
        </row>
        <row r="793">
          <cell r="C793" t="str">
            <v>Scan &amp; pay</v>
          </cell>
          <cell r="F793" t="str">
            <v>Positive</v>
          </cell>
          <cell r="G793" t="str">
            <v>Medium</v>
          </cell>
          <cell r="O793" t="str">
            <v>Not Run</v>
          </cell>
        </row>
        <row r="794">
          <cell r="C794" t="str">
            <v>Scan &amp; pay</v>
          </cell>
          <cell r="F794" t="str">
            <v>Negative</v>
          </cell>
          <cell r="G794" t="str">
            <v>High</v>
          </cell>
          <cell r="O794" t="str">
            <v>Not Run</v>
          </cell>
        </row>
        <row r="795">
          <cell r="C795" t="str">
            <v>Scan &amp; pay</v>
          </cell>
          <cell r="F795" t="str">
            <v>Security</v>
          </cell>
          <cell r="G795" t="str">
            <v>High</v>
          </cell>
          <cell r="O795" t="str">
            <v>Not Run</v>
          </cell>
        </row>
        <row r="796">
          <cell r="C796" t="str">
            <v>Scan &amp; pay</v>
          </cell>
          <cell r="F796" t="str">
            <v>Negative / Security</v>
          </cell>
          <cell r="G796" t="str">
            <v>High</v>
          </cell>
          <cell r="O796" t="str">
            <v>Not Run</v>
          </cell>
        </row>
        <row r="797">
          <cell r="C797" t="str">
            <v>Scan &amp; pay</v>
          </cell>
          <cell r="F797" t="str">
            <v>Functional</v>
          </cell>
          <cell r="G797" t="str">
            <v>Medium</v>
          </cell>
          <cell r="O797" t="str">
            <v>Not Run</v>
          </cell>
        </row>
        <row r="798">
          <cell r="C798" t="str">
            <v>Scan &amp; pay</v>
          </cell>
          <cell r="F798" t="str">
            <v>Functional</v>
          </cell>
          <cell r="G798" t="str">
            <v>Medium</v>
          </cell>
          <cell r="O798" t="str">
            <v>Not Run</v>
          </cell>
        </row>
        <row r="799">
          <cell r="C799" t="str">
            <v>Scan &amp; pay</v>
          </cell>
          <cell r="F799" t="str">
            <v>Functional</v>
          </cell>
          <cell r="G799" t="str">
            <v>Medium</v>
          </cell>
          <cell r="O799" t="str">
            <v>Not Run</v>
          </cell>
        </row>
        <row r="800">
          <cell r="C800" t="str">
            <v>Scan &amp; pay</v>
          </cell>
          <cell r="F800" t="str">
            <v>Positive</v>
          </cell>
          <cell r="G800" t="str">
            <v>High</v>
          </cell>
          <cell r="O800" t="str">
            <v>Not Run</v>
          </cell>
        </row>
        <row r="801">
          <cell r="C801" t="str">
            <v>Scan &amp; pay</v>
          </cell>
          <cell r="F801" t="str">
            <v>Negative</v>
          </cell>
          <cell r="G801" t="str">
            <v>High</v>
          </cell>
          <cell r="O801" t="str">
            <v>Not Run</v>
          </cell>
        </row>
      </sheetData>
      <sheetData sheetId="4">
        <row r="1">
          <cell r="B1" t="str">
            <v>Module</v>
          </cell>
        </row>
        <row r="2">
          <cell r="B2" t="str">
            <v>Acct Dashboard Financing</v>
          </cell>
        </row>
        <row r="3">
          <cell r="B3" t="str">
            <v>Acct Dashboard Financing</v>
          </cell>
        </row>
        <row r="4">
          <cell r="B4" t="str">
            <v>Acct Dashboard Financing</v>
          </cell>
        </row>
        <row r="5">
          <cell r="B5" t="str">
            <v>Acct Dashboard Financing</v>
          </cell>
        </row>
        <row r="6">
          <cell r="B6" t="str">
            <v>Acct Dashboard Financing</v>
          </cell>
        </row>
        <row r="7">
          <cell r="B7" t="str">
            <v>Acct Dashboard Financing</v>
          </cell>
        </row>
        <row r="8">
          <cell r="B8" t="str">
            <v>Acct Dashboard Financing</v>
          </cell>
        </row>
        <row r="9">
          <cell r="B9" t="str">
            <v>Acct Dashboard Financing</v>
          </cell>
        </row>
        <row r="10">
          <cell r="B10" t="str">
            <v>Acct Dashboard Non-Financing</v>
          </cell>
        </row>
        <row r="11">
          <cell r="B11" t="str">
            <v>Acct Dashboard Non-Financing</v>
          </cell>
        </row>
        <row r="12">
          <cell r="B12" t="str">
            <v>Acct Dashboard Non-Financing</v>
          </cell>
        </row>
        <row r="13">
          <cell r="B13" t="str">
            <v>Acct Dashboard Non-Financing</v>
          </cell>
        </row>
        <row r="14">
          <cell r="B14" t="str">
            <v>Acct Dashboard Non-Financing</v>
          </cell>
        </row>
        <row r="15">
          <cell r="B15" t="str">
            <v>Acct Dashboard Non-Financing</v>
          </cell>
        </row>
        <row r="16">
          <cell r="B16" t="str">
            <v>Acct Dashboard Non-Financing</v>
          </cell>
        </row>
        <row r="17">
          <cell r="B17" t="str">
            <v>Acct Dashboard Non-Financing</v>
          </cell>
        </row>
        <row r="18">
          <cell r="B18" t="str">
            <v>Acct Dashboard Non-Financing</v>
          </cell>
        </row>
        <row r="19">
          <cell r="B19" t="str">
            <v>Acct Dashboard Non-Financing</v>
          </cell>
        </row>
        <row r="20">
          <cell r="B20" t="str">
            <v>Acct Dashboard Non-Financing</v>
          </cell>
        </row>
        <row r="21">
          <cell r="B21" t="str">
            <v>Acct Dashboard Non-Financing</v>
          </cell>
        </row>
        <row r="22">
          <cell r="B22" t="str">
            <v>App Dashboard</v>
          </cell>
        </row>
        <row r="23">
          <cell r="B23" t="str">
            <v>A&amp;A</v>
          </cell>
        </row>
        <row r="24">
          <cell r="B24" t="str">
            <v>A&amp;A</v>
          </cell>
        </row>
        <row r="25">
          <cell r="B25" t="str">
            <v>A&amp;A</v>
          </cell>
        </row>
        <row r="26">
          <cell r="B26" t="str">
            <v>A&amp;A</v>
          </cell>
        </row>
        <row r="27">
          <cell r="B27" t="str">
            <v>A&amp;A</v>
          </cell>
        </row>
        <row r="28">
          <cell r="B28" t="str">
            <v>Local Transfer</v>
          </cell>
        </row>
        <row r="29">
          <cell r="B29" t="str">
            <v>Scan &amp; pay</v>
          </cell>
        </row>
        <row r="30">
          <cell r="B30" t="str">
            <v>Scan &amp; pay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EE548-E410-493F-8813-4EC526B4C4B4}">
  <dimension ref="A1:F9"/>
  <sheetViews>
    <sheetView workbookViewId="0">
      <selection activeCell="D19" sqref="D19"/>
    </sheetView>
  </sheetViews>
  <sheetFormatPr defaultRowHeight="13.8" x14ac:dyDescent="0.3"/>
  <sheetData>
    <row r="1" spans="1:6" ht="25.8" x14ac:dyDescent="0.5">
      <c r="A1" s="1" t="s">
        <v>0</v>
      </c>
      <c r="B1" s="2"/>
      <c r="C1" s="2"/>
      <c r="D1" s="2"/>
      <c r="E1" s="2"/>
      <c r="F1" s="2"/>
    </row>
    <row r="3" spans="1:6" ht="14.4" x14ac:dyDescent="0.3">
      <c r="A3" s="3" t="s">
        <v>1</v>
      </c>
      <c r="B3" s="4" t="s">
        <v>2</v>
      </c>
      <c r="C3" s="2"/>
      <c r="D3" s="2"/>
      <c r="E3" s="2"/>
      <c r="F3" s="2"/>
    </row>
    <row r="4" spans="1:6" ht="14.4" x14ac:dyDescent="0.3">
      <c r="A4" s="3" t="s">
        <v>3</v>
      </c>
      <c r="B4" s="4" t="s">
        <v>4</v>
      </c>
      <c r="C4" s="2"/>
      <c r="D4" s="2"/>
      <c r="E4" s="2"/>
      <c r="F4" s="2"/>
    </row>
    <row r="5" spans="1:6" ht="14.4" x14ac:dyDescent="0.3">
      <c r="A5" s="3" t="s">
        <v>5</v>
      </c>
      <c r="B5" s="4" t="s">
        <v>6</v>
      </c>
      <c r="C5" s="2"/>
      <c r="D5" s="2"/>
      <c r="E5" s="2"/>
      <c r="F5" s="2"/>
    </row>
    <row r="6" spans="1:6" ht="14.4" x14ac:dyDescent="0.3">
      <c r="A6" s="3" t="s">
        <v>7</v>
      </c>
      <c r="B6" s="4" t="s">
        <v>8</v>
      </c>
      <c r="C6" s="2"/>
      <c r="D6" s="2"/>
      <c r="E6" s="2"/>
      <c r="F6" s="2"/>
    </row>
    <row r="7" spans="1:6" ht="14.4" x14ac:dyDescent="0.3">
      <c r="A7" s="3" t="s">
        <v>9</v>
      </c>
      <c r="B7" s="4" t="s">
        <v>10</v>
      </c>
      <c r="C7" s="2"/>
      <c r="D7" s="2"/>
      <c r="E7" s="2"/>
      <c r="F7" s="2"/>
    </row>
    <row r="8" spans="1:6" ht="14.4" x14ac:dyDescent="0.3">
      <c r="A8" s="3" t="s">
        <v>11</v>
      </c>
      <c r="B8" s="4" t="s">
        <v>12</v>
      </c>
      <c r="C8" s="2"/>
      <c r="D8" s="2"/>
      <c r="E8" s="2"/>
      <c r="F8" s="2"/>
    </row>
    <row r="9" spans="1:6" ht="14.4" x14ac:dyDescent="0.3">
      <c r="A9" s="3" t="s">
        <v>13</v>
      </c>
      <c r="B9" s="4" t="s">
        <v>14</v>
      </c>
      <c r="C9" s="2"/>
      <c r="D9" s="2"/>
      <c r="E9" s="2"/>
      <c r="F9" s="2"/>
    </row>
  </sheetData>
  <mergeCells count="8">
    <mergeCell ref="B8:F8"/>
    <mergeCell ref="B9:F9"/>
    <mergeCell ref="A1:F1"/>
    <mergeCell ref="B3:F3"/>
    <mergeCell ref="B4:F4"/>
    <mergeCell ref="B5:F5"/>
    <mergeCell ref="B6:F6"/>
    <mergeCell ref="B7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6DE10-52ED-4891-A960-27D8F7160F14}">
  <dimension ref="A1:H10"/>
  <sheetViews>
    <sheetView workbookViewId="0">
      <selection activeCell="M10" sqref="M10"/>
    </sheetView>
  </sheetViews>
  <sheetFormatPr defaultRowHeight="13.8" x14ac:dyDescent="0.3"/>
  <sheetData>
    <row r="1" spans="1:8" ht="23.4" x14ac:dyDescent="0.45">
      <c r="A1" s="5" t="s">
        <v>15</v>
      </c>
      <c r="B1" s="2"/>
      <c r="C1" s="2"/>
      <c r="D1" s="2"/>
      <c r="E1" s="2"/>
      <c r="F1" s="2"/>
      <c r="G1" s="2"/>
      <c r="H1" s="2"/>
    </row>
    <row r="3" spans="1:8" ht="14.4" x14ac:dyDescent="0.3">
      <c r="A3" s="6" t="s">
        <v>16</v>
      </c>
      <c r="B3" s="6" t="s">
        <v>17</v>
      </c>
      <c r="C3" s="6" t="s">
        <v>18</v>
      </c>
      <c r="D3" s="6" t="s">
        <v>19</v>
      </c>
      <c r="E3" s="6" t="s">
        <v>20</v>
      </c>
      <c r="F3" s="6" t="s">
        <v>21</v>
      </c>
      <c r="G3" s="6" t="s">
        <v>22</v>
      </c>
      <c r="H3" s="6" t="s">
        <v>23</v>
      </c>
    </row>
    <row r="4" spans="1:8" x14ac:dyDescent="0.3">
      <c r="A4" s="7" t="s">
        <v>24</v>
      </c>
      <c r="B4" s="7">
        <f>COUNTIF('[1]Test Scenarios'!$B:$B,A4)</f>
        <v>134</v>
      </c>
      <c r="C4" s="7">
        <f>COUNTIF('[1]Test Cases'!$C:$C,A4)</f>
        <v>158</v>
      </c>
      <c r="D4" s="7">
        <f>COUNTIFS('[1]Test Cases'!$C:$C,A4,'[1]Test Cases'!$G:$G,"High")</f>
        <v>58</v>
      </c>
      <c r="E4" s="7">
        <f>COUNTIFS('[1]Test Cases'!$C:$C,A4,'[1]Test Cases'!$F:$F,"*Security*")</f>
        <v>16</v>
      </c>
      <c r="F4" s="7">
        <f>COUNTIF('[1]Open Questions'!$B:$B,A4)</f>
        <v>8</v>
      </c>
      <c r="G4" s="7">
        <f>COUNTIFS('[1]Test Cases'!$C:$C,A4,'[1]Test Cases'!$O:$O,"Pass")</f>
        <v>0</v>
      </c>
      <c r="H4" s="7">
        <f>COUNTIFS('[1]Test Cases'!$C:$C,A4,'[1]Test Cases'!$O:$O,"Fail")</f>
        <v>0</v>
      </c>
    </row>
    <row r="5" spans="1:8" x14ac:dyDescent="0.3">
      <c r="A5" s="7" t="s">
        <v>25</v>
      </c>
      <c r="B5" s="7">
        <f>COUNTIF('[1]Test Scenarios'!$B:$B,A5)</f>
        <v>121</v>
      </c>
      <c r="C5" s="7">
        <f>COUNTIF('[1]Test Cases'!$C:$C,A5)</f>
        <v>148</v>
      </c>
      <c r="D5" s="7">
        <f>COUNTIFS('[1]Test Cases'!$C:$C,A5,'[1]Test Cases'!$G:$G,"High")</f>
        <v>72</v>
      </c>
      <c r="E5" s="7">
        <f>COUNTIFS('[1]Test Cases'!$C:$C,A5,'[1]Test Cases'!$F:$F,"*Security*")</f>
        <v>23</v>
      </c>
      <c r="F5" s="7">
        <f>COUNTIF('[1]Open Questions'!$B:$B,A5)</f>
        <v>12</v>
      </c>
      <c r="G5" s="7">
        <f>COUNTIFS('[1]Test Cases'!$C:$C,A5,'[1]Test Cases'!$O:$O,"Pass")</f>
        <v>0</v>
      </c>
      <c r="H5" s="7">
        <f>COUNTIFS('[1]Test Cases'!$C:$C,A5,'[1]Test Cases'!$O:$O,"Fail")</f>
        <v>0</v>
      </c>
    </row>
    <row r="6" spans="1:8" x14ac:dyDescent="0.3">
      <c r="A6" s="7" t="s">
        <v>26</v>
      </c>
      <c r="B6" s="7">
        <f>COUNTIF('[1]Test Scenarios'!$B:$B,A6)</f>
        <v>113</v>
      </c>
      <c r="C6" s="7">
        <f>COUNTIF('[1]Test Cases'!$C:$C,A6)</f>
        <v>143</v>
      </c>
      <c r="D6" s="7">
        <f>COUNTIFS('[1]Test Cases'!$C:$C,A6,'[1]Test Cases'!$G:$G,"High")</f>
        <v>70</v>
      </c>
      <c r="E6" s="7">
        <f>COUNTIFS('[1]Test Cases'!$C:$C,A6,'[1]Test Cases'!$F:$F,"*Security*")</f>
        <v>33</v>
      </c>
      <c r="F6" s="7">
        <f>COUNTIF('[1]Open Questions'!$B:$B,A6)</f>
        <v>1</v>
      </c>
      <c r="G6" s="7">
        <f>COUNTIFS('[1]Test Cases'!$C:$C,A6,'[1]Test Cases'!$O:$O,"Pass")</f>
        <v>0</v>
      </c>
      <c r="H6" s="7">
        <f>COUNTIFS('[1]Test Cases'!$C:$C,A6,'[1]Test Cases'!$O:$O,"Fail")</f>
        <v>0</v>
      </c>
    </row>
    <row r="7" spans="1:8" x14ac:dyDescent="0.3">
      <c r="A7" s="7" t="s">
        <v>27</v>
      </c>
      <c r="B7" s="7">
        <f>COUNTIF('[1]Test Scenarios'!$B:$B,A7)</f>
        <v>64</v>
      </c>
      <c r="C7" s="7">
        <f>COUNTIF('[1]Test Cases'!$C:$C,A7)</f>
        <v>84</v>
      </c>
      <c r="D7" s="7">
        <f>COUNTIFS('[1]Test Cases'!$C:$C,A7,'[1]Test Cases'!$G:$G,"High")</f>
        <v>67</v>
      </c>
      <c r="E7" s="7">
        <f>COUNTIFS('[1]Test Cases'!$C:$C,A7,'[1]Test Cases'!$F:$F,"*Security*")</f>
        <v>36</v>
      </c>
      <c r="F7" s="7">
        <f>COUNTIF('[1]Open Questions'!$B:$B,A7)</f>
        <v>5</v>
      </c>
      <c r="G7" s="7">
        <f>COUNTIFS('[1]Test Cases'!$C:$C,A7,'[1]Test Cases'!$O:$O,"Pass")</f>
        <v>0</v>
      </c>
      <c r="H7" s="7">
        <f>COUNTIFS('[1]Test Cases'!$C:$C,A7,'[1]Test Cases'!$O:$O,"Fail")</f>
        <v>0</v>
      </c>
    </row>
    <row r="8" spans="1:8" x14ac:dyDescent="0.3">
      <c r="A8" s="7" t="s">
        <v>28</v>
      </c>
      <c r="B8" s="7">
        <f>COUNTIF('[1]Test Scenarios'!$B:$B,A8)</f>
        <v>115</v>
      </c>
      <c r="C8" s="7">
        <f>COUNTIF('[1]Test Cases'!$C:$C,A8)</f>
        <v>145</v>
      </c>
      <c r="D8" s="7">
        <f>COUNTIFS('[1]Test Cases'!$C:$C,A8,'[1]Test Cases'!$G:$G,"High")</f>
        <v>122</v>
      </c>
      <c r="E8" s="7">
        <f>COUNTIFS('[1]Test Cases'!$C:$C,A8,'[1]Test Cases'!$F:$F,"*Security*")</f>
        <v>26</v>
      </c>
      <c r="F8" s="7">
        <f>COUNTIF('[1]Open Questions'!$B:$B,A8)</f>
        <v>1</v>
      </c>
      <c r="G8" s="7">
        <f>COUNTIFS('[1]Test Cases'!$C:$C,A8,'[1]Test Cases'!$O:$O,"Pass")</f>
        <v>0</v>
      </c>
      <c r="H8" s="7">
        <f>COUNTIFS('[1]Test Cases'!$C:$C,A8,'[1]Test Cases'!$O:$O,"Fail")</f>
        <v>0</v>
      </c>
    </row>
    <row r="9" spans="1:8" x14ac:dyDescent="0.3">
      <c r="A9" s="7" t="s">
        <v>29</v>
      </c>
      <c r="B9" s="7">
        <f>COUNTIF('[1]Test Scenarios'!$B:$B,A9)</f>
        <v>92</v>
      </c>
      <c r="C9" s="7">
        <f>COUNTIF('[1]Test Cases'!$C:$C,A9)</f>
        <v>122</v>
      </c>
      <c r="D9" s="7">
        <f>COUNTIFS('[1]Test Cases'!$C:$C,A9,'[1]Test Cases'!$G:$G,"High")</f>
        <v>71</v>
      </c>
      <c r="E9" s="7">
        <f>COUNTIFS('[1]Test Cases'!$C:$C,A9,'[1]Test Cases'!$F:$F,"*Security*")</f>
        <v>20</v>
      </c>
      <c r="F9" s="7">
        <f>COUNTIF('[1]Open Questions'!$B:$B,A9)</f>
        <v>2</v>
      </c>
      <c r="G9" s="7">
        <f>COUNTIFS('[1]Test Cases'!$C:$C,A9,'[1]Test Cases'!$O:$O,"Pass")</f>
        <v>0</v>
      </c>
      <c r="H9" s="7">
        <f>COUNTIFS('[1]Test Cases'!$C:$C,A9,'[1]Test Cases'!$O:$O,"Fail")</f>
        <v>0</v>
      </c>
    </row>
    <row r="10" spans="1:8" ht="14.4" x14ac:dyDescent="0.3">
      <c r="A10" s="8" t="s">
        <v>30</v>
      </c>
      <c r="B10" s="8">
        <f t="shared" ref="B10:H10" si="0">SUM(B4:B9)</f>
        <v>639</v>
      </c>
      <c r="C10" s="8">
        <f t="shared" si="0"/>
        <v>800</v>
      </c>
      <c r="D10" s="8">
        <f t="shared" si="0"/>
        <v>460</v>
      </c>
      <c r="E10" s="8">
        <f t="shared" si="0"/>
        <v>154</v>
      </c>
      <c r="F10" s="8">
        <f t="shared" si="0"/>
        <v>29</v>
      </c>
      <c r="G10" s="8">
        <f t="shared" si="0"/>
        <v>0</v>
      </c>
      <c r="H10" s="8">
        <f t="shared" si="0"/>
        <v>0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7FC75-A57C-4E19-B2EB-22359CE1ADBD}">
  <dimension ref="A1:J256"/>
  <sheetViews>
    <sheetView workbookViewId="0">
      <selection activeCell="O2" sqref="O2"/>
    </sheetView>
  </sheetViews>
  <sheetFormatPr defaultRowHeight="13.8" x14ac:dyDescent="0.3"/>
  <sheetData>
    <row r="1" spans="1:10" ht="43.2" x14ac:dyDescent="0.3">
      <c r="A1" s="9" t="s">
        <v>31</v>
      </c>
      <c r="B1" s="10" t="s">
        <v>16</v>
      </c>
      <c r="C1" s="10" t="s">
        <v>32</v>
      </c>
      <c r="D1" s="10" t="s">
        <v>33</v>
      </c>
      <c r="E1" s="10" t="s">
        <v>34</v>
      </c>
      <c r="F1" s="10" t="s">
        <v>35</v>
      </c>
      <c r="G1" s="10" t="s">
        <v>36</v>
      </c>
      <c r="H1" s="10" t="s">
        <v>37</v>
      </c>
      <c r="I1" s="10" t="s">
        <v>38</v>
      </c>
      <c r="J1" s="11" t="s">
        <v>39</v>
      </c>
    </row>
    <row r="2" spans="1:10" ht="151.80000000000001" x14ac:dyDescent="0.3">
      <c r="A2" s="12" t="s">
        <v>40</v>
      </c>
      <c r="B2" s="13" t="s">
        <v>24</v>
      </c>
      <c r="C2" s="13" t="s">
        <v>41</v>
      </c>
      <c r="D2" s="13" t="s">
        <v>42</v>
      </c>
      <c r="E2" s="13" t="s">
        <v>43</v>
      </c>
      <c r="F2" s="13" t="s">
        <v>44</v>
      </c>
      <c r="G2" s="13" t="s">
        <v>45</v>
      </c>
      <c r="H2" s="13" t="s">
        <v>46</v>
      </c>
      <c r="I2" s="13" t="s">
        <v>47</v>
      </c>
      <c r="J2" s="14" t="s">
        <v>48</v>
      </c>
    </row>
    <row r="3" spans="1:10" ht="124.2" x14ac:dyDescent="0.3">
      <c r="A3" s="15" t="s">
        <v>49</v>
      </c>
      <c r="B3" s="16" t="s">
        <v>24</v>
      </c>
      <c r="C3" s="16" t="s">
        <v>41</v>
      </c>
      <c r="D3" s="16" t="s">
        <v>42</v>
      </c>
      <c r="E3" s="16" t="s">
        <v>50</v>
      </c>
      <c r="F3" s="16" t="s">
        <v>51</v>
      </c>
      <c r="G3" s="16" t="s">
        <v>52</v>
      </c>
      <c r="H3" s="16" t="s">
        <v>53</v>
      </c>
      <c r="I3" s="16" t="s">
        <v>47</v>
      </c>
      <c r="J3" s="17" t="s">
        <v>48</v>
      </c>
    </row>
    <row r="4" spans="1:10" ht="220.8" x14ac:dyDescent="0.3">
      <c r="A4" s="12" t="s">
        <v>54</v>
      </c>
      <c r="B4" s="13" t="s">
        <v>24</v>
      </c>
      <c r="C4" s="13" t="s">
        <v>41</v>
      </c>
      <c r="D4" s="13" t="s">
        <v>42</v>
      </c>
      <c r="E4" s="13" t="s">
        <v>55</v>
      </c>
      <c r="F4" s="13" t="s">
        <v>56</v>
      </c>
      <c r="G4" s="13" t="s">
        <v>57</v>
      </c>
      <c r="H4" s="13" t="s">
        <v>46</v>
      </c>
      <c r="I4" s="13" t="s">
        <v>58</v>
      </c>
      <c r="J4" s="14" t="s">
        <v>48</v>
      </c>
    </row>
    <row r="5" spans="1:10" ht="151.80000000000001" x14ac:dyDescent="0.3">
      <c r="A5" s="15" t="s">
        <v>59</v>
      </c>
      <c r="B5" s="16" t="s">
        <v>24</v>
      </c>
      <c r="C5" s="16" t="s">
        <v>41</v>
      </c>
      <c r="D5" s="16" t="s">
        <v>42</v>
      </c>
      <c r="E5" s="16" t="s">
        <v>60</v>
      </c>
      <c r="F5" s="16" t="s">
        <v>61</v>
      </c>
      <c r="G5" s="16" t="s">
        <v>57</v>
      </c>
      <c r="H5" s="16" t="s">
        <v>46</v>
      </c>
      <c r="I5" s="16" t="s">
        <v>62</v>
      </c>
      <c r="J5" s="17" t="s">
        <v>48</v>
      </c>
    </row>
    <row r="6" spans="1:10" ht="124.2" x14ac:dyDescent="0.3">
      <c r="A6" s="12" t="s">
        <v>63</v>
      </c>
      <c r="B6" s="13" t="s">
        <v>24</v>
      </c>
      <c r="C6" s="13" t="s">
        <v>41</v>
      </c>
      <c r="D6" s="13" t="s">
        <v>42</v>
      </c>
      <c r="E6" s="13" t="s">
        <v>64</v>
      </c>
      <c r="F6" s="13" t="s">
        <v>65</v>
      </c>
      <c r="G6" s="13" t="s">
        <v>45</v>
      </c>
      <c r="H6" s="13" t="s">
        <v>46</v>
      </c>
      <c r="I6" s="13" t="s">
        <v>66</v>
      </c>
      <c r="J6" s="14" t="s">
        <v>48</v>
      </c>
    </row>
    <row r="7" spans="1:10" ht="207" x14ac:dyDescent="0.3">
      <c r="A7" s="15" t="s">
        <v>67</v>
      </c>
      <c r="B7" s="16" t="s">
        <v>24</v>
      </c>
      <c r="C7" s="16" t="s">
        <v>41</v>
      </c>
      <c r="D7" s="16" t="s">
        <v>42</v>
      </c>
      <c r="E7" s="16" t="s">
        <v>68</v>
      </c>
      <c r="F7" s="16" t="s">
        <v>69</v>
      </c>
      <c r="G7" s="16" t="s">
        <v>45</v>
      </c>
      <c r="H7" s="16" t="s">
        <v>46</v>
      </c>
      <c r="I7" s="16" t="s">
        <v>70</v>
      </c>
      <c r="J7" s="17" t="s">
        <v>48</v>
      </c>
    </row>
    <row r="8" spans="1:10" ht="151.80000000000001" x14ac:dyDescent="0.3">
      <c r="A8" s="12" t="s">
        <v>71</v>
      </c>
      <c r="B8" s="13" t="s">
        <v>24</v>
      </c>
      <c r="C8" s="13" t="s">
        <v>41</v>
      </c>
      <c r="D8" s="13" t="s">
        <v>42</v>
      </c>
      <c r="E8" s="13" t="s">
        <v>72</v>
      </c>
      <c r="F8" s="13" t="s">
        <v>73</v>
      </c>
      <c r="G8" s="13" t="s">
        <v>57</v>
      </c>
      <c r="H8" s="13" t="s">
        <v>46</v>
      </c>
      <c r="I8" s="13" t="s">
        <v>74</v>
      </c>
      <c r="J8" s="14" t="s">
        <v>48</v>
      </c>
    </row>
    <row r="9" spans="1:10" ht="151.80000000000001" x14ac:dyDescent="0.3">
      <c r="A9" s="15" t="s">
        <v>75</v>
      </c>
      <c r="B9" s="16" t="s">
        <v>24</v>
      </c>
      <c r="C9" s="16" t="s">
        <v>41</v>
      </c>
      <c r="D9" s="16" t="s">
        <v>42</v>
      </c>
      <c r="E9" s="16" t="s">
        <v>76</v>
      </c>
      <c r="F9" s="16" t="s">
        <v>77</v>
      </c>
      <c r="G9" s="16" t="s">
        <v>45</v>
      </c>
      <c r="H9" s="16" t="s">
        <v>46</v>
      </c>
      <c r="I9" s="16" t="s">
        <v>78</v>
      </c>
      <c r="J9" s="17" t="s">
        <v>48</v>
      </c>
    </row>
    <row r="10" spans="1:10" ht="179.4" x14ac:dyDescent="0.3">
      <c r="A10" s="12" t="s">
        <v>79</v>
      </c>
      <c r="B10" s="13" t="s">
        <v>24</v>
      </c>
      <c r="C10" s="13" t="s">
        <v>41</v>
      </c>
      <c r="D10" s="13" t="s">
        <v>42</v>
      </c>
      <c r="E10" s="13" t="s">
        <v>80</v>
      </c>
      <c r="F10" s="13" t="s">
        <v>81</v>
      </c>
      <c r="G10" s="13" t="s">
        <v>82</v>
      </c>
      <c r="H10" s="13" t="s">
        <v>53</v>
      </c>
      <c r="I10" s="13" t="s">
        <v>47</v>
      </c>
      <c r="J10" s="14" t="s">
        <v>48</v>
      </c>
    </row>
    <row r="11" spans="1:10" ht="151.80000000000001" x14ac:dyDescent="0.3">
      <c r="A11" s="15" t="s">
        <v>83</v>
      </c>
      <c r="B11" s="16" t="s">
        <v>24</v>
      </c>
      <c r="C11" s="16" t="s">
        <v>41</v>
      </c>
      <c r="D11" s="16" t="s">
        <v>84</v>
      </c>
      <c r="E11" s="16" t="s">
        <v>85</v>
      </c>
      <c r="F11" s="16" t="s">
        <v>44</v>
      </c>
      <c r="G11" s="16" t="s">
        <v>45</v>
      </c>
      <c r="H11" s="16" t="s">
        <v>46</v>
      </c>
      <c r="I11" s="16" t="s">
        <v>86</v>
      </c>
      <c r="J11" s="17" t="s">
        <v>48</v>
      </c>
    </row>
    <row r="12" spans="1:10" ht="124.2" x14ac:dyDescent="0.3">
      <c r="A12" s="12" t="s">
        <v>87</v>
      </c>
      <c r="B12" s="13" t="s">
        <v>24</v>
      </c>
      <c r="C12" s="13" t="s">
        <v>41</v>
      </c>
      <c r="D12" s="13" t="s">
        <v>84</v>
      </c>
      <c r="E12" s="13" t="s">
        <v>88</v>
      </c>
      <c r="F12" s="13" t="s">
        <v>51</v>
      </c>
      <c r="G12" s="13" t="s">
        <v>52</v>
      </c>
      <c r="H12" s="13" t="s">
        <v>53</v>
      </c>
      <c r="I12" s="13" t="s">
        <v>86</v>
      </c>
      <c r="J12" s="14" t="s">
        <v>48</v>
      </c>
    </row>
    <row r="13" spans="1:10" ht="220.8" x14ac:dyDescent="0.3">
      <c r="A13" s="15" t="s">
        <v>89</v>
      </c>
      <c r="B13" s="16" t="s">
        <v>24</v>
      </c>
      <c r="C13" s="16" t="s">
        <v>41</v>
      </c>
      <c r="D13" s="16" t="s">
        <v>84</v>
      </c>
      <c r="E13" s="16" t="s">
        <v>90</v>
      </c>
      <c r="F13" s="16" t="s">
        <v>56</v>
      </c>
      <c r="G13" s="16" t="s">
        <v>57</v>
      </c>
      <c r="H13" s="16" t="s">
        <v>46</v>
      </c>
      <c r="I13" s="16" t="s">
        <v>91</v>
      </c>
      <c r="J13" s="17" t="s">
        <v>48</v>
      </c>
    </row>
    <row r="14" spans="1:10" ht="151.80000000000001" x14ac:dyDescent="0.3">
      <c r="A14" s="12" t="s">
        <v>92</v>
      </c>
      <c r="B14" s="13" t="s">
        <v>24</v>
      </c>
      <c r="C14" s="13" t="s">
        <v>41</v>
      </c>
      <c r="D14" s="13" t="s">
        <v>84</v>
      </c>
      <c r="E14" s="13" t="s">
        <v>93</v>
      </c>
      <c r="F14" s="13" t="s">
        <v>61</v>
      </c>
      <c r="G14" s="13" t="s">
        <v>57</v>
      </c>
      <c r="H14" s="13" t="s">
        <v>46</v>
      </c>
      <c r="I14" s="13" t="s">
        <v>94</v>
      </c>
      <c r="J14" s="14" t="s">
        <v>48</v>
      </c>
    </row>
    <row r="15" spans="1:10" ht="207" x14ac:dyDescent="0.3">
      <c r="A15" s="15" t="s">
        <v>95</v>
      </c>
      <c r="B15" s="16" t="s">
        <v>24</v>
      </c>
      <c r="C15" s="16" t="s">
        <v>41</v>
      </c>
      <c r="D15" s="16" t="s">
        <v>84</v>
      </c>
      <c r="E15" s="16" t="s">
        <v>96</v>
      </c>
      <c r="F15" s="16" t="s">
        <v>69</v>
      </c>
      <c r="G15" s="16" t="s">
        <v>45</v>
      </c>
      <c r="H15" s="16" t="s">
        <v>46</v>
      </c>
      <c r="I15" s="16" t="s">
        <v>97</v>
      </c>
      <c r="J15" s="17" t="s">
        <v>48</v>
      </c>
    </row>
    <row r="16" spans="1:10" ht="138" x14ac:dyDescent="0.3">
      <c r="A16" s="12" t="s">
        <v>98</v>
      </c>
      <c r="B16" s="13" t="s">
        <v>24</v>
      </c>
      <c r="C16" s="13" t="s">
        <v>41</v>
      </c>
      <c r="D16" s="13" t="s">
        <v>84</v>
      </c>
      <c r="E16" s="13" t="s">
        <v>99</v>
      </c>
      <c r="F16" s="13" t="s">
        <v>100</v>
      </c>
      <c r="G16" s="13" t="s">
        <v>45</v>
      </c>
      <c r="H16" s="13" t="s">
        <v>46</v>
      </c>
      <c r="I16" s="13" t="s">
        <v>101</v>
      </c>
      <c r="J16" s="14" t="s">
        <v>48</v>
      </c>
    </row>
    <row r="17" spans="1:10" ht="138" x14ac:dyDescent="0.3">
      <c r="A17" s="15" t="s">
        <v>102</v>
      </c>
      <c r="B17" s="16" t="s">
        <v>24</v>
      </c>
      <c r="C17" s="16" t="s">
        <v>41</v>
      </c>
      <c r="D17" s="16" t="s">
        <v>84</v>
      </c>
      <c r="E17" s="16" t="s">
        <v>103</v>
      </c>
      <c r="F17" s="16" t="s">
        <v>104</v>
      </c>
      <c r="G17" s="16" t="s">
        <v>57</v>
      </c>
      <c r="H17" s="16" t="s">
        <v>46</v>
      </c>
      <c r="I17" s="16" t="s">
        <v>105</v>
      </c>
      <c r="J17" s="17" t="s">
        <v>48</v>
      </c>
    </row>
    <row r="18" spans="1:10" ht="138" x14ac:dyDescent="0.3">
      <c r="A18" s="12" t="s">
        <v>106</v>
      </c>
      <c r="B18" s="13" t="s">
        <v>24</v>
      </c>
      <c r="C18" s="13" t="s">
        <v>41</v>
      </c>
      <c r="D18" s="13" t="s">
        <v>84</v>
      </c>
      <c r="E18" s="13" t="s">
        <v>107</v>
      </c>
      <c r="F18" s="13" t="s">
        <v>108</v>
      </c>
      <c r="G18" s="13" t="s">
        <v>45</v>
      </c>
      <c r="H18" s="13" t="s">
        <v>46</v>
      </c>
      <c r="I18" s="13" t="s">
        <v>109</v>
      </c>
      <c r="J18" s="14" t="s">
        <v>48</v>
      </c>
    </row>
    <row r="19" spans="1:10" ht="179.4" x14ac:dyDescent="0.3">
      <c r="A19" s="15" t="s">
        <v>110</v>
      </c>
      <c r="B19" s="16" t="s">
        <v>24</v>
      </c>
      <c r="C19" s="16" t="s">
        <v>41</v>
      </c>
      <c r="D19" s="16" t="s">
        <v>84</v>
      </c>
      <c r="E19" s="16" t="s">
        <v>111</v>
      </c>
      <c r="F19" s="16" t="s">
        <v>81</v>
      </c>
      <c r="G19" s="16" t="s">
        <v>82</v>
      </c>
      <c r="H19" s="16" t="s">
        <v>53</v>
      </c>
      <c r="I19" s="16" t="s">
        <v>86</v>
      </c>
      <c r="J19" s="17" t="s">
        <v>48</v>
      </c>
    </row>
    <row r="20" spans="1:10" ht="151.80000000000001" x14ac:dyDescent="0.3">
      <c r="A20" s="12" t="s">
        <v>112</v>
      </c>
      <c r="B20" s="13" t="s">
        <v>24</v>
      </c>
      <c r="C20" s="13" t="s">
        <v>41</v>
      </c>
      <c r="D20" s="13" t="s">
        <v>113</v>
      </c>
      <c r="E20" s="13" t="s">
        <v>114</v>
      </c>
      <c r="F20" s="13" t="s">
        <v>44</v>
      </c>
      <c r="G20" s="13" t="s">
        <v>45</v>
      </c>
      <c r="H20" s="13" t="s">
        <v>46</v>
      </c>
      <c r="I20" s="13" t="s">
        <v>115</v>
      </c>
      <c r="J20" s="14" t="s">
        <v>48</v>
      </c>
    </row>
    <row r="21" spans="1:10" ht="124.2" x14ac:dyDescent="0.3">
      <c r="A21" s="15" t="s">
        <v>116</v>
      </c>
      <c r="B21" s="16" t="s">
        <v>24</v>
      </c>
      <c r="C21" s="16" t="s">
        <v>41</v>
      </c>
      <c r="D21" s="16" t="s">
        <v>113</v>
      </c>
      <c r="E21" s="16" t="s">
        <v>117</v>
      </c>
      <c r="F21" s="16" t="s">
        <v>51</v>
      </c>
      <c r="G21" s="16" t="s">
        <v>52</v>
      </c>
      <c r="H21" s="16" t="s">
        <v>53</v>
      </c>
      <c r="I21" s="16" t="s">
        <v>115</v>
      </c>
      <c r="J21" s="17" t="s">
        <v>48</v>
      </c>
    </row>
    <row r="22" spans="1:10" ht="220.8" x14ac:dyDescent="0.3">
      <c r="A22" s="12" t="s">
        <v>118</v>
      </c>
      <c r="B22" s="13" t="s">
        <v>24</v>
      </c>
      <c r="C22" s="13" t="s">
        <v>41</v>
      </c>
      <c r="D22" s="13" t="s">
        <v>113</v>
      </c>
      <c r="E22" s="13" t="s">
        <v>119</v>
      </c>
      <c r="F22" s="13" t="s">
        <v>56</v>
      </c>
      <c r="G22" s="13" t="s">
        <v>57</v>
      </c>
      <c r="H22" s="13" t="s">
        <v>46</v>
      </c>
      <c r="I22" s="13" t="s">
        <v>120</v>
      </c>
      <c r="J22" s="14" t="s">
        <v>48</v>
      </c>
    </row>
    <row r="23" spans="1:10" ht="151.80000000000001" x14ac:dyDescent="0.3">
      <c r="A23" s="15" t="s">
        <v>121</v>
      </c>
      <c r="B23" s="16" t="s">
        <v>24</v>
      </c>
      <c r="C23" s="16" t="s">
        <v>41</v>
      </c>
      <c r="D23" s="16" t="s">
        <v>113</v>
      </c>
      <c r="E23" s="16" t="s">
        <v>122</v>
      </c>
      <c r="F23" s="16" t="s">
        <v>61</v>
      </c>
      <c r="G23" s="16" t="s">
        <v>57</v>
      </c>
      <c r="H23" s="16" t="s">
        <v>46</v>
      </c>
      <c r="I23" s="16" t="s">
        <v>123</v>
      </c>
      <c r="J23" s="17" t="s">
        <v>48</v>
      </c>
    </row>
    <row r="24" spans="1:10" ht="207" x14ac:dyDescent="0.3">
      <c r="A24" s="12" t="s">
        <v>124</v>
      </c>
      <c r="B24" s="13" t="s">
        <v>24</v>
      </c>
      <c r="C24" s="13" t="s">
        <v>41</v>
      </c>
      <c r="D24" s="13" t="s">
        <v>113</v>
      </c>
      <c r="E24" s="13" t="s">
        <v>125</v>
      </c>
      <c r="F24" s="13" t="s">
        <v>69</v>
      </c>
      <c r="G24" s="13" t="s">
        <v>45</v>
      </c>
      <c r="H24" s="13" t="s">
        <v>46</v>
      </c>
      <c r="I24" s="13" t="s">
        <v>126</v>
      </c>
      <c r="J24" s="14" t="s">
        <v>48</v>
      </c>
    </row>
    <row r="25" spans="1:10" ht="124.2" x14ac:dyDescent="0.3">
      <c r="A25" s="15" t="s">
        <v>127</v>
      </c>
      <c r="B25" s="16" t="s">
        <v>24</v>
      </c>
      <c r="C25" s="16" t="s">
        <v>41</v>
      </c>
      <c r="D25" s="16" t="s">
        <v>113</v>
      </c>
      <c r="E25" s="16" t="s">
        <v>128</v>
      </c>
      <c r="F25" s="16" t="s">
        <v>129</v>
      </c>
      <c r="G25" s="16" t="s">
        <v>45</v>
      </c>
      <c r="H25" s="16" t="s">
        <v>46</v>
      </c>
      <c r="I25" s="16" t="s">
        <v>130</v>
      </c>
      <c r="J25" s="17" t="s">
        <v>48</v>
      </c>
    </row>
    <row r="26" spans="1:10" ht="179.4" x14ac:dyDescent="0.3">
      <c r="A26" s="12" t="s">
        <v>131</v>
      </c>
      <c r="B26" s="13" t="s">
        <v>24</v>
      </c>
      <c r="C26" s="13" t="s">
        <v>41</v>
      </c>
      <c r="D26" s="13" t="s">
        <v>113</v>
      </c>
      <c r="E26" s="13" t="s">
        <v>132</v>
      </c>
      <c r="F26" s="13" t="s">
        <v>81</v>
      </c>
      <c r="G26" s="13" t="s">
        <v>82</v>
      </c>
      <c r="H26" s="13" t="s">
        <v>53</v>
      </c>
      <c r="I26" s="13" t="s">
        <v>115</v>
      </c>
      <c r="J26" s="14" t="s">
        <v>48</v>
      </c>
    </row>
    <row r="27" spans="1:10" ht="151.80000000000001" x14ac:dyDescent="0.3">
      <c r="A27" s="15" t="s">
        <v>133</v>
      </c>
      <c r="B27" s="16" t="s">
        <v>24</v>
      </c>
      <c r="C27" s="16" t="s">
        <v>41</v>
      </c>
      <c r="D27" s="16" t="s">
        <v>134</v>
      </c>
      <c r="E27" s="16" t="s">
        <v>135</v>
      </c>
      <c r="F27" s="16" t="s">
        <v>44</v>
      </c>
      <c r="G27" s="16" t="s">
        <v>45</v>
      </c>
      <c r="H27" s="16" t="s">
        <v>46</v>
      </c>
      <c r="I27" s="16" t="s">
        <v>136</v>
      </c>
      <c r="J27" s="17" t="s">
        <v>48</v>
      </c>
    </row>
    <row r="28" spans="1:10" ht="124.2" x14ac:dyDescent="0.3">
      <c r="A28" s="12" t="s">
        <v>137</v>
      </c>
      <c r="B28" s="13" t="s">
        <v>24</v>
      </c>
      <c r="C28" s="13" t="s">
        <v>41</v>
      </c>
      <c r="D28" s="13" t="s">
        <v>134</v>
      </c>
      <c r="E28" s="13" t="s">
        <v>138</v>
      </c>
      <c r="F28" s="13" t="s">
        <v>51</v>
      </c>
      <c r="G28" s="13" t="s">
        <v>52</v>
      </c>
      <c r="H28" s="13" t="s">
        <v>53</v>
      </c>
      <c r="I28" s="13" t="s">
        <v>136</v>
      </c>
      <c r="J28" s="14" t="s">
        <v>48</v>
      </c>
    </row>
    <row r="29" spans="1:10" ht="220.8" x14ac:dyDescent="0.3">
      <c r="A29" s="15" t="s">
        <v>139</v>
      </c>
      <c r="B29" s="16" t="s">
        <v>24</v>
      </c>
      <c r="C29" s="16" t="s">
        <v>41</v>
      </c>
      <c r="D29" s="16" t="s">
        <v>134</v>
      </c>
      <c r="E29" s="16" t="s">
        <v>140</v>
      </c>
      <c r="F29" s="16" t="s">
        <v>56</v>
      </c>
      <c r="G29" s="16" t="s">
        <v>57</v>
      </c>
      <c r="H29" s="16" t="s">
        <v>46</v>
      </c>
      <c r="I29" s="16" t="s">
        <v>141</v>
      </c>
      <c r="J29" s="17" t="s">
        <v>48</v>
      </c>
    </row>
    <row r="30" spans="1:10" ht="151.80000000000001" x14ac:dyDescent="0.3">
      <c r="A30" s="12" t="s">
        <v>142</v>
      </c>
      <c r="B30" s="13" t="s">
        <v>24</v>
      </c>
      <c r="C30" s="13" t="s">
        <v>41</v>
      </c>
      <c r="D30" s="13" t="s">
        <v>134</v>
      </c>
      <c r="E30" s="13" t="s">
        <v>143</v>
      </c>
      <c r="F30" s="13" t="s">
        <v>61</v>
      </c>
      <c r="G30" s="13" t="s">
        <v>57</v>
      </c>
      <c r="H30" s="13" t="s">
        <v>46</v>
      </c>
      <c r="I30" s="13" t="s">
        <v>144</v>
      </c>
      <c r="J30" s="14" t="s">
        <v>48</v>
      </c>
    </row>
    <row r="31" spans="1:10" ht="207" x14ac:dyDescent="0.3">
      <c r="A31" s="15" t="s">
        <v>145</v>
      </c>
      <c r="B31" s="16" t="s">
        <v>24</v>
      </c>
      <c r="C31" s="16" t="s">
        <v>41</v>
      </c>
      <c r="D31" s="16" t="s">
        <v>134</v>
      </c>
      <c r="E31" s="16" t="s">
        <v>146</v>
      </c>
      <c r="F31" s="16" t="s">
        <v>69</v>
      </c>
      <c r="G31" s="16" t="s">
        <v>45</v>
      </c>
      <c r="H31" s="16" t="s">
        <v>46</v>
      </c>
      <c r="I31" s="16" t="s">
        <v>147</v>
      </c>
      <c r="J31" s="17" t="s">
        <v>48</v>
      </c>
    </row>
    <row r="32" spans="1:10" ht="124.2" x14ac:dyDescent="0.3">
      <c r="A32" s="12" t="s">
        <v>148</v>
      </c>
      <c r="B32" s="13" t="s">
        <v>24</v>
      </c>
      <c r="C32" s="13" t="s">
        <v>41</v>
      </c>
      <c r="D32" s="13" t="s">
        <v>134</v>
      </c>
      <c r="E32" s="13" t="s">
        <v>149</v>
      </c>
      <c r="F32" s="13" t="s">
        <v>150</v>
      </c>
      <c r="G32" s="13" t="s">
        <v>45</v>
      </c>
      <c r="H32" s="13" t="s">
        <v>46</v>
      </c>
      <c r="I32" s="13" t="s">
        <v>151</v>
      </c>
      <c r="J32" s="14" t="s">
        <v>48</v>
      </c>
    </row>
    <row r="33" spans="1:10" ht="179.4" x14ac:dyDescent="0.3">
      <c r="A33" s="15" t="s">
        <v>152</v>
      </c>
      <c r="B33" s="16" t="s">
        <v>24</v>
      </c>
      <c r="C33" s="16" t="s">
        <v>41</v>
      </c>
      <c r="D33" s="16" t="s">
        <v>134</v>
      </c>
      <c r="E33" s="16" t="s">
        <v>153</v>
      </c>
      <c r="F33" s="16" t="s">
        <v>81</v>
      </c>
      <c r="G33" s="16" t="s">
        <v>82</v>
      </c>
      <c r="H33" s="16" t="s">
        <v>53</v>
      </c>
      <c r="I33" s="16" t="s">
        <v>136</v>
      </c>
      <c r="J33" s="17" t="s">
        <v>48</v>
      </c>
    </row>
    <row r="34" spans="1:10" ht="151.80000000000001" x14ac:dyDescent="0.3">
      <c r="A34" s="12" t="s">
        <v>154</v>
      </c>
      <c r="B34" s="13" t="s">
        <v>24</v>
      </c>
      <c r="C34" s="13" t="s">
        <v>41</v>
      </c>
      <c r="D34" s="13" t="s">
        <v>155</v>
      </c>
      <c r="E34" s="13" t="s">
        <v>156</v>
      </c>
      <c r="F34" s="13" t="s">
        <v>44</v>
      </c>
      <c r="G34" s="13" t="s">
        <v>45</v>
      </c>
      <c r="H34" s="13" t="s">
        <v>46</v>
      </c>
      <c r="I34" s="13" t="s">
        <v>157</v>
      </c>
      <c r="J34" s="14" t="s">
        <v>48</v>
      </c>
    </row>
    <row r="35" spans="1:10" ht="124.2" x14ac:dyDescent="0.3">
      <c r="A35" s="15" t="s">
        <v>158</v>
      </c>
      <c r="B35" s="16" t="s">
        <v>24</v>
      </c>
      <c r="C35" s="16" t="s">
        <v>41</v>
      </c>
      <c r="D35" s="16" t="s">
        <v>155</v>
      </c>
      <c r="E35" s="16" t="s">
        <v>159</v>
      </c>
      <c r="F35" s="16" t="s">
        <v>51</v>
      </c>
      <c r="G35" s="16" t="s">
        <v>52</v>
      </c>
      <c r="H35" s="16" t="s">
        <v>53</v>
      </c>
      <c r="I35" s="16" t="s">
        <v>157</v>
      </c>
      <c r="J35" s="17" t="s">
        <v>48</v>
      </c>
    </row>
    <row r="36" spans="1:10" ht="220.8" x14ac:dyDescent="0.3">
      <c r="A36" s="12" t="s">
        <v>160</v>
      </c>
      <c r="B36" s="13" t="s">
        <v>24</v>
      </c>
      <c r="C36" s="13" t="s">
        <v>41</v>
      </c>
      <c r="D36" s="13" t="s">
        <v>155</v>
      </c>
      <c r="E36" s="13" t="s">
        <v>161</v>
      </c>
      <c r="F36" s="13" t="s">
        <v>56</v>
      </c>
      <c r="G36" s="13" t="s">
        <v>57</v>
      </c>
      <c r="H36" s="13" t="s">
        <v>46</v>
      </c>
      <c r="I36" s="13" t="s">
        <v>162</v>
      </c>
      <c r="J36" s="14" t="s">
        <v>48</v>
      </c>
    </row>
    <row r="37" spans="1:10" ht="151.80000000000001" x14ac:dyDescent="0.3">
      <c r="A37" s="15" t="s">
        <v>163</v>
      </c>
      <c r="B37" s="16" t="s">
        <v>24</v>
      </c>
      <c r="C37" s="16" t="s">
        <v>41</v>
      </c>
      <c r="D37" s="16" t="s">
        <v>155</v>
      </c>
      <c r="E37" s="16" t="s">
        <v>164</v>
      </c>
      <c r="F37" s="16" t="s">
        <v>61</v>
      </c>
      <c r="G37" s="16" t="s">
        <v>57</v>
      </c>
      <c r="H37" s="16" t="s">
        <v>46</v>
      </c>
      <c r="I37" s="16" t="s">
        <v>165</v>
      </c>
      <c r="J37" s="17" t="s">
        <v>48</v>
      </c>
    </row>
    <row r="38" spans="1:10" ht="207" x14ac:dyDescent="0.3">
      <c r="A38" s="12" t="s">
        <v>166</v>
      </c>
      <c r="B38" s="13" t="s">
        <v>24</v>
      </c>
      <c r="C38" s="13" t="s">
        <v>41</v>
      </c>
      <c r="D38" s="13" t="s">
        <v>155</v>
      </c>
      <c r="E38" s="13" t="s">
        <v>167</v>
      </c>
      <c r="F38" s="13" t="s">
        <v>69</v>
      </c>
      <c r="G38" s="13" t="s">
        <v>45</v>
      </c>
      <c r="H38" s="13" t="s">
        <v>46</v>
      </c>
      <c r="I38" s="13" t="s">
        <v>168</v>
      </c>
      <c r="J38" s="14" t="s">
        <v>48</v>
      </c>
    </row>
    <row r="39" spans="1:10" ht="124.2" x14ac:dyDescent="0.3">
      <c r="A39" s="15" t="s">
        <v>169</v>
      </c>
      <c r="B39" s="16" t="s">
        <v>24</v>
      </c>
      <c r="C39" s="16" t="s">
        <v>41</v>
      </c>
      <c r="D39" s="16" t="s">
        <v>155</v>
      </c>
      <c r="E39" s="16" t="s">
        <v>170</v>
      </c>
      <c r="F39" s="16" t="s">
        <v>171</v>
      </c>
      <c r="G39" s="16" t="s">
        <v>45</v>
      </c>
      <c r="H39" s="16" t="s">
        <v>46</v>
      </c>
      <c r="I39" s="16" t="s">
        <v>172</v>
      </c>
      <c r="J39" s="17" t="s">
        <v>48</v>
      </c>
    </row>
    <row r="40" spans="1:10" ht="179.4" x14ac:dyDescent="0.3">
      <c r="A40" s="12" t="s">
        <v>173</v>
      </c>
      <c r="B40" s="13" t="s">
        <v>24</v>
      </c>
      <c r="C40" s="13" t="s">
        <v>41</v>
      </c>
      <c r="D40" s="13" t="s">
        <v>155</v>
      </c>
      <c r="E40" s="13" t="s">
        <v>174</v>
      </c>
      <c r="F40" s="13" t="s">
        <v>81</v>
      </c>
      <c r="G40" s="13" t="s">
        <v>82</v>
      </c>
      <c r="H40" s="13" t="s">
        <v>53</v>
      </c>
      <c r="I40" s="13" t="s">
        <v>157</v>
      </c>
      <c r="J40" s="14" t="s">
        <v>48</v>
      </c>
    </row>
    <row r="41" spans="1:10" ht="151.80000000000001" x14ac:dyDescent="0.3">
      <c r="A41" s="15" t="s">
        <v>175</v>
      </c>
      <c r="B41" s="16" t="s">
        <v>24</v>
      </c>
      <c r="C41" s="16" t="s">
        <v>41</v>
      </c>
      <c r="D41" s="16" t="s">
        <v>176</v>
      </c>
      <c r="E41" s="16" t="s">
        <v>177</v>
      </c>
      <c r="F41" s="16" t="s">
        <v>44</v>
      </c>
      <c r="G41" s="16" t="s">
        <v>45</v>
      </c>
      <c r="H41" s="16" t="s">
        <v>46</v>
      </c>
      <c r="I41" s="16" t="s">
        <v>178</v>
      </c>
      <c r="J41" s="17" t="s">
        <v>48</v>
      </c>
    </row>
    <row r="42" spans="1:10" ht="124.2" x14ac:dyDescent="0.3">
      <c r="A42" s="12" t="s">
        <v>179</v>
      </c>
      <c r="B42" s="13" t="s">
        <v>24</v>
      </c>
      <c r="C42" s="13" t="s">
        <v>41</v>
      </c>
      <c r="D42" s="13" t="s">
        <v>176</v>
      </c>
      <c r="E42" s="13" t="s">
        <v>180</v>
      </c>
      <c r="F42" s="13" t="s">
        <v>51</v>
      </c>
      <c r="G42" s="13" t="s">
        <v>52</v>
      </c>
      <c r="H42" s="13" t="s">
        <v>53</v>
      </c>
      <c r="I42" s="13" t="s">
        <v>178</v>
      </c>
      <c r="J42" s="14" t="s">
        <v>48</v>
      </c>
    </row>
    <row r="43" spans="1:10" ht="220.8" x14ac:dyDescent="0.3">
      <c r="A43" s="15" t="s">
        <v>181</v>
      </c>
      <c r="B43" s="16" t="s">
        <v>24</v>
      </c>
      <c r="C43" s="16" t="s">
        <v>41</v>
      </c>
      <c r="D43" s="16" t="s">
        <v>176</v>
      </c>
      <c r="E43" s="16" t="s">
        <v>182</v>
      </c>
      <c r="F43" s="16" t="s">
        <v>56</v>
      </c>
      <c r="G43" s="16" t="s">
        <v>57</v>
      </c>
      <c r="H43" s="16" t="s">
        <v>46</v>
      </c>
      <c r="I43" s="16" t="s">
        <v>183</v>
      </c>
      <c r="J43" s="17" t="s">
        <v>48</v>
      </c>
    </row>
    <row r="44" spans="1:10" ht="151.80000000000001" x14ac:dyDescent="0.3">
      <c r="A44" s="12" t="s">
        <v>184</v>
      </c>
      <c r="B44" s="13" t="s">
        <v>24</v>
      </c>
      <c r="C44" s="13" t="s">
        <v>41</v>
      </c>
      <c r="D44" s="13" t="s">
        <v>176</v>
      </c>
      <c r="E44" s="13" t="s">
        <v>185</v>
      </c>
      <c r="F44" s="13" t="s">
        <v>61</v>
      </c>
      <c r="G44" s="13" t="s">
        <v>57</v>
      </c>
      <c r="H44" s="13" t="s">
        <v>46</v>
      </c>
      <c r="I44" s="13" t="s">
        <v>186</v>
      </c>
      <c r="J44" s="14" t="s">
        <v>48</v>
      </c>
    </row>
    <row r="45" spans="1:10" ht="207" x14ac:dyDescent="0.3">
      <c r="A45" s="15" t="s">
        <v>187</v>
      </c>
      <c r="B45" s="16" t="s">
        <v>24</v>
      </c>
      <c r="C45" s="16" t="s">
        <v>41</v>
      </c>
      <c r="D45" s="16" t="s">
        <v>176</v>
      </c>
      <c r="E45" s="16" t="s">
        <v>188</v>
      </c>
      <c r="F45" s="16" t="s">
        <v>69</v>
      </c>
      <c r="G45" s="16" t="s">
        <v>45</v>
      </c>
      <c r="H45" s="16" t="s">
        <v>46</v>
      </c>
      <c r="I45" s="16" t="s">
        <v>189</v>
      </c>
      <c r="J45" s="17" t="s">
        <v>48</v>
      </c>
    </row>
    <row r="46" spans="1:10" ht="138" x14ac:dyDescent="0.3">
      <c r="A46" s="12" t="s">
        <v>190</v>
      </c>
      <c r="B46" s="13" t="s">
        <v>24</v>
      </c>
      <c r="C46" s="13" t="s">
        <v>41</v>
      </c>
      <c r="D46" s="13" t="s">
        <v>176</v>
      </c>
      <c r="E46" s="13" t="s">
        <v>191</v>
      </c>
      <c r="F46" s="13" t="s">
        <v>192</v>
      </c>
      <c r="G46" s="13" t="s">
        <v>45</v>
      </c>
      <c r="H46" s="13" t="s">
        <v>46</v>
      </c>
      <c r="I46" s="13" t="s">
        <v>193</v>
      </c>
      <c r="J46" s="14" t="s">
        <v>48</v>
      </c>
    </row>
    <row r="47" spans="1:10" ht="179.4" x14ac:dyDescent="0.3">
      <c r="A47" s="15" t="s">
        <v>194</v>
      </c>
      <c r="B47" s="16" t="s">
        <v>24</v>
      </c>
      <c r="C47" s="16" t="s">
        <v>41</v>
      </c>
      <c r="D47" s="16" t="s">
        <v>176</v>
      </c>
      <c r="E47" s="16" t="s">
        <v>195</v>
      </c>
      <c r="F47" s="16" t="s">
        <v>81</v>
      </c>
      <c r="G47" s="16" t="s">
        <v>82</v>
      </c>
      <c r="H47" s="16" t="s">
        <v>53</v>
      </c>
      <c r="I47" s="16" t="s">
        <v>178</v>
      </c>
      <c r="J47" s="17" t="s">
        <v>48</v>
      </c>
    </row>
    <row r="48" spans="1:10" ht="220.8" x14ac:dyDescent="0.3">
      <c r="A48" s="12" t="s">
        <v>196</v>
      </c>
      <c r="B48" s="13" t="s">
        <v>24</v>
      </c>
      <c r="C48" s="13" t="s">
        <v>197</v>
      </c>
      <c r="D48" s="13" t="s">
        <v>198</v>
      </c>
      <c r="E48" s="13" t="s">
        <v>199</v>
      </c>
      <c r="F48" s="13" t="s">
        <v>200</v>
      </c>
      <c r="G48" s="13" t="s">
        <v>45</v>
      </c>
      <c r="H48" s="13" t="s">
        <v>46</v>
      </c>
      <c r="I48" s="13" t="s">
        <v>201</v>
      </c>
      <c r="J48" s="14" t="s">
        <v>48</v>
      </c>
    </row>
    <row r="49" spans="1:10" ht="193.2" x14ac:dyDescent="0.3">
      <c r="A49" s="15" t="s">
        <v>202</v>
      </c>
      <c r="B49" s="16" t="s">
        <v>24</v>
      </c>
      <c r="C49" s="16" t="s">
        <v>197</v>
      </c>
      <c r="D49" s="16" t="s">
        <v>198</v>
      </c>
      <c r="E49" s="16" t="s">
        <v>203</v>
      </c>
      <c r="F49" s="16" t="s">
        <v>204</v>
      </c>
      <c r="G49" s="16" t="s">
        <v>52</v>
      </c>
      <c r="H49" s="16" t="s">
        <v>53</v>
      </c>
      <c r="I49" s="16" t="s">
        <v>201</v>
      </c>
      <c r="J49" s="17" t="s">
        <v>48</v>
      </c>
    </row>
    <row r="50" spans="1:10" ht="220.8" x14ac:dyDescent="0.3">
      <c r="A50" s="12" t="s">
        <v>205</v>
      </c>
      <c r="B50" s="13" t="s">
        <v>24</v>
      </c>
      <c r="C50" s="13" t="s">
        <v>197</v>
      </c>
      <c r="D50" s="13" t="s">
        <v>198</v>
      </c>
      <c r="E50" s="13" t="s">
        <v>206</v>
      </c>
      <c r="F50" s="13" t="s">
        <v>56</v>
      </c>
      <c r="G50" s="13" t="s">
        <v>57</v>
      </c>
      <c r="H50" s="13" t="s">
        <v>46</v>
      </c>
      <c r="I50" s="13" t="s">
        <v>207</v>
      </c>
      <c r="J50" s="14" t="s">
        <v>48</v>
      </c>
    </row>
    <row r="51" spans="1:10" ht="138" x14ac:dyDescent="0.3">
      <c r="A51" s="15" t="s">
        <v>208</v>
      </c>
      <c r="B51" s="16" t="s">
        <v>24</v>
      </c>
      <c r="C51" s="16" t="s">
        <v>197</v>
      </c>
      <c r="D51" s="16" t="s">
        <v>198</v>
      </c>
      <c r="E51" s="16" t="s">
        <v>209</v>
      </c>
      <c r="F51" s="16" t="s">
        <v>210</v>
      </c>
      <c r="G51" s="16" t="s">
        <v>57</v>
      </c>
      <c r="H51" s="16" t="s">
        <v>46</v>
      </c>
      <c r="I51" s="16" t="s">
        <v>211</v>
      </c>
      <c r="J51" s="17" t="s">
        <v>48</v>
      </c>
    </row>
    <row r="52" spans="1:10" ht="220.8" x14ac:dyDescent="0.3">
      <c r="A52" s="12" t="s">
        <v>212</v>
      </c>
      <c r="B52" s="13" t="s">
        <v>24</v>
      </c>
      <c r="C52" s="13" t="s">
        <v>197</v>
      </c>
      <c r="D52" s="13" t="s">
        <v>198</v>
      </c>
      <c r="E52" s="13" t="s">
        <v>213</v>
      </c>
      <c r="F52" s="13" t="s">
        <v>214</v>
      </c>
      <c r="G52" s="13" t="s">
        <v>57</v>
      </c>
      <c r="H52" s="13" t="s">
        <v>46</v>
      </c>
      <c r="I52" s="13" t="s">
        <v>215</v>
      </c>
      <c r="J52" s="14" t="s">
        <v>48</v>
      </c>
    </row>
    <row r="53" spans="1:10" ht="234.6" x14ac:dyDescent="0.3">
      <c r="A53" s="15" t="s">
        <v>216</v>
      </c>
      <c r="B53" s="16" t="s">
        <v>24</v>
      </c>
      <c r="C53" s="16" t="s">
        <v>197</v>
      </c>
      <c r="D53" s="16" t="s">
        <v>198</v>
      </c>
      <c r="E53" s="16" t="s">
        <v>217</v>
      </c>
      <c r="F53" s="16" t="s">
        <v>218</v>
      </c>
      <c r="G53" s="16" t="s">
        <v>45</v>
      </c>
      <c r="H53" s="16" t="s">
        <v>53</v>
      </c>
      <c r="I53" s="16" t="s">
        <v>219</v>
      </c>
      <c r="J53" s="17" t="s">
        <v>48</v>
      </c>
    </row>
    <row r="54" spans="1:10" ht="138" x14ac:dyDescent="0.3">
      <c r="A54" s="12" t="s">
        <v>220</v>
      </c>
      <c r="B54" s="13" t="s">
        <v>24</v>
      </c>
      <c r="C54" s="13" t="s">
        <v>197</v>
      </c>
      <c r="D54" s="13" t="s">
        <v>198</v>
      </c>
      <c r="E54" s="13" t="s">
        <v>221</v>
      </c>
      <c r="F54" s="13" t="s">
        <v>222</v>
      </c>
      <c r="G54" s="13" t="s">
        <v>45</v>
      </c>
      <c r="H54" s="13" t="s">
        <v>46</v>
      </c>
      <c r="I54" s="13" t="s">
        <v>223</v>
      </c>
      <c r="J54" s="14" t="s">
        <v>48</v>
      </c>
    </row>
    <row r="55" spans="1:10" ht="207" x14ac:dyDescent="0.3">
      <c r="A55" s="15" t="s">
        <v>224</v>
      </c>
      <c r="B55" s="16" t="s">
        <v>24</v>
      </c>
      <c r="C55" s="16" t="s">
        <v>197</v>
      </c>
      <c r="D55" s="16" t="s">
        <v>198</v>
      </c>
      <c r="E55" s="16" t="s">
        <v>225</v>
      </c>
      <c r="F55" s="16" t="s">
        <v>226</v>
      </c>
      <c r="G55" s="16" t="s">
        <v>45</v>
      </c>
      <c r="H55" s="16" t="s">
        <v>46</v>
      </c>
      <c r="I55" s="16" t="s">
        <v>227</v>
      </c>
      <c r="J55" s="17" t="s">
        <v>48</v>
      </c>
    </row>
    <row r="56" spans="1:10" ht="179.4" x14ac:dyDescent="0.3">
      <c r="A56" s="12" t="s">
        <v>228</v>
      </c>
      <c r="B56" s="13" t="s">
        <v>24</v>
      </c>
      <c r="C56" s="13" t="s">
        <v>197</v>
      </c>
      <c r="D56" s="13" t="s">
        <v>198</v>
      </c>
      <c r="E56" s="13" t="s">
        <v>229</v>
      </c>
      <c r="F56" s="13" t="s">
        <v>230</v>
      </c>
      <c r="G56" s="13" t="s">
        <v>45</v>
      </c>
      <c r="H56" s="13" t="s">
        <v>46</v>
      </c>
      <c r="I56" s="13" t="s">
        <v>231</v>
      </c>
      <c r="J56" s="14" t="s">
        <v>48</v>
      </c>
    </row>
    <row r="57" spans="1:10" ht="220.8" x14ac:dyDescent="0.3">
      <c r="A57" s="15" t="s">
        <v>232</v>
      </c>
      <c r="B57" s="16" t="s">
        <v>24</v>
      </c>
      <c r="C57" s="16" t="s">
        <v>197</v>
      </c>
      <c r="D57" s="16" t="s">
        <v>198</v>
      </c>
      <c r="E57" s="16" t="s">
        <v>233</v>
      </c>
      <c r="F57" s="16" t="s">
        <v>234</v>
      </c>
      <c r="G57" s="16" t="s">
        <v>45</v>
      </c>
      <c r="H57" s="16" t="s">
        <v>46</v>
      </c>
      <c r="I57" s="16" t="s">
        <v>235</v>
      </c>
      <c r="J57" s="17" t="s">
        <v>48</v>
      </c>
    </row>
    <row r="58" spans="1:10" ht="248.4" x14ac:dyDescent="0.3">
      <c r="A58" s="12" t="s">
        <v>236</v>
      </c>
      <c r="B58" s="13" t="s">
        <v>24</v>
      </c>
      <c r="C58" s="13" t="s">
        <v>197</v>
      </c>
      <c r="D58" s="13" t="s">
        <v>198</v>
      </c>
      <c r="E58" s="13" t="s">
        <v>237</v>
      </c>
      <c r="F58" s="13" t="s">
        <v>238</v>
      </c>
      <c r="G58" s="13" t="s">
        <v>45</v>
      </c>
      <c r="H58" s="13" t="s">
        <v>46</v>
      </c>
      <c r="I58" s="13" t="s">
        <v>239</v>
      </c>
      <c r="J58" s="14" t="s">
        <v>48</v>
      </c>
    </row>
    <row r="59" spans="1:10" ht="124.2" x14ac:dyDescent="0.3">
      <c r="A59" s="15" t="s">
        <v>240</v>
      </c>
      <c r="B59" s="16" t="s">
        <v>24</v>
      </c>
      <c r="C59" s="16" t="s">
        <v>197</v>
      </c>
      <c r="D59" s="16" t="s">
        <v>198</v>
      </c>
      <c r="E59" s="16" t="s">
        <v>241</v>
      </c>
      <c r="F59" s="16" t="s">
        <v>242</v>
      </c>
      <c r="G59" s="16" t="s">
        <v>57</v>
      </c>
      <c r="H59" s="16" t="s">
        <v>46</v>
      </c>
      <c r="I59" s="16" t="s">
        <v>243</v>
      </c>
      <c r="J59" s="17" t="s">
        <v>48</v>
      </c>
    </row>
    <row r="60" spans="1:10" ht="124.2" x14ac:dyDescent="0.3">
      <c r="A60" s="12" t="s">
        <v>244</v>
      </c>
      <c r="B60" s="13" t="s">
        <v>24</v>
      </c>
      <c r="C60" s="13" t="s">
        <v>197</v>
      </c>
      <c r="D60" s="13" t="s">
        <v>198</v>
      </c>
      <c r="E60" s="13" t="s">
        <v>245</v>
      </c>
      <c r="F60" s="13" t="s">
        <v>246</v>
      </c>
      <c r="G60" s="13" t="s">
        <v>45</v>
      </c>
      <c r="H60" s="13" t="s">
        <v>46</v>
      </c>
      <c r="I60" s="13" t="s">
        <v>247</v>
      </c>
      <c r="J60" s="14" t="s">
        <v>48</v>
      </c>
    </row>
    <row r="61" spans="1:10" ht="179.4" x14ac:dyDescent="0.3">
      <c r="A61" s="15" t="s">
        <v>248</v>
      </c>
      <c r="B61" s="16" t="s">
        <v>24</v>
      </c>
      <c r="C61" s="16" t="s">
        <v>197</v>
      </c>
      <c r="D61" s="16" t="s">
        <v>198</v>
      </c>
      <c r="E61" s="16" t="s">
        <v>249</v>
      </c>
      <c r="F61" s="16" t="s">
        <v>250</v>
      </c>
      <c r="G61" s="16" t="s">
        <v>45</v>
      </c>
      <c r="H61" s="16" t="s">
        <v>46</v>
      </c>
      <c r="I61" s="16" t="s">
        <v>251</v>
      </c>
      <c r="J61" s="17" t="s">
        <v>48</v>
      </c>
    </row>
    <row r="62" spans="1:10" ht="207" x14ac:dyDescent="0.3">
      <c r="A62" s="12" t="s">
        <v>252</v>
      </c>
      <c r="B62" s="13" t="s">
        <v>24</v>
      </c>
      <c r="C62" s="13" t="s">
        <v>197</v>
      </c>
      <c r="D62" s="13" t="s">
        <v>198</v>
      </c>
      <c r="E62" s="13" t="s">
        <v>253</v>
      </c>
      <c r="F62" s="13" t="s">
        <v>254</v>
      </c>
      <c r="G62" s="13" t="s">
        <v>45</v>
      </c>
      <c r="H62" s="13" t="s">
        <v>46</v>
      </c>
      <c r="I62" s="13" t="s">
        <v>255</v>
      </c>
      <c r="J62" s="14" t="s">
        <v>48</v>
      </c>
    </row>
    <row r="63" spans="1:10" ht="207" x14ac:dyDescent="0.3">
      <c r="A63" s="15" t="s">
        <v>256</v>
      </c>
      <c r="B63" s="16" t="s">
        <v>24</v>
      </c>
      <c r="C63" s="16" t="s">
        <v>197</v>
      </c>
      <c r="D63" s="16" t="s">
        <v>198</v>
      </c>
      <c r="E63" s="16" t="s">
        <v>257</v>
      </c>
      <c r="F63" s="16" t="s">
        <v>258</v>
      </c>
      <c r="G63" s="16" t="s">
        <v>45</v>
      </c>
      <c r="H63" s="16" t="s">
        <v>46</v>
      </c>
      <c r="I63" s="16" t="s">
        <v>259</v>
      </c>
      <c r="J63" s="17" t="s">
        <v>48</v>
      </c>
    </row>
    <row r="64" spans="1:10" ht="207" x14ac:dyDescent="0.3">
      <c r="A64" s="12" t="s">
        <v>260</v>
      </c>
      <c r="B64" s="13" t="s">
        <v>24</v>
      </c>
      <c r="C64" s="13" t="s">
        <v>197</v>
      </c>
      <c r="D64" s="13" t="s">
        <v>198</v>
      </c>
      <c r="E64" s="13" t="s">
        <v>261</v>
      </c>
      <c r="F64" s="13" t="s">
        <v>262</v>
      </c>
      <c r="G64" s="13" t="s">
        <v>45</v>
      </c>
      <c r="H64" s="13" t="s">
        <v>46</v>
      </c>
      <c r="I64" s="13" t="s">
        <v>263</v>
      </c>
      <c r="J64" s="14" t="s">
        <v>48</v>
      </c>
    </row>
    <row r="65" spans="1:10" ht="207" x14ac:dyDescent="0.3">
      <c r="A65" s="15" t="s">
        <v>264</v>
      </c>
      <c r="B65" s="16" t="s">
        <v>24</v>
      </c>
      <c r="C65" s="16" t="s">
        <v>197</v>
      </c>
      <c r="D65" s="16" t="s">
        <v>198</v>
      </c>
      <c r="E65" s="16" t="s">
        <v>265</v>
      </c>
      <c r="F65" s="16" t="s">
        <v>266</v>
      </c>
      <c r="G65" s="16" t="s">
        <v>45</v>
      </c>
      <c r="H65" s="16" t="s">
        <v>46</v>
      </c>
      <c r="I65" s="16" t="s">
        <v>267</v>
      </c>
      <c r="J65" s="17" t="s">
        <v>48</v>
      </c>
    </row>
    <row r="66" spans="1:10" ht="207" x14ac:dyDescent="0.3">
      <c r="A66" s="12" t="s">
        <v>268</v>
      </c>
      <c r="B66" s="13" t="s">
        <v>24</v>
      </c>
      <c r="C66" s="13" t="s">
        <v>197</v>
      </c>
      <c r="D66" s="13" t="s">
        <v>198</v>
      </c>
      <c r="E66" s="13" t="s">
        <v>269</v>
      </c>
      <c r="F66" s="13" t="s">
        <v>270</v>
      </c>
      <c r="G66" s="13" t="s">
        <v>45</v>
      </c>
      <c r="H66" s="13" t="s">
        <v>46</v>
      </c>
      <c r="I66" s="13" t="s">
        <v>271</v>
      </c>
      <c r="J66" s="14" t="s">
        <v>48</v>
      </c>
    </row>
    <row r="67" spans="1:10" ht="207" x14ac:dyDescent="0.3">
      <c r="A67" s="15" t="s">
        <v>272</v>
      </c>
      <c r="B67" s="16" t="s">
        <v>24</v>
      </c>
      <c r="C67" s="16" t="s">
        <v>197</v>
      </c>
      <c r="D67" s="16" t="s">
        <v>198</v>
      </c>
      <c r="E67" s="16" t="s">
        <v>273</v>
      </c>
      <c r="F67" s="16" t="s">
        <v>274</v>
      </c>
      <c r="G67" s="16" t="s">
        <v>45</v>
      </c>
      <c r="H67" s="16" t="s">
        <v>46</v>
      </c>
      <c r="I67" s="16" t="s">
        <v>275</v>
      </c>
      <c r="J67" s="17" t="s">
        <v>48</v>
      </c>
    </row>
    <row r="68" spans="1:10" ht="207" x14ac:dyDescent="0.3">
      <c r="A68" s="12" t="s">
        <v>276</v>
      </c>
      <c r="B68" s="13" t="s">
        <v>24</v>
      </c>
      <c r="C68" s="13" t="s">
        <v>197</v>
      </c>
      <c r="D68" s="13" t="s">
        <v>198</v>
      </c>
      <c r="E68" s="13" t="s">
        <v>277</v>
      </c>
      <c r="F68" s="13" t="s">
        <v>278</v>
      </c>
      <c r="G68" s="13" t="s">
        <v>45</v>
      </c>
      <c r="H68" s="13" t="s">
        <v>46</v>
      </c>
      <c r="I68" s="13" t="s">
        <v>279</v>
      </c>
      <c r="J68" s="14" t="s">
        <v>48</v>
      </c>
    </row>
    <row r="69" spans="1:10" ht="234.6" x14ac:dyDescent="0.3">
      <c r="A69" s="15" t="s">
        <v>280</v>
      </c>
      <c r="B69" s="16" t="s">
        <v>24</v>
      </c>
      <c r="C69" s="16" t="s">
        <v>197</v>
      </c>
      <c r="D69" s="16" t="s">
        <v>198</v>
      </c>
      <c r="E69" s="16" t="s">
        <v>281</v>
      </c>
      <c r="F69" s="16" t="s">
        <v>282</v>
      </c>
      <c r="G69" s="16" t="s">
        <v>45</v>
      </c>
      <c r="H69" s="16" t="s">
        <v>46</v>
      </c>
      <c r="I69" s="16" t="s">
        <v>283</v>
      </c>
      <c r="J69" s="17" t="s">
        <v>48</v>
      </c>
    </row>
    <row r="70" spans="1:10" ht="234.6" x14ac:dyDescent="0.3">
      <c r="A70" s="12" t="s">
        <v>284</v>
      </c>
      <c r="B70" s="13" t="s">
        <v>24</v>
      </c>
      <c r="C70" s="13" t="s">
        <v>197</v>
      </c>
      <c r="D70" s="13" t="s">
        <v>198</v>
      </c>
      <c r="E70" s="13" t="s">
        <v>285</v>
      </c>
      <c r="F70" s="13" t="s">
        <v>286</v>
      </c>
      <c r="G70" s="13" t="s">
        <v>45</v>
      </c>
      <c r="H70" s="13" t="s">
        <v>46</v>
      </c>
      <c r="I70" s="13" t="s">
        <v>287</v>
      </c>
      <c r="J70" s="14" t="s">
        <v>48</v>
      </c>
    </row>
    <row r="71" spans="1:10" ht="234.6" x14ac:dyDescent="0.3">
      <c r="A71" s="15" t="s">
        <v>288</v>
      </c>
      <c r="B71" s="16" t="s">
        <v>24</v>
      </c>
      <c r="C71" s="16" t="s">
        <v>197</v>
      </c>
      <c r="D71" s="16" t="s">
        <v>198</v>
      </c>
      <c r="E71" s="16" t="s">
        <v>289</v>
      </c>
      <c r="F71" s="16" t="s">
        <v>290</v>
      </c>
      <c r="G71" s="16" t="s">
        <v>45</v>
      </c>
      <c r="H71" s="16" t="s">
        <v>46</v>
      </c>
      <c r="I71" s="16" t="s">
        <v>291</v>
      </c>
      <c r="J71" s="17" t="s">
        <v>48</v>
      </c>
    </row>
    <row r="72" spans="1:10" ht="248.4" x14ac:dyDescent="0.3">
      <c r="A72" s="12" t="s">
        <v>292</v>
      </c>
      <c r="B72" s="13" t="s">
        <v>24</v>
      </c>
      <c r="C72" s="13" t="s">
        <v>197</v>
      </c>
      <c r="D72" s="13" t="s">
        <v>198</v>
      </c>
      <c r="E72" s="13" t="s">
        <v>293</v>
      </c>
      <c r="F72" s="13" t="s">
        <v>294</v>
      </c>
      <c r="G72" s="13" t="s">
        <v>45</v>
      </c>
      <c r="H72" s="13" t="s">
        <v>46</v>
      </c>
      <c r="I72" s="13" t="s">
        <v>295</v>
      </c>
      <c r="J72" s="14" t="s">
        <v>48</v>
      </c>
    </row>
    <row r="73" spans="1:10" ht="220.8" x14ac:dyDescent="0.3">
      <c r="A73" s="15" t="s">
        <v>296</v>
      </c>
      <c r="B73" s="16" t="s">
        <v>24</v>
      </c>
      <c r="C73" s="16" t="s">
        <v>197</v>
      </c>
      <c r="D73" s="16" t="s">
        <v>198</v>
      </c>
      <c r="E73" s="16" t="s">
        <v>297</v>
      </c>
      <c r="F73" s="16" t="s">
        <v>298</v>
      </c>
      <c r="G73" s="16" t="s">
        <v>45</v>
      </c>
      <c r="H73" s="16" t="s">
        <v>53</v>
      </c>
      <c r="I73" s="16" t="s">
        <v>299</v>
      </c>
      <c r="J73" s="17" t="s">
        <v>48</v>
      </c>
    </row>
    <row r="74" spans="1:10" ht="207" x14ac:dyDescent="0.3">
      <c r="A74" s="12" t="s">
        <v>300</v>
      </c>
      <c r="B74" s="13" t="s">
        <v>24</v>
      </c>
      <c r="C74" s="13" t="s">
        <v>197</v>
      </c>
      <c r="D74" s="13" t="s">
        <v>198</v>
      </c>
      <c r="E74" s="13" t="s">
        <v>301</v>
      </c>
      <c r="F74" s="13" t="s">
        <v>302</v>
      </c>
      <c r="G74" s="13" t="s">
        <v>45</v>
      </c>
      <c r="H74" s="13" t="s">
        <v>46</v>
      </c>
      <c r="I74" s="13" t="s">
        <v>303</v>
      </c>
      <c r="J74" s="14" t="s">
        <v>48</v>
      </c>
    </row>
    <row r="75" spans="1:10" ht="207" x14ac:dyDescent="0.3">
      <c r="A75" s="15" t="s">
        <v>304</v>
      </c>
      <c r="B75" s="16" t="s">
        <v>24</v>
      </c>
      <c r="C75" s="16" t="s">
        <v>197</v>
      </c>
      <c r="D75" s="16" t="s">
        <v>198</v>
      </c>
      <c r="E75" s="16" t="s">
        <v>305</v>
      </c>
      <c r="F75" s="16" t="s">
        <v>306</v>
      </c>
      <c r="G75" s="16" t="s">
        <v>45</v>
      </c>
      <c r="H75" s="16" t="s">
        <v>46</v>
      </c>
      <c r="I75" s="16" t="s">
        <v>307</v>
      </c>
      <c r="J75" s="17" t="s">
        <v>48</v>
      </c>
    </row>
    <row r="76" spans="1:10" ht="179.4" x14ac:dyDescent="0.3">
      <c r="A76" s="12" t="s">
        <v>308</v>
      </c>
      <c r="B76" s="13" t="s">
        <v>24</v>
      </c>
      <c r="C76" s="13" t="s">
        <v>197</v>
      </c>
      <c r="D76" s="13" t="s">
        <v>198</v>
      </c>
      <c r="E76" s="13" t="s">
        <v>309</v>
      </c>
      <c r="F76" s="13" t="s">
        <v>310</v>
      </c>
      <c r="G76" s="13" t="s">
        <v>45</v>
      </c>
      <c r="H76" s="13" t="s">
        <v>46</v>
      </c>
      <c r="I76" s="13" t="s">
        <v>311</v>
      </c>
      <c r="J76" s="14" t="s">
        <v>48</v>
      </c>
    </row>
    <row r="77" spans="1:10" ht="193.2" x14ac:dyDescent="0.3">
      <c r="A77" s="15" t="s">
        <v>312</v>
      </c>
      <c r="B77" s="16" t="s">
        <v>24</v>
      </c>
      <c r="C77" s="16" t="s">
        <v>197</v>
      </c>
      <c r="D77" s="16" t="s">
        <v>198</v>
      </c>
      <c r="E77" s="16" t="s">
        <v>313</v>
      </c>
      <c r="F77" s="16" t="s">
        <v>314</v>
      </c>
      <c r="G77" s="16" t="s">
        <v>45</v>
      </c>
      <c r="H77" s="16" t="s">
        <v>46</v>
      </c>
      <c r="I77" s="16" t="s">
        <v>315</v>
      </c>
      <c r="J77" s="17" t="s">
        <v>48</v>
      </c>
    </row>
    <row r="78" spans="1:10" ht="179.4" x14ac:dyDescent="0.3">
      <c r="A78" s="12" t="s">
        <v>316</v>
      </c>
      <c r="B78" s="13" t="s">
        <v>24</v>
      </c>
      <c r="C78" s="13" t="s">
        <v>197</v>
      </c>
      <c r="D78" s="13" t="s">
        <v>198</v>
      </c>
      <c r="E78" s="13" t="s">
        <v>317</v>
      </c>
      <c r="F78" s="13" t="s">
        <v>318</v>
      </c>
      <c r="G78" s="13" t="s">
        <v>45</v>
      </c>
      <c r="H78" s="13" t="s">
        <v>46</v>
      </c>
      <c r="I78" s="13" t="s">
        <v>319</v>
      </c>
      <c r="J78" s="14" t="s">
        <v>48</v>
      </c>
    </row>
    <row r="79" spans="1:10" ht="193.2" x14ac:dyDescent="0.3">
      <c r="A79" s="15" t="s">
        <v>320</v>
      </c>
      <c r="B79" s="16" t="s">
        <v>24</v>
      </c>
      <c r="C79" s="16" t="s">
        <v>197</v>
      </c>
      <c r="D79" s="16" t="s">
        <v>198</v>
      </c>
      <c r="E79" s="16" t="s">
        <v>321</v>
      </c>
      <c r="F79" s="16" t="s">
        <v>322</v>
      </c>
      <c r="G79" s="16" t="s">
        <v>45</v>
      </c>
      <c r="H79" s="16" t="s">
        <v>46</v>
      </c>
      <c r="I79" s="16" t="s">
        <v>323</v>
      </c>
      <c r="J79" s="17" t="s">
        <v>48</v>
      </c>
    </row>
    <row r="80" spans="1:10" ht="207" x14ac:dyDescent="0.3">
      <c r="A80" s="12" t="s">
        <v>324</v>
      </c>
      <c r="B80" s="13" t="s">
        <v>24</v>
      </c>
      <c r="C80" s="13" t="s">
        <v>197</v>
      </c>
      <c r="D80" s="13" t="s">
        <v>198</v>
      </c>
      <c r="E80" s="13" t="s">
        <v>325</v>
      </c>
      <c r="F80" s="13" t="s">
        <v>326</v>
      </c>
      <c r="G80" s="13" t="s">
        <v>45</v>
      </c>
      <c r="H80" s="13" t="s">
        <v>53</v>
      </c>
      <c r="I80" s="13" t="s">
        <v>327</v>
      </c>
      <c r="J80" s="14" t="s">
        <v>48</v>
      </c>
    </row>
    <row r="81" spans="1:10" ht="207" x14ac:dyDescent="0.3">
      <c r="A81" s="15" t="s">
        <v>328</v>
      </c>
      <c r="B81" s="16" t="s">
        <v>24</v>
      </c>
      <c r="C81" s="16" t="s">
        <v>197</v>
      </c>
      <c r="D81" s="16" t="s">
        <v>198</v>
      </c>
      <c r="E81" s="16" t="s">
        <v>329</v>
      </c>
      <c r="F81" s="16" t="s">
        <v>330</v>
      </c>
      <c r="G81" s="16" t="s">
        <v>45</v>
      </c>
      <c r="H81" s="16" t="s">
        <v>53</v>
      </c>
      <c r="I81" s="16" t="s">
        <v>331</v>
      </c>
      <c r="J81" s="17" t="s">
        <v>48</v>
      </c>
    </row>
    <row r="82" spans="1:10" ht="207" x14ac:dyDescent="0.3">
      <c r="A82" s="12" t="s">
        <v>332</v>
      </c>
      <c r="B82" s="13" t="s">
        <v>24</v>
      </c>
      <c r="C82" s="13" t="s">
        <v>197</v>
      </c>
      <c r="D82" s="13" t="s">
        <v>198</v>
      </c>
      <c r="E82" s="13" t="s">
        <v>333</v>
      </c>
      <c r="F82" s="13" t="s">
        <v>334</v>
      </c>
      <c r="G82" s="13" t="s">
        <v>45</v>
      </c>
      <c r="H82" s="13" t="s">
        <v>53</v>
      </c>
      <c r="I82" s="13" t="s">
        <v>335</v>
      </c>
      <c r="J82" s="14" t="s">
        <v>48</v>
      </c>
    </row>
    <row r="83" spans="1:10" ht="248.4" x14ac:dyDescent="0.3">
      <c r="A83" s="15" t="s">
        <v>336</v>
      </c>
      <c r="B83" s="16" t="s">
        <v>24</v>
      </c>
      <c r="C83" s="16" t="s">
        <v>197</v>
      </c>
      <c r="D83" s="16" t="s">
        <v>198</v>
      </c>
      <c r="E83" s="16" t="s">
        <v>337</v>
      </c>
      <c r="F83" s="16" t="s">
        <v>338</v>
      </c>
      <c r="G83" s="16" t="s">
        <v>339</v>
      </c>
      <c r="H83" s="16" t="s">
        <v>53</v>
      </c>
      <c r="I83" s="16" t="s">
        <v>340</v>
      </c>
      <c r="J83" s="17" t="s">
        <v>48</v>
      </c>
    </row>
    <row r="84" spans="1:10" ht="220.8" x14ac:dyDescent="0.3">
      <c r="A84" s="12" t="s">
        <v>341</v>
      </c>
      <c r="B84" s="13" t="s">
        <v>24</v>
      </c>
      <c r="C84" s="13" t="s">
        <v>197</v>
      </c>
      <c r="D84" s="13" t="s">
        <v>198</v>
      </c>
      <c r="E84" s="13" t="s">
        <v>342</v>
      </c>
      <c r="F84" s="13" t="s">
        <v>343</v>
      </c>
      <c r="G84" s="13" t="s">
        <v>45</v>
      </c>
      <c r="H84" s="13" t="s">
        <v>53</v>
      </c>
      <c r="I84" s="13" t="s">
        <v>344</v>
      </c>
      <c r="J84" s="14" t="s">
        <v>48</v>
      </c>
    </row>
    <row r="85" spans="1:10" ht="220.8" x14ac:dyDescent="0.3">
      <c r="A85" s="15" t="s">
        <v>345</v>
      </c>
      <c r="B85" s="16" t="s">
        <v>24</v>
      </c>
      <c r="C85" s="16" t="s">
        <v>197</v>
      </c>
      <c r="D85" s="16" t="s">
        <v>198</v>
      </c>
      <c r="E85" s="16" t="s">
        <v>346</v>
      </c>
      <c r="F85" s="16" t="s">
        <v>347</v>
      </c>
      <c r="G85" s="16" t="s">
        <v>45</v>
      </c>
      <c r="H85" s="16" t="s">
        <v>53</v>
      </c>
      <c r="I85" s="16" t="s">
        <v>348</v>
      </c>
      <c r="J85" s="17" t="s">
        <v>48</v>
      </c>
    </row>
    <row r="86" spans="1:10" ht="179.4" x14ac:dyDescent="0.3">
      <c r="A86" s="12" t="s">
        <v>349</v>
      </c>
      <c r="B86" s="13" t="s">
        <v>24</v>
      </c>
      <c r="C86" s="13" t="s">
        <v>197</v>
      </c>
      <c r="D86" s="13" t="s">
        <v>198</v>
      </c>
      <c r="E86" s="13" t="s">
        <v>350</v>
      </c>
      <c r="F86" s="13" t="s">
        <v>351</v>
      </c>
      <c r="G86" s="13" t="s">
        <v>45</v>
      </c>
      <c r="H86" s="13" t="s">
        <v>46</v>
      </c>
      <c r="I86" s="13" t="s">
        <v>352</v>
      </c>
      <c r="J86" s="14" t="s">
        <v>48</v>
      </c>
    </row>
    <row r="87" spans="1:10" ht="193.2" x14ac:dyDescent="0.3">
      <c r="A87" s="15" t="s">
        <v>353</v>
      </c>
      <c r="B87" s="16" t="s">
        <v>24</v>
      </c>
      <c r="C87" s="16" t="s">
        <v>197</v>
      </c>
      <c r="D87" s="16" t="s">
        <v>198</v>
      </c>
      <c r="E87" s="16" t="s">
        <v>354</v>
      </c>
      <c r="F87" s="16" t="s">
        <v>355</v>
      </c>
      <c r="G87" s="16" t="s">
        <v>45</v>
      </c>
      <c r="H87" s="16" t="s">
        <v>46</v>
      </c>
      <c r="I87" s="16" t="s">
        <v>356</v>
      </c>
      <c r="J87" s="17" t="s">
        <v>48</v>
      </c>
    </row>
    <row r="88" spans="1:10" ht="207" x14ac:dyDescent="0.3">
      <c r="A88" s="12" t="s">
        <v>357</v>
      </c>
      <c r="B88" s="13" t="s">
        <v>24</v>
      </c>
      <c r="C88" s="13" t="s">
        <v>197</v>
      </c>
      <c r="D88" s="13" t="s">
        <v>198</v>
      </c>
      <c r="E88" s="13" t="s">
        <v>358</v>
      </c>
      <c r="F88" s="13" t="s">
        <v>359</v>
      </c>
      <c r="G88" s="13" t="s">
        <v>45</v>
      </c>
      <c r="H88" s="13" t="s">
        <v>46</v>
      </c>
      <c r="I88" s="13" t="s">
        <v>360</v>
      </c>
      <c r="J88" s="14" t="s">
        <v>48</v>
      </c>
    </row>
    <row r="89" spans="1:10" ht="165.6" x14ac:dyDescent="0.3">
      <c r="A89" s="15" t="s">
        <v>361</v>
      </c>
      <c r="B89" s="16" t="s">
        <v>24</v>
      </c>
      <c r="C89" s="16" t="s">
        <v>197</v>
      </c>
      <c r="D89" s="16" t="s">
        <v>198</v>
      </c>
      <c r="E89" s="16" t="s">
        <v>362</v>
      </c>
      <c r="F89" s="16" t="s">
        <v>363</v>
      </c>
      <c r="G89" s="16" t="s">
        <v>45</v>
      </c>
      <c r="H89" s="16" t="s">
        <v>46</v>
      </c>
      <c r="I89" s="16" t="s">
        <v>364</v>
      </c>
      <c r="J89" s="17" t="s">
        <v>48</v>
      </c>
    </row>
    <row r="90" spans="1:10" ht="234.6" x14ac:dyDescent="0.3">
      <c r="A90" s="12" t="s">
        <v>365</v>
      </c>
      <c r="B90" s="13" t="s">
        <v>24</v>
      </c>
      <c r="C90" s="13" t="s">
        <v>197</v>
      </c>
      <c r="D90" s="13" t="s">
        <v>198</v>
      </c>
      <c r="E90" s="13" t="s">
        <v>366</v>
      </c>
      <c r="F90" s="13" t="s">
        <v>367</v>
      </c>
      <c r="G90" s="13" t="s">
        <v>45</v>
      </c>
      <c r="H90" s="13" t="s">
        <v>53</v>
      </c>
      <c r="I90" s="13" t="s">
        <v>368</v>
      </c>
      <c r="J90" s="14" t="s">
        <v>48</v>
      </c>
    </row>
    <row r="91" spans="1:10" ht="248.4" x14ac:dyDescent="0.3">
      <c r="A91" s="15" t="s">
        <v>369</v>
      </c>
      <c r="B91" s="16" t="s">
        <v>24</v>
      </c>
      <c r="C91" s="16" t="s">
        <v>197</v>
      </c>
      <c r="D91" s="16" t="s">
        <v>198</v>
      </c>
      <c r="E91" s="16" t="s">
        <v>370</v>
      </c>
      <c r="F91" s="16" t="s">
        <v>371</v>
      </c>
      <c r="G91" s="16" t="s">
        <v>82</v>
      </c>
      <c r="H91" s="16" t="s">
        <v>53</v>
      </c>
      <c r="I91" s="16" t="s">
        <v>201</v>
      </c>
      <c r="J91" s="17" t="s">
        <v>48</v>
      </c>
    </row>
    <row r="92" spans="1:10" ht="220.8" x14ac:dyDescent="0.3">
      <c r="A92" s="12" t="s">
        <v>372</v>
      </c>
      <c r="B92" s="13" t="s">
        <v>24</v>
      </c>
      <c r="C92" s="13" t="s">
        <v>197</v>
      </c>
      <c r="D92" s="13" t="s">
        <v>373</v>
      </c>
      <c r="E92" s="13" t="s">
        <v>374</v>
      </c>
      <c r="F92" s="13" t="s">
        <v>200</v>
      </c>
      <c r="G92" s="13" t="s">
        <v>45</v>
      </c>
      <c r="H92" s="13" t="s">
        <v>46</v>
      </c>
      <c r="I92" s="13" t="s">
        <v>375</v>
      </c>
      <c r="J92" s="14" t="s">
        <v>48</v>
      </c>
    </row>
    <row r="93" spans="1:10" ht="193.2" x14ac:dyDescent="0.3">
      <c r="A93" s="15" t="s">
        <v>376</v>
      </c>
      <c r="B93" s="16" t="s">
        <v>24</v>
      </c>
      <c r="C93" s="16" t="s">
        <v>197</v>
      </c>
      <c r="D93" s="16" t="s">
        <v>373</v>
      </c>
      <c r="E93" s="16" t="s">
        <v>377</v>
      </c>
      <c r="F93" s="16" t="s">
        <v>204</v>
      </c>
      <c r="G93" s="16" t="s">
        <v>52</v>
      </c>
      <c r="H93" s="16" t="s">
        <v>53</v>
      </c>
      <c r="I93" s="16" t="s">
        <v>375</v>
      </c>
      <c r="J93" s="17" t="s">
        <v>48</v>
      </c>
    </row>
    <row r="94" spans="1:10" ht="220.8" x14ac:dyDescent="0.3">
      <c r="A94" s="12" t="s">
        <v>378</v>
      </c>
      <c r="B94" s="13" t="s">
        <v>24</v>
      </c>
      <c r="C94" s="13" t="s">
        <v>197</v>
      </c>
      <c r="D94" s="13" t="s">
        <v>373</v>
      </c>
      <c r="E94" s="13" t="s">
        <v>379</v>
      </c>
      <c r="F94" s="13" t="s">
        <v>56</v>
      </c>
      <c r="G94" s="13" t="s">
        <v>57</v>
      </c>
      <c r="H94" s="13" t="s">
        <v>46</v>
      </c>
      <c r="I94" s="13" t="s">
        <v>380</v>
      </c>
      <c r="J94" s="14" t="s">
        <v>48</v>
      </c>
    </row>
    <row r="95" spans="1:10" ht="138" x14ac:dyDescent="0.3">
      <c r="A95" s="15" t="s">
        <v>381</v>
      </c>
      <c r="B95" s="16" t="s">
        <v>24</v>
      </c>
      <c r="C95" s="16" t="s">
        <v>197</v>
      </c>
      <c r="D95" s="16" t="s">
        <v>373</v>
      </c>
      <c r="E95" s="16" t="s">
        <v>382</v>
      </c>
      <c r="F95" s="16" t="s">
        <v>210</v>
      </c>
      <c r="G95" s="16" t="s">
        <v>57</v>
      </c>
      <c r="H95" s="16" t="s">
        <v>46</v>
      </c>
      <c r="I95" s="16" t="s">
        <v>383</v>
      </c>
      <c r="J95" s="17" t="s">
        <v>48</v>
      </c>
    </row>
    <row r="96" spans="1:10" ht="220.8" x14ac:dyDescent="0.3">
      <c r="A96" s="12" t="s">
        <v>384</v>
      </c>
      <c r="B96" s="13" t="s">
        <v>24</v>
      </c>
      <c r="C96" s="13" t="s">
        <v>197</v>
      </c>
      <c r="D96" s="13" t="s">
        <v>373</v>
      </c>
      <c r="E96" s="13" t="s">
        <v>385</v>
      </c>
      <c r="F96" s="13" t="s">
        <v>214</v>
      </c>
      <c r="G96" s="13" t="s">
        <v>57</v>
      </c>
      <c r="H96" s="13" t="s">
        <v>46</v>
      </c>
      <c r="I96" s="13" t="s">
        <v>386</v>
      </c>
      <c r="J96" s="14" t="s">
        <v>48</v>
      </c>
    </row>
    <row r="97" spans="1:10" ht="207" x14ac:dyDescent="0.3">
      <c r="A97" s="15" t="s">
        <v>387</v>
      </c>
      <c r="B97" s="16" t="s">
        <v>24</v>
      </c>
      <c r="C97" s="16" t="s">
        <v>197</v>
      </c>
      <c r="D97" s="16" t="s">
        <v>373</v>
      </c>
      <c r="E97" s="16" t="s">
        <v>388</v>
      </c>
      <c r="F97" s="16" t="s">
        <v>389</v>
      </c>
      <c r="G97" s="16" t="s">
        <v>45</v>
      </c>
      <c r="H97" s="16" t="s">
        <v>53</v>
      </c>
      <c r="I97" s="16" t="s">
        <v>390</v>
      </c>
      <c r="J97" s="17" t="s">
        <v>48</v>
      </c>
    </row>
    <row r="98" spans="1:10" ht="138" x14ac:dyDescent="0.3">
      <c r="A98" s="12" t="s">
        <v>391</v>
      </c>
      <c r="B98" s="13" t="s">
        <v>24</v>
      </c>
      <c r="C98" s="13" t="s">
        <v>197</v>
      </c>
      <c r="D98" s="13" t="s">
        <v>373</v>
      </c>
      <c r="E98" s="13" t="s">
        <v>392</v>
      </c>
      <c r="F98" s="13" t="s">
        <v>222</v>
      </c>
      <c r="G98" s="13" t="s">
        <v>45</v>
      </c>
      <c r="H98" s="13" t="s">
        <v>46</v>
      </c>
      <c r="I98" s="13" t="s">
        <v>393</v>
      </c>
      <c r="J98" s="14" t="s">
        <v>48</v>
      </c>
    </row>
    <row r="99" spans="1:10" ht="207" x14ac:dyDescent="0.3">
      <c r="A99" s="15" t="s">
        <v>394</v>
      </c>
      <c r="B99" s="16" t="s">
        <v>24</v>
      </c>
      <c r="C99" s="16" t="s">
        <v>197</v>
      </c>
      <c r="D99" s="16" t="s">
        <v>373</v>
      </c>
      <c r="E99" s="16" t="s">
        <v>395</v>
      </c>
      <c r="F99" s="16" t="s">
        <v>226</v>
      </c>
      <c r="G99" s="16" t="s">
        <v>45</v>
      </c>
      <c r="H99" s="16" t="s">
        <v>46</v>
      </c>
      <c r="I99" s="16" t="s">
        <v>396</v>
      </c>
      <c r="J99" s="17" t="s">
        <v>48</v>
      </c>
    </row>
    <row r="100" spans="1:10" ht="179.4" x14ac:dyDescent="0.3">
      <c r="A100" s="12" t="s">
        <v>397</v>
      </c>
      <c r="B100" s="13" t="s">
        <v>24</v>
      </c>
      <c r="C100" s="13" t="s">
        <v>197</v>
      </c>
      <c r="D100" s="13" t="s">
        <v>373</v>
      </c>
      <c r="E100" s="13" t="s">
        <v>398</v>
      </c>
      <c r="F100" s="13" t="s">
        <v>230</v>
      </c>
      <c r="G100" s="13" t="s">
        <v>45</v>
      </c>
      <c r="H100" s="13" t="s">
        <v>46</v>
      </c>
      <c r="I100" s="13" t="s">
        <v>399</v>
      </c>
      <c r="J100" s="14" t="s">
        <v>48</v>
      </c>
    </row>
    <row r="101" spans="1:10" ht="220.8" x14ac:dyDescent="0.3">
      <c r="A101" s="15" t="s">
        <v>400</v>
      </c>
      <c r="B101" s="16" t="s">
        <v>24</v>
      </c>
      <c r="C101" s="16" t="s">
        <v>197</v>
      </c>
      <c r="D101" s="16" t="s">
        <v>373</v>
      </c>
      <c r="E101" s="16" t="s">
        <v>401</v>
      </c>
      <c r="F101" s="16" t="s">
        <v>234</v>
      </c>
      <c r="G101" s="16" t="s">
        <v>45</v>
      </c>
      <c r="H101" s="16" t="s">
        <v>46</v>
      </c>
      <c r="I101" s="16" t="s">
        <v>402</v>
      </c>
      <c r="J101" s="17" t="s">
        <v>48</v>
      </c>
    </row>
    <row r="102" spans="1:10" ht="248.4" x14ac:dyDescent="0.3">
      <c r="A102" s="12" t="s">
        <v>403</v>
      </c>
      <c r="B102" s="13" t="s">
        <v>24</v>
      </c>
      <c r="C102" s="13" t="s">
        <v>197</v>
      </c>
      <c r="D102" s="13" t="s">
        <v>373</v>
      </c>
      <c r="E102" s="13" t="s">
        <v>404</v>
      </c>
      <c r="F102" s="13" t="s">
        <v>238</v>
      </c>
      <c r="G102" s="13" t="s">
        <v>45</v>
      </c>
      <c r="H102" s="13" t="s">
        <v>46</v>
      </c>
      <c r="I102" s="13" t="s">
        <v>405</v>
      </c>
      <c r="J102" s="14" t="s">
        <v>48</v>
      </c>
    </row>
    <row r="103" spans="1:10" ht="124.2" x14ac:dyDescent="0.3">
      <c r="A103" s="15" t="s">
        <v>406</v>
      </c>
      <c r="B103" s="16" t="s">
        <v>24</v>
      </c>
      <c r="C103" s="16" t="s">
        <v>197</v>
      </c>
      <c r="D103" s="16" t="s">
        <v>373</v>
      </c>
      <c r="E103" s="16" t="s">
        <v>407</v>
      </c>
      <c r="F103" s="16" t="s">
        <v>242</v>
      </c>
      <c r="G103" s="16" t="s">
        <v>57</v>
      </c>
      <c r="H103" s="16" t="s">
        <v>46</v>
      </c>
      <c r="I103" s="16" t="s">
        <v>408</v>
      </c>
      <c r="J103" s="17" t="s">
        <v>48</v>
      </c>
    </row>
    <row r="104" spans="1:10" ht="124.2" x14ac:dyDescent="0.3">
      <c r="A104" s="12" t="s">
        <v>409</v>
      </c>
      <c r="B104" s="13" t="s">
        <v>24</v>
      </c>
      <c r="C104" s="13" t="s">
        <v>197</v>
      </c>
      <c r="D104" s="13" t="s">
        <v>373</v>
      </c>
      <c r="E104" s="13" t="s">
        <v>410</v>
      </c>
      <c r="F104" s="13" t="s">
        <v>246</v>
      </c>
      <c r="G104" s="13" t="s">
        <v>45</v>
      </c>
      <c r="H104" s="13" t="s">
        <v>46</v>
      </c>
      <c r="I104" s="13" t="s">
        <v>411</v>
      </c>
      <c r="J104" s="14" t="s">
        <v>48</v>
      </c>
    </row>
    <row r="105" spans="1:10" ht="179.4" x14ac:dyDescent="0.3">
      <c r="A105" s="15" t="s">
        <v>412</v>
      </c>
      <c r="B105" s="16" t="s">
        <v>24</v>
      </c>
      <c r="C105" s="16" t="s">
        <v>197</v>
      </c>
      <c r="D105" s="16" t="s">
        <v>373</v>
      </c>
      <c r="E105" s="16" t="s">
        <v>413</v>
      </c>
      <c r="F105" s="16" t="s">
        <v>250</v>
      </c>
      <c r="G105" s="16" t="s">
        <v>45</v>
      </c>
      <c r="H105" s="16" t="s">
        <v>46</v>
      </c>
      <c r="I105" s="16" t="s">
        <v>414</v>
      </c>
      <c r="J105" s="17" t="s">
        <v>48</v>
      </c>
    </row>
    <row r="106" spans="1:10" ht="207" x14ac:dyDescent="0.3">
      <c r="A106" s="12" t="s">
        <v>415</v>
      </c>
      <c r="B106" s="13" t="s">
        <v>24</v>
      </c>
      <c r="C106" s="13" t="s">
        <v>197</v>
      </c>
      <c r="D106" s="13" t="s">
        <v>373</v>
      </c>
      <c r="E106" s="13" t="s">
        <v>416</v>
      </c>
      <c r="F106" s="13" t="s">
        <v>254</v>
      </c>
      <c r="G106" s="13" t="s">
        <v>45</v>
      </c>
      <c r="H106" s="13" t="s">
        <v>46</v>
      </c>
      <c r="I106" s="13" t="s">
        <v>417</v>
      </c>
      <c r="J106" s="14" t="s">
        <v>48</v>
      </c>
    </row>
    <row r="107" spans="1:10" ht="207" x14ac:dyDescent="0.3">
      <c r="A107" s="15" t="s">
        <v>418</v>
      </c>
      <c r="B107" s="16" t="s">
        <v>24</v>
      </c>
      <c r="C107" s="16" t="s">
        <v>197</v>
      </c>
      <c r="D107" s="16" t="s">
        <v>373</v>
      </c>
      <c r="E107" s="16" t="s">
        <v>419</v>
      </c>
      <c r="F107" s="16" t="s">
        <v>258</v>
      </c>
      <c r="G107" s="16" t="s">
        <v>45</v>
      </c>
      <c r="H107" s="16" t="s">
        <v>46</v>
      </c>
      <c r="I107" s="16" t="s">
        <v>420</v>
      </c>
      <c r="J107" s="17" t="s">
        <v>48</v>
      </c>
    </row>
    <row r="108" spans="1:10" ht="207" x14ac:dyDescent="0.3">
      <c r="A108" s="12" t="s">
        <v>421</v>
      </c>
      <c r="B108" s="13" t="s">
        <v>24</v>
      </c>
      <c r="C108" s="13" t="s">
        <v>197</v>
      </c>
      <c r="D108" s="13" t="s">
        <v>373</v>
      </c>
      <c r="E108" s="13" t="s">
        <v>422</v>
      </c>
      <c r="F108" s="13" t="s">
        <v>262</v>
      </c>
      <c r="G108" s="13" t="s">
        <v>45</v>
      </c>
      <c r="H108" s="13" t="s">
        <v>46</v>
      </c>
      <c r="I108" s="13" t="s">
        <v>423</v>
      </c>
      <c r="J108" s="14" t="s">
        <v>48</v>
      </c>
    </row>
    <row r="109" spans="1:10" ht="207" x14ac:dyDescent="0.3">
      <c r="A109" s="15" t="s">
        <v>424</v>
      </c>
      <c r="B109" s="16" t="s">
        <v>24</v>
      </c>
      <c r="C109" s="16" t="s">
        <v>197</v>
      </c>
      <c r="D109" s="16" t="s">
        <v>373</v>
      </c>
      <c r="E109" s="16" t="s">
        <v>425</v>
      </c>
      <c r="F109" s="16" t="s">
        <v>266</v>
      </c>
      <c r="G109" s="16" t="s">
        <v>45</v>
      </c>
      <c r="H109" s="16" t="s">
        <v>46</v>
      </c>
      <c r="I109" s="16" t="s">
        <v>426</v>
      </c>
      <c r="J109" s="17" t="s">
        <v>48</v>
      </c>
    </row>
    <row r="110" spans="1:10" ht="207" x14ac:dyDescent="0.3">
      <c r="A110" s="12" t="s">
        <v>427</v>
      </c>
      <c r="B110" s="13" t="s">
        <v>24</v>
      </c>
      <c r="C110" s="13" t="s">
        <v>197</v>
      </c>
      <c r="D110" s="13" t="s">
        <v>373</v>
      </c>
      <c r="E110" s="13" t="s">
        <v>428</v>
      </c>
      <c r="F110" s="13" t="s">
        <v>270</v>
      </c>
      <c r="G110" s="13" t="s">
        <v>45</v>
      </c>
      <c r="H110" s="13" t="s">
        <v>46</v>
      </c>
      <c r="I110" s="13" t="s">
        <v>429</v>
      </c>
      <c r="J110" s="14" t="s">
        <v>48</v>
      </c>
    </row>
    <row r="111" spans="1:10" ht="207" x14ac:dyDescent="0.3">
      <c r="A111" s="15" t="s">
        <v>430</v>
      </c>
      <c r="B111" s="16" t="s">
        <v>24</v>
      </c>
      <c r="C111" s="16" t="s">
        <v>197</v>
      </c>
      <c r="D111" s="16" t="s">
        <v>373</v>
      </c>
      <c r="E111" s="16" t="s">
        <v>431</v>
      </c>
      <c r="F111" s="16" t="s">
        <v>274</v>
      </c>
      <c r="G111" s="16" t="s">
        <v>45</v>
      </c>
      <c r="H111" s="16" t="s">
        <v>46</v>
      </c>
      <c r="I111" s="16" t="s">
        <v>432</v>
      </c>
      <c r="J111" s="17" t="s">
        <v>48</v>
      </c>
    </row>
    <row r="112" spans="1:10" ht="207" x14ac:dyDescent="0.3">
      <c r="A112" s="12" t="s">
        <v>433</v>
      </c>
      <c r="B112" s="13" t="s">
        <v>24</v>
      </c>
      <c r="C112" s="13" t="s">
        <v>197</v>
      </c>
      <c r="D112" s="13" t="s">
        <v>373</v>
      </c>
      <c r="E112" s="13" t="s">
        <v>434</v>
      </c>
      <c r="F112" s="13" t="s">
        <v>278</v>
      </c>
      <c r="G112" s="13" t="s">
        <v>45</v>
      </c>
      <c r="H112" s="13" t="s">
        <v>46</v>
      </c>
      <c r="I112" s="13" t="s">
        <v>435</v>
      </c>
      <c r="J112" s="14" t="s">
        <v>48</v>
      </c>
    </row>
    <row r="113" spans="1:10" ht="234.6" x14ac:dyDescent="0.3">
      <c r="A113" s="15" t="s">
        <v>436</v>
      </c>
      <c r="B113" s="16" t="s">
        <v>24</v>
      </c>
      <c r="C113" s="16" t="s">
        <v>197</v>
      </c>
      <c r="D113" s="16" t="s">
        <v>373</v>
      </c>
      <c r="E113" s="16" t="s">
        <v>437</v>
      </c>
      <c r="F113" s="16" t="s">
        <v>282</v>
      </c>
      <c r="G113" s="16" t="s">
        <v>45</v>
      </c>
      <c r="H113" s="16" t="s">
        <v>46</v>
      </c>
      <c r="I113" s="16" t="s">
        <v>438</v>
      </c>
      <c r="J113" s="17" t="s">
        <v>48</v>
      </c>
    </row>
    <row r="114" spans="1:10" ht="234.6" x14ac:dyDescent="0.3">
      <c r="A114" s="12" t="s">
        <v>439</v>
      </c>
      <c r="B114" s="13" t="s">
        <v>24</v>
      </c>
      <c r="C114" s="13" t="s">
        <v>197</v>
      </c>
      <c r="D114" s="13" t="s">
        <v>373</v>
      </c>
      <c r="E114" s="13" t="s">
        <v>440</v>
      </c>
      <c r="F114" s="13" t="s">
        <v>286</v>
      </c>
      <c r="G114" s="13" t="s">
        <v>45</v>
      </c>
      <c r="H114" s="13" t="s">
        <v>46</v>
      </c>
      <c r="I114" s="13" t="s">
        <v>441</v>
      </c>
      <c r="J114" s="14" t="s">
        <v>48</v>
      </c>
    </row>
    <row r="115" spans="1:10" ht="234.6" x14ac:dyDescent="0.3">
      <c r="A115" s="15" t="s">
        <v>442</v>
      </c>
      <c r="B115" s="16" t="s">
        <v>24</v>
      </c>
      <c r="C115" s="16" t="s">
        <v>197</v>
      </c>
      <c r="D115" s="16" t="s">
        <v>373</v>
      </c>
      <c r="E115" s="16" t="s">
        <v>443</v>
      </c>
      <c r="F115" s="16" t="s">
        <v>290</v>
      </c>
      <c r="G115" s="16" t="s">
        <v>45</v>
      </c>
      <c r="H115" s="16" t="s">
        <v>46</v>
      </c>
      <c r="I115" s="16" t="s">
        <v>444</v>
      </c>
      <c r="J115" s="17" t="s">
        <v>48</v>
      </c>
    </row>
    <row r="116" spans="1:10" ht="248.4" x14ac:dyDescent="0.3">
      <c r="A116" s="12" t="s">
        <v>445</v>
      </c>
      <c r="B116" s="13" t="s">
        <v>24</v>
      </c>
      <c r="C116" s="13" t="s">
        <v>197</v>
      </c>
      <c r="D116" s="13" t="s">
        <v>373</v>
      </c>
      <c r="E116" s="13" t="s">
        <v>446</v>
      </c>
      <c r="F116" s="13" t="s">
        <v>294</v>
      </c>
      <c r="G116" s="13" t="s">
        <v>45</v>
      </c>
      <c r="H116" s="13" t="s">
        <v>46</v>
      </c>
      <c r="I116" s="13" t="s">
        <v>447</v>
      </c>
      <c r="J116" s="14" t="s">
        <v>48</v>
      </c>
    </row>
    <row r="117" spans="1:10" ht="220.8" x14ac:dyDescent="0.3">
      <c r="A117" s="15" t="s">
        <v>448</v>
      </c>
      <c r="B117" s="16" t="s">
        <v>24</v>
      </c>
      <c r="C117" s="16" t="s">
        <v>197</v>
      </c>
      <c r="D117" s="16" t="s">
        <v>373</v>
      </c>
      <c r="E117" s="16" t="s">
        <v>449</v>
      </c>
      <c r="F117" s="16" t="s">
        <v>298</v>
      </c>
      <c r="G117" s="16" t="s">
        <v>45</v>
      </c>
      <c r="H117" s="16" t="s">
        <v>53</v>
      </c>
      <c r="I117" s="16" t="s">
        <v>450</v>
      </c>
      <c r="J117" s="17" t="s">
        <v>48</v>
      </c>
    </row>
    <row r="118" spans="1:10" ht="207" x14ac:dyDescent="0.3">
      <c r="A118" s="12" t="s">
        <v>451</v>
      </c>
      <c r="B118" s="13" t="s">
        <v>24</v>
      </c>
      <c r="C118" s="13" t="s">
        <v>197</v>
      </c>
      <c r="D118" s="13" t="s">
        <v>373</v>
      </c>
      <c r="E118" s="13" t="s">
        <v>452</v>
      </c>
      <c r="F118" s="13" t="s">
        <v>302</v>
      </c>
      <c r="G118" s="13" t="s">
        <v>45</v>
      </c>
      <c r="H118" s="13" t="s">
        <v>46</v>
      </c>
      <c r="I118" s="13" t="s">
        <v>453</v>
      </c>
      <c r="J118" s="14" t="s">
        <v>48</v>
      </c>
    </row>
    <row r="119" spans="1:10" ht="207" x14ac:dyDescent="0.3">
      <c r="A119" s="15" t="s">
        <v>454</v>
      </c>
      <c r="B119" s="16" t="s">
        <v>24</v>
      </c>
      <c r="C119" s="16" t="s">
        <v>197</v>
      </c>
      <c r="D119" s="16" t="s">
        <v>373</v>
      </c>
      <c r="E119" s="16" t="s">
        <v>455</v>
      </c>
      <c r="F119" s="16" t="s">
        <v>306</v>
      </c>
      <c r="G119" s="16" t="s">
        <v>45</v>
      </c>
      <c r="H119" s="16" t="s">
        <v>46</v>
      </c>
      <c r="I119" s="16" t="s">
        <v>456</v>
      </c>
      <c r="J119" s="17" t="s">
        <v>48</v>
      </c>
    </row>
    <row r="120" spans="1:10" ht="179.4" x14ac:dyDescent="0.3">
      <c r="A120" s="12" t="s">
        <v>457</v>
      </c>
      <c r="B120" s="13" t="s">
        <v>24</v>
      </c>
      <c r="C120" s="13" t="s">
        <v>197</v>
      </c>
      <c r="D120" s="13" t="s">
        <v>373</v>
      </c>
      <c r="E120" s="13" t="s">
        <v>458</v>
      </c>
      <c r="F120" s="13" t="s">
        <v>310</v>
      </c>
      <c r="G120" s="13" t="s">
        <v>45</v>
      </c>
      <c r="H120" s="13" t="s">
        <v>46</v>
      </c>
      <c r="I120" s="13" t="s">
        <v>459</v>
      </c>
      <c r="J120" s="14" t="s">
        <v>48</v>
      </c>
    </row>
    <row r="121" spans="1:10" ht="193.2" x14ac:dyDescent="0.3">
      <c r="A121" s="15" t="s">
        <v>460</v>
      </c>
      <c r="B121" s="16" t="s">
        <v>24</v>
      </c>
      <c r="C121" s="16" t="s">
        <v>197</v>
      </c>
      <c r="D121" s="16" t="s">
        <v>373</v>
      </c>
      <c r="E121" s="16" t="s">
        <v>461</v>
      </c>
      <c r="F121" s="16" t="s">
        <v>314</v>
      </c>
      <c r="G121" s="16" t="s">
        <v>45</v>
      </c>
      <c r="H121" s="16" t="s">
        <v>46</v>
      </c>
      <c r="I121" s="16" t="s">
        <v>462</v>
      </c>
      <c r="J121" s="17" t="s">
        <v>48</v>
      </c>
    </row>
    <row r="122" spans="1:10" ht="179.4" x14ac:dyDescent="0.3">
      <c r="A122" s="12" t="s">
        <v>463</v>
      </c>
      <c r="B122" s="13" t="s">
        <v>24</v>
      </c>
      <c r="C122" s="13" t="s">
        <v>197</v>
      </c>
      <c r="D122" s="13" t="s">
        <v>373</v>
      </c>
      <c r="E122" s="13" t="s">
        <v>464</v>
      </c>
      <c r="F122" s="13" t="s">
        <v>318</v>
      </c>
      <c r="G122" s="13" t="s">
        <v>45</v>
      </c>
      <c r="H122" s="13" t="s">
        <v>46</v>
      </c>
      <c r="I122" s="13" t="s">
        <v>465</v>
      </c>
      <c r="J122" s="14" t="s">
        <v>48</v>
      </c>
    </row>
    <row r="123" spans="1:10" ht="193.2" x14ac:dyDescent="0.3">
      <c r="A123" s="15" t="s">
        <v>466</v>
      </c>
      <c r="B123" s="16" t="s">
        <v>24</v>
      </c>
      <c r="C123" s="16" t="s">
        <v>197</v>
      </c>
      <c r="D123" s="16" t="s">
        <v>373</v>
      </c>
      <c r="E123" s="16" t="s">
        <v>467</v>
      </c>
      <c r="F123" s="16" t="s">
        <v>322</v>
      </c>
      <c r="G123" s="16" t="s">
        <v>45</v>
      </c>
      <c r="H123" s="16" t="s">
        <v>46</v>
      </c>
      <c r="I123" s="16" t="s">
        <v>468</v>
      </c>
      <c r="J123" s="17" t="s">
        <v>48</v>
      </c>
    </row>
    <row r="124" spans="1:10" ht="207" x14ac:dyDescent="0.3">
      <c r="A124" s="12" t="s">
        <v>469</v>
      </c>
      <c r="B124" s="13" t="s">
        <v>24</v>
      </c>
      <c r="C124" s="13" t="s">
        <v>197</v>
      </c>
      <c r="D124" s="13" t="s">
        <v>373</v>
      </c>
      <c r="E124" s="13" t="s">
        <v>470</v>
      </c>
      <c r="F124" s="13" t="s">
        <v>326</v>
      </c>
      <c r="G124" s="13" t="s">
        <v>45</v>
      </c>
      <c r="H124" s="13" t="s">
        <v>53</v>
      </c>
      <c r="I124" s="13" t="s">
        <v>471</v>
      </c>
      <c r="J124" s="14" t="s">
        <v>48</v>
      </c>
    </row>
    <row r="125" spans="1:10" ht="207" x14ac:dyDescent="0.3">
      <c r="A125" s="15" t="s">
        <v>472</v>
      </c>
      <c r="B125" s="16" t="s">
        <v>24</v>
      </c>
      <c r="C125" s="16" t="s">
        <v>197</v>
      </c>
      <c r="D125" s="16" t="s">
        <v>373</v>
      </c>
      <c r="E125" s="16" t="s">
        <v>473</v>
      </c>
      <c r="F125" s="16" t="s">
        <v>330</v>
      </c>
      <c r="G125" s="16" t="s">
        <v>45</v>
      </c>
      <c r="H125" s="16" t="s">
        <v>53</v>
      </c>
      <c r="I125" s="16" t="s">
        <v>474</v>
      </c>
      <c r="J125" s="17" t="s">
        <v>48</v>
      </c>
    </row>
    <row r="126" spans="1:10" ht="207" x14ac:dyDescent="0.3">
      <c r="A126" s="12" t="s">
        <v>475</v>
      </c>
      <c r="B126" s="13" t="s">
        <v>24</v>
      </c>
      <c r="C126" s="13" t="s">
        <v>197</v>
      </c>
      <c r="D126" s="13" t="s">
        <v>373</v>
      </c>
      <c r="E126" s="13" t="s">
        <v>476</v>
      </c>
      <c r="F126" s="13" t="s">
        <v>334</v>
      </c>
      <c r="G126" s="13" t="s">
        <v>45</v>
      </c>
      <c r="H126" s="13" t="s">
        <v>53</v>
      </c>
      <c r="I126" s="13" t="s">
        <v>477</v>
      </c>
      <c r="J126" s="14" t="s">
        <v>48</v>
      </c>
    </row>
    <row r="127" spans="1:10" ht="248.4" x14ac:dyDescent="0.3">
      <c r="A127" s="15" t="s">
        <v>478</v>
      </c>
      <c r="B127" s="16" t="s">
        <v>24</v>
      </c>
      <c r="C127" s="16" t="s">
        <v>197</v>
      </c>
      <c r="D127" s="16" t="s">
        <v>373</v>
      </c>
      <c r="E127" s="16" t="s">
        <v>479</v>
      </c>
      <c r="F127" s="16" t="s">
        <v>338</v>
      </c>
      <c r="G127" s="16" t="s">
        <v>339</v>
      </c>
      <c r="H127" s="16" t="s">
        <v>53</v>
      </c>
      <c r="I127" s="16" t="s">
        <v>480</v>
      </c>
      <c r="J127" s="17" t="s">
        <v>48</v>
      </c>
    </row>
    <row r="128" spans="1:10" ht="220.8" x14ac:dyDescent="0.3">
      <c r="A128" s="12" t="s">
        <v>481</v>
      </c>
      <c r="B128" s="13" t="s">
        <v>24</v>
      </c>
      <c r="C128" s="13" t="s">
        <v>197</v>
      </c>
      <c r="D128" s="13" t="s">
        <v>373</v>
      </c>
      <c r="E128" s="13" t="s">
        <v>482</v>
      </c>
      <c r="F128" s="13" t="s">
        <v>343</v>
      </c>
      <c r="G128" s="13" t="s">
        <v>45</v>
      </c>
      <c r="H128" s="13" t="s">
        <v>53</v>
      </c>
      <c r="I128" s="13" t="s">
        <v>483</v>
      </c>
      <c r="J128" s="14" t="s">
        <v>48</v>
      </c>
    </row>
    <row r="129" spans="1:10" ht="220.8" x14ac:dyDescent="0.3">
      <c r="A129" s="15" t="s">
        <v>484</v>
      </c>
      <c r="B129" s="16" t="s">
        <v>24</v>
      </c>
      <c r="C129" s="16" t="s">
        <v>197</v>
      </c>
      <c r="D129" s="16" t="s">
        <v>373</v>
      </c>
      <c r="E129" s="16" t="s">
        <v>485</v>
      </c>
      <c r="F129" s="16" t="s">
        <v>347</v>
      </c>
      <c r="G129" s="16" t="s">
        <v>45</v>
      </c>
      <c r="H129" s="16" t="s">
        <v>53</v>
      </c>
      <c r="I129" s="16" t="s">
        <v>486</v>
      </c>
      <c r="J129" s="17" t="s">
        <v>48</v>
      </c>
    </row>
    <row r="130" spans="1:10" ht="179.4" x14ac:dyDescent="0.3">
      <c r="A130" s="12" t="s">
        <v>487</v>
      </c>
      <c r="B130" s="13" t="s">
        <v>24</v>
      </c>
      <c r="C130" s="13" t="s">
        <v>197</v>
      </c>
      <c r="D130" s="13" t="s">
        <v>373</v>
      </c>
      <c r="E130" s="13" t="s">
        <v>488</v>
      </c>
      <c r="F130" s="13" t="s">
        <v>351</v>
      </c>
      <c r="G130" s="13" t="s">
        <v>45</v>
      </c>
      <c r="H130" s="13" t="s">
        <v>46</v>
      </c>
      <c r="I130" s="13" t="s">
        <v>489</v>
      </c>
      <c r="J130" s="14" t="s">
        <v>48</v>
      </c>
    </row>
    <row r="131" spans="1:10" ht="193.2" x14ac:dyDescent="0.3">
      <c r="A131" s="15" t="s">
        <v>490</v>
      </c>
      <c r="B131" s="16" t="s">
        <v>24</v>
      </c>
      <c r="C131" s="16" t="s">
        <v>197</v>
      </c>
      <c r="D131" s="16" t="s">
        <v>373</v>
      </c>
      <c r="E131" s="16" t="s">
        <v>491</v>
      </c>
      <c r="F131" s="16" t="s">
        <v>355</v>
      </c>
      <c r="G131" s="16" t="s">
        <v>45</v>
      </c>
      <c r="H131" s="16" t="s">
        <v>46</v>
      </c>
      <c r="I131" s="16" t="s">
        <v>492</v>
      </c>
      <c r="J131" s="17" t="s">
        <v>48</v>
      </c>
    </row>
    <row r="132" spans="1:10" ht="207" x14ac:dyDescent="0.3">
      <c r="A132" s="12" t="s">
        <v>493</v>
      </c>
      <c r="B132" s="13" t="s">
        <v>24</v>
      </c>
      <c r="C132" s="13" t="s">
        <v>197</v>
      </c>
      <c r="D132" s="13" t="s">
        <v>373</v>
      </c>
      <c r="E132" s="13" t="s">
        <v>494</v>
      </c>
      <c r="F132" s="13" t="s">
        <v>359</v>
      </c>
      <c r="G132" s="13" t="s">
        <v>45</v>
      </c>
      <c r="H132" s="13" t="s">
        <v>46</v>
      </c>
      <c r="I132" s="13" t="s">
        <v>495</v>
      </c>
      <c r="J132" s="14" t="s">
        <v>48</v>
      </c>
    </row>
    <row r="133" spans="1:10" ht="165.6" x14ac:dyDescent="0.3">
      <c r="A133" s="15" t="s">
        <v>496</v>
      </c>
      <c r="B133" s="16" t="s">
        <v>24</v>
      </c>
      <c r="C133" s="16" t="s">
        <v>197</v>
      </c>
      <c r="D133" s="16" t="s">
        <v>373</v>
      </c>
      <c r="E133" s="16" t="s">
        <v>497</v>
      </c>
      <c r="F133" s="16" t="s">
        <v>363</v>
      </c>
      <c r="G133" s="16" t="s">
        <v>45</v>
      </c>
      <c r="H133" s="16" t="s">
        <v>46</v>
      </c>
      <c r="I133" s="16" t="s">
        <v>498</v>
      </c>
      <c r="J133" s="17" t="s">
        <v>48</v>
      </c>
    </row>
    <row r="134" spans="1:10" ht="234.6" x14ac:dyDescent="0.3">
      <c r="A134" s="12" t="s">
        <v>499</v>
      </c>
      <c r="B134" s="13" t="s">
        <v>24</v>
      </c>
      <c r="C134" s="13" t="s">
        <v>197</v>
      </c>
      <c r="D134" s="13" t="s">
        <v>373</v>
      </c>
      <c r="E134" s="13" t="s">
        <v>500</v>
      </c>
      <c r="F134" s="13" t="s">
        <v>367</v>
      </c>
      <c r="G134" s="13" t="s">
        <v>45</v>
      </c>
      <c r="H134" s="13" t="s">
        <v>53</v>
      </c>
      <c r="I134" s="13" t="s">
        <v>501</v>
      </c>
      <c r="J134" s="14" t="s">
        <v>48</v>
      </c>
    </row>
    <row r="135" spans="1:10" ht="248.4" x14ac:dyDescent="0.3">
      <c r="A135" s="15" t="s">
        <v>502</v>
      </c>
      <c r="B135" s="16" t="s">
        <v>24</v>
      </c>
      <c r="C135" s="16" t="s">
        <v>197</v>
      </c>
      <c r="D135" s="16" t="s">
        <v>373</v>
      </c>
      <c r="E135" s="16" t="s">
        <v>503</v>
      </c>
      <c r="F135" s="16" t="s">
        <v>371</v>
      </c>
      <c r="G135" s="16" t="s">
        <v>82</v>
      </c>
      <c r="H135" s="16" t="s">
        <v>53</v>
      </c>
      <c r="I135" s="16" t="s">
        <v>375</v>
      </c>
      <c r="J135" s="17" t="s">
        <v>48</v>
      </c>
    </row>
    <row r="136" spans="1:10" ht="165.6" x14ac:dyDescent="0.3">
      <c r="A136" s="12" t="s">
        <v>504</v>
      </c>
      <c r="B136" s="13" t="s">
        <v>25</v>
      </c>
      <c r="C136" s="13" t="s">
        <v>505</v>
      </c>
      <c r="D136" s="13" t="s">
        <v>506</v>
      </c>
      <c r="E136" s="13" t="s">
        <v>507</v>
      </c>
      <c r="F136" s="13" t="s">
        <v>508</v>
      </c>
      <c r="G136" s="13" t="s">
        <v>45</v>
      </c>
      <c r="H136" s="13" t="s">
        <v>46</v>
      </c>
      <c r="I136" s="13" t="s">
        <v>509</v>
      </c>
      <c r="J136" s="14" t="s">
        <v>48</v>
      </c>
    </row>
    <row r="137" spans="1:10" ht="179.4" x14ac:dyDescent="0.3">
      <c r="A137" s="15" t="s">
        <v>510</v>
      </c>
      <c r="B137" s="16" t="s">
        <v>25</v>
      </c>
      <c r="C137" s="16" t="s">
        <v>505</v>
      </c>
      <c r="D137" s="16" t="s">
        <v>506</v>
      </c>
      <c r="E137" s="16" t="s">
        <v>511</v>
      </c>
      <c r="F137" s="16" t="s">
        <v>512</v>
      </c>
      <c r="G137" s="16" t="s">
        <v>52</v>
      </c>
      <c r="H137" s="16" t="s">
        <v>53</v>
      </c>
      <c r="I137" s="16" t="s">
        <v>509</v>
      </c>
      <c r="J137" s="17" t="s">
        <v>48</v>
      </c>
    </row>
    <row r="138" spans="1:10" ht="220.8" x14ac:dyDescent="0.3">
      <c r="A138" s="12" t="s">
        <v>513</v>
      </c>
      <c r="B138" s="13" t="s">
        <v>25</v>
      </c>
      <c r="C138" s="13" t="s">
        <v>505</v>
      </c>
      <c r="D138" s="13" t="s">
        <v>506</v>
      </c>
      <c r="E138" s="13" t="s">
        <v>514</v>
      </c>
      <c r="F138" s="13" t="s">
        <v>515</v>
      </c>
      <c r="G138" s="13" t="s">
        <v>57</v>
      </c>
      <c r="H138" s="13" t="s">
        <v>46</v>
      </c>
      <c r="I138" s="13" t="s">
        <v>516</v>
      </c>
      <c r="J138" s="14" t="s">
        <v>48</v>
      </c>
    </row>
    <row r="139" spans="1:10" ht="409.6" x14ac:dyDescent="0.3">
      <c r="A139" s="15" t="s">
        <v>517</v>
      </c>
      <c r="B139" s="16" t="s">
        <v>25</v>
      </c>
      <c r="C139" s="16" t="s">
        <v>505</v>
      </c>
      <c r="D139" s="16" t="s">
        <v>506</v>
      </c>
      <c r="E139" s="16" t="s">
        <v>518</v>
      </c>
      <c r="F139" s="16" t="s">
        <v>519</v>
      </c>
      <c r="G139" s="16" t="s">
        <v>57</v>
      </c>
      <c r="H139" s="16" t="s">
        <v>46</v>
      </c>
      <c r="I139" s="16" t="s">
        <v>520</v>
      </c>
      <c r="J139" s="17" t="s">
        <v>48</v>
      </c>
    </row>
    <row r="140" spans="1:10" ht="409.6" x14ac:dyDescent="0.3">
      <c r="A140" s="12" t="s">
        <v>521</v>
      </c>
      <c r="B140" s="13" t="s">
        <v>25</v>
      </c>
      <c r="C140" s="13" t="s">
        <v>505</v>
      </c>
      <c r="D140" s="13" t="s">
        <v>506</v>
      </c>
      <c r="E140" s="13" t="s">
        <v>522</v>
      </c>
      <c r="F140" s="13" t="s">
        <v>523</v>
      </c>
      <c r="G140" s="13" t="s">
        <v>57</v>
      </c>
      <c r="H140" s="13" t="s">
        <v>53</v>
      </c>
      <c r="I140" s="13" t="s">
        <v>524</v>
      </c>
      <c r="J140" s="14" t="s">
        <v>48</v>
      </c>
    </row>
    <row r="141" spans="1:10" ht="409.6" x14ac:dyDescent="0.3">
      <c r="A141" s="15" t="s">
        <v>525</v>
      </c>
      <c r="B141" s="16" t="s">
        <v>25</v>
      </c>
      <c r="C141" s="16" t="s">
        <v>505</v>
      </c>
      <c r="D141" s="16" t="s">
        <v>506</v>
      </c>
      <c r="E141" s="16" t="s">
        <v>526</v>
      </c>
      <c r="F141" s="16" t="s">
        <v>527</v>
      </c>
      <c r="G141" s="16" t="s">
        <v>57</v>
      </c>
      <c r="H141" s="16" t="s">
        <v>53</v>
      </c>
      <c r="I141" s="16" t="s">
        <v>528</v>
      </c>
      <c r="J141" s="17" t="s">
        <v>48</v>
      </c>
    </row>
    <row r="142" spans="1:10" ht="409.6" x14ac:dyDescent="0.3">
      <c r="A142" s="12" t="s">
        <v>529</v>
      </c>
      <c r="B142" s="13" t="s">
        <v>25</v>
      </c>
      <c r="C142" s="13" t="s">
        <v>505</v>
      </c>
      <c r="D142" s="13" t="s">
        <v>506</v>
      </c>
      <c r="E142" s="13" t="s">
        <v>530</v>
      </c>
      <c r="F142" s="13" t="s">
        <v>531</v>
      </c>
      <c r="G142" s="13" t="s">
        <v>45</v>
      </c>
      <c r="H142" s="13" t="s">
        <v>46</v>
      </c>
      <c r="I142" s="13" t="s">
        <v>532</v>
      </c>
      <c r="J142" s="14" t="s">
        <v>48</v>
      </c>
    </row>
    <row r="143" spans="1:10" ht="409.6" x14ac:dyDescent="0.3">
      <c r="A143" s="15" t="s">
        <v>533</v>
      </c>
      <c r="B143" s="16" t="s">
        <v>25</v>
      </c>
      <c r="C143" s="16" t="s">
        <v>505</v>
      </c>
      <c r="D143" s="16" t="s">
        <v>506</v>
      </c>
      <c r="E143" s="16" t="s">
        <v>534</v>
      </c>
      <c r="F143" s="16" t="s">
        <v>535</v>
      </c>
      <c r="G143" s="16" t="s">
        <v>57</v>
      </c>
      <c r="H143" s="16" t="s">
        <v>46</v>
      </c>
      <c r="I143" s="16" t="s">
        <v>536</v>
      </c>
      <c r="J143" s="17" t="s">
        <v>48</v>
      </c>
    </row>
    <row r="144" spans="1:10" ht="409.6" x14ac:dyDescent="0.3">
      <c r="A144" s="12" t="s">
        <v>537</v>
      </c>
      <c r="B144" s="13" t="s">
        <v>25</v>
      </c>
      <c r="C144" s="13" t="s">
        <v>505</v>
      </c>
      <c r="D144" s="13" t="s">
        <v>506</v>
      </c>
      <c r="E144" s="13" t="s">
        <v>538</v>
      </c>
      <c r="F144" s="13" t="s">
        <v>539</v>
      </c>
      <c r="G144" s="13" t="s">
        <v>45</v>
      </c>
      <c r="H144" s="13" t="s">
        <v>53</v>
      </c>
      <c r="I144" s="13" t="s">
        <v>540</v>
      </c>
      <c r="J144" s="14" t="s">
        <v>48</v>
      </c>
    </row>
    <row r="145" spans="1:10" ht="409.6" x14ac:dyDescent="0.3">
      <c r="A145" s="15" t="s">
        <v>541</v>
      </c>
      <c r="B145" s="16" t="s">
        <v>25</v>
      </c>
      <c r="C145" s="16" t="s">
        <v>505</v>
      </c>
      <c r="D145" s="16" t="s">
        <v>506</v>
      </c>
      <c r="E145" s="16" t="s">
        <v>542</v>
      </c>
      <c r="F145" s="16" t="s">
        <v>543</v>
      </c>
      <c r="G145" s="16" t="s">
        <v>57</v>
      </c>
      <c r="H145" s="16" t="s">
        <v>46</v>
      </c>
      <c r="I145" s="16" t="s">
        <v>544</v>
      </c>
      <c r="J145" s="17" t="s">
        <v>48</v>
      </c>
    </row>
    <row r="146" spans="1:10" ht="409.6" x14ac:dyDescent="0.3">
      <c r="A146" s="12" t="s">
        <v>545</v>
      </c>
      <c r="B146" s="13" t="s">
        <v>25</v>
      </c>
      <c r="C146" s="13" t="s">
        <v>505</v>
      </c>
      <c r="D146" s="13" t="s">
        <v>506</v>
      </c>
      <c r="E146" s="13" t="s">
        <v>546</v>
      </c>
      <c r="F146" s="13" t="s">
        <v>547</v>
      </c>
      <c r="G146" s="13" t="s">
        <v>339</v>
      </c>
      <c r="H146" s="13" t="s">
        <v>53</v>
      </c>
      <c r="I146" s="13" t="s">
        <v>548</v>
      </c>
      <c r="J146" s="14" t="s">
        <v>48</v>
      </c>
    </row>
    <row r="147" spans="1:10" ht="409.6" x14ac:dyDescent="0.3">
      <c r="A147" s="15" t="s">
        <v>549</v>
      </c>
      <c r="B147" s="16" t="s">
        <v>25</v>
      </c>
      <c r="C147" s="16" t="s">
        <v>505</v>
      </c>
      <c r="D147" s="16" t="s">
        <v>506</v>
      </c>
      <c r="E147" s="16" t="s">
        <v>550</v>
      </c>
      <c r="F147" s="16" t="s">
        <v>551</v>
      </c>
      <c r="G147" s="16" t="s">
        <v>339</v>
      </c>
      <c r="H147" s="16" t="s">
        <v>46</v>
      </c>
      <c r="I147" s="16" t="s">
        <v>552</v>
      </c>
      <c r="J147" s="17" t="s">
        <v>48</v>
      </c>
    </row>
    <row r="148" spans="1:10" ht="400.2" x14ac:dyDescent="0.3">
      <c r="A148" s="12" t="s">
        <v>553</v>
      </c>
      <c r="B148" s="13" t="s">
        <v>25</v>
      </c>
      <c r="C148" s="13" t="s">
        <v>505</v>
      </c>
      <c r="D148" s="13" t="s">
        <v>506</v>
      </c>
      <c r="E148" s="13" t="s">
        <v>554</v>
      </c>
      <c r="F148" s="13" t="s">
        <v>555</v>
      </c>
      <c r="G148" s="13" t="s">
        <v>57</v>
      </c>
      <c r="H148" s="13" t="s">
        <v>46</v>
      </c>
      <c r="I148" s="13" t="s">
        <v>556</v>
      </c>
      <c r="J148" s="14" t="s">
        <v>48</v>
      </c>
    </row>
    <row r="149" spans="1:10" ht="400.2" x14ac:dyDescent="0.3">
      <c r="A149" s="15" t="s">
        <v>557</v>
      </c>
      <c r="B149" s="16" t="s">
        <v>25</v>
      </c>
      <c r="C149" s="16" t="s">
        <v>505</v>
      </c>
      <c r="D149" s="16" t="s">
        <v>506</v>
      </c>
      <c r="E149" s="16" t="s">
        <v>558</v>
      </c>
      <c r="F149" s="16" t="s">
        <v>559</v>
      </c>
      <c r="G149" s="16" t="s">
        <v>57</v>
      </c>
      <c r="H149" s="16" t="s">
        <v>46</v>
      </c>
      <c r="I149" s="16" t="s">
        <v>560</v>
      </c>
      <c r="J149" s="17" t="s">
        <v>48</v>
      </c>
    </row>
    <row r="150" spans="1:10" ht="409.6" x14ac:dyDescent="0.3">
      <c r="A150" s="12" t="s">
        <v>561</v>
      </c>
      <c r="B150" s="13" t="s">
        <v>25</v>
      </c>
      <c r="C150" s="13" t="s">
        <v>505</v>
      </c>
      <c r="D150" s="13" t="s">
        <v>506</v>
      </c>
      <c r="E150" s="13" t="s">
        <v>562</v>
      </c>
      <c r="F150" s="13" t="s">
        <v>563</v>
      </c>
      <c r="G150" s="13" t="s">
        <v>52</v>
      </c>
      <c r="H150" s="13" t="s">
        <v>53</v>
      </c>
      <c r="I150" s="13" t="s">
        <v>564</v>
      </c>
      <c r="J150" s="14" t="s">
        <v>48</v>
      </c>
    </row>
    <row r="151" spans="1:10" ht="193.2" x14ac:dyDescent="0.3">
      <c r="A151" s="15" t="s">
        <v>565</v>
      </c>
      <c r="B151" s="16" t="s">
        <v>25</v>
      </c>
      <c r="C151" s="16" t="s">
        <v>505</v>
      </c>
      <c r="D151" s="16" t="s">
        <v>506</v>
      </c>
      <c r="E151" s="16" t="s">
        <v>566</v>
      </c>
      <c r="F151" s="16" t="s">
        <v>567</v>
      </c>
      <c r="G151" s="16" t="s">
        <v>82</v>
      </c>
      <c r="H151" s="16" t="s">
        <v>53</v>
      </c>
      <c r="I151" s="16" t="s">
        <v>509</v>
      </c>
      <c r="J151" s="17" t="s">
        <v>48</v>
      </c>
    </row>
    <row r="152" spans="1:10" ht="165.6" x14ac:dyDescent="0.3">
      <c r="A152" s="12" t="s">
        <v>568</v>
      </c>
      <c r="B152" s="13" t="s">
        <v>25</v>
      </c>
      <c r="C152" s="13" t="s">
        <v>505</v>
      </c>
      <c r="D152" s="13" t="s">
        <v>569</v>
      </c>
      <c r="E152" s="13" t="s">
        <v>570</v>
      </c>
      <c r="F152" s="13" t="s">
        <v>508</v>
      </c>
      <c r="G152" s="13" t="s">
        <v>45</v>
      </c>
      <c r="H152" s="13" t="s">
        <v>46</v>
      </c>
      <c r="I152" s="13" t="s">
        <v>571</v>
      </c>
      <c r="J152" s="14" t="s">
        <v>48</v>
      </c>
    </row>
    <row r="153" spans="1:10" ht="151.80000000000001" x14ac:dyDescent="0.3">
      <c r="A153" s="15" t="s">
        <v>572</v>
      </c>
      <c r="B153" s="16" t="s">
        <v>25</v>
      </c>
      <c r="C153" s="16" t="s">
        <v>505</v>
      </c>
      <c r="D153" s="16" t="s">
        <v>569</v>
      </c>
      <c r="E153" s="16" t="s">
        <v>573</v>
      </c>
      <c r="F153" s="16" t="s">
        <v>512</v>
      </c>
      <c r="G153" s="16" t="s">
        <v>52</v>
      </c>
      <c r="H153" s="16" t="s">
        <v>53</v>
      </c>
      <c r="I153" s="16" t="s">
        <v>571</v>
      </c>
      <c r="J153" s="17" t="s">
        <v>48</v>
      </c>
    </row>
    <row r="154" spans="1:10" ht="193.2" x14ac:dyDescent="0.3">
      <c r="A154" s="12" t="s">
        <v>574</v>
      </c>
      <c r="B154" s="13" t="s">
        <v>25</v>
      </c>
      <c r="C154" s="13" t="s">
        <v>505</v>
      </c>
      <c r="D154" s="13" t="s">
        <v>569</v>
      </c>
      <c r="E154" s="13" t="s">
        <v>575</v>
      </c>
      <c r="F154" s="13" t="s">
        <v>515</v>
      </c>
      <c r="G154" s="13" t="s">
        <v>57</v>
      </c>
      <c r="H154" s="13" t="s">
        <v>46</v>
      </c>
      <c r="I154" s="13" t="s">
        <v>576</v>
      </c>
      <c r="J154" s="14" t="s">
        <v>48</v>
      </c>
    </row>
    <row r="155" spans="1:10" ht="262.2" x14ac:dyDescent="0.3">
      <c r="A155" s="15" t="s">
        <v>577</v>
      </c>
      <c r="B155" s="16" t="s">
        <v>25</v>
      </c>
      <c r="C155" s="16" t="s">
        <v>505</v>
      </c>
      <c r="D155" s="16" t="s">
        <v>569</v>
      </c>
      <c r="E155" s="16" t="s">
        <v>578</v>
      </c>
      <c r="F155" s="16" t="s">
        <v>579</v>
      </c>
      <c r="G155" s="16" t="s">
        <v>45</v>
      </c>
      <c r="H155" s="16" t="s">
        <v>46</v>
      </c>
      <c r="I155" s="16" t="s">
        <v>580</v>
      </c>
      <c r="J155" s="17" t="s">
        <v>48</v>
      </c>
    </row>
    <row r="156" spans="1:10" ht="409.6" x14ac:dyDescent="0.3">
      <c r="A156" s="12" t="s">
        <v>581</v>
      </c>
      <c r="B156" s="13" t="s">
        <v>25</v>
      </c>
      <c r="C156" s="13" t="s">
        <v>505</v>
      </c>
      <c r="D156" s="13" t="s">
        <v>569</v>
      </c>
      <c r="E156" s="13" t="s">
        <v>582</v>
      </c>
      <c r="F156" s="13" t="s">
        <v>583</v>
      </c>
      <c r="G156" s="13" t="s">
        <v>52</v>
      </c>
      <c r="H156" s="13" t="s">
        <v>53</v>
      </c>
      <c r="I156" s="13" t="s">
        <v>584</v>
      </c>
      <c r="J156" s="14" t="s">
        <v>48</v>
      </c>
    </row>
    <row r="157" spans="1:10" ht="303.60000000000002" x14ac:dyDescent="0.3">
      <c r="A157" s="15" t="s">
        <v>585</v>
      </c>
      <c r="B157" s="16" t="s">
        <v>25</v>
      </c>
      <c r="C157" s="16" t="s">
        <v>505</v>
      </c>
      <c r="D157" s="16" t="s">
        <v>569</v>
      </c>
      <c r="E157" s="16" t="s">
        <v>586</v>
      </c>
      <c r="F157" s="16" t="s">
        <v>587</v>
      </c>
      <c r="G157" s="16" t="s">
        <v>57</v>
      </c>
      <c r="H157" s="16" t="s">
        <v>46</v>
      </c>
      <c r="I157" s="16" t="s">
        <v>588</v>
      </c>
      <c r="J157" s="17" t="s">
        <v>48</v>
      </c>
    </row>
    <row r="158" spans="1:10" ht="248.4" x14ac:dyDescent="0.3">
      <c r="A158" s="12" t="s">
        <v>589</v>
      </c>
      <c r="B158" s="13" t="s">
        <v>25</v>
      </c>
      <c r="C158" s="13" t="s">
        <v>505</v>
      </c>
      <c r="D158" s="13" t="s">
        <v>569</v>
      </c>
      <c r="E158" s="13" t="s">
        <v>590</v>
      </c>
      <c r="F158" s="13" t="s">
        <v>591</v>
      </c>
      <c r="G158" s="13" t="s">
        <v>57</v>
      </c>
      <c r="H158" s="13" t="s">
        <v>46</v>
      </c>
      <c r="I158" s="13" t="s">
        <v>592</v>
      </c>
      <c r="J158" s="14" t="s">
        <v>48</v>
      </c>
    </row>
    <row r="159" spans="1:10" ht="193.2" x14ac:dyDescent="0.3">
      <c r="A159" s="15" t="s">
        <v>593</v>
      </c>
      <c r="B159" s="16" t="s">
        <v>25</v>
      </c>
      <c r="C159" s="16" t="s">
        <v>505</v>
      </c>
      <c r="D159" s="16" t="s">
        <v>569</v>
      </c>
      <c r="E159" s="16" t="s">
        <v>594</v>
      </c>
      <c r="F159" s="16" t="s">
        <v>595</v>
      </c>
      <c r="G159" s="16" t="s">
        <v>45</v>
      </c>
      <c r="H159" s="16" t="s">
        <v>46</v>
      </c>
      <c r="I159" s="16" t="s">
        <v>596</v>
      </c>
      <c r="J159" s="17" t="s">
        <v>48</v>
      </c>
    </row>
    <row r="160" spans="1:10" ht="179.4" x14ac:dyDescent="0.3">
      <c r="A160" s="12" t="s">
        <v>597</v>
      </c>
      <c r="B160" s="13" t="s">
        <v>25</v>
      </c>
      <c r="C160" s="13" t="s">
        <v>505</v>
      </c>
      <c r="D160" s="13" t="s">
        <v>569</v>
      </c>
      <c r="E160" s="13" t="s">
        <v>598</v>
      </c>
      <c r="F160" s="13" t="s">
        <v>599</v>
      </c>
      <c r="G160" s="13" t="s">
        <v>45</v>
      </c>
      <c r="H160" s="13" t="s">
        <v>46</v>
      </c>
      <c r="I160" s="13" t="s">
        <v>600</v>
      </c>
      <c r="J160" s="14" t="s">
        <v>48</v>
      </c>
    </row>
    <row r="161" spans="1:10" ht="289.8" x14ac:dyDescent="0.3">
      <c r="A161" s="15" t="s">
        <v>601</v>
      </c>
      <c r="B161" s="16" t="s">
        <v>25</v>
      </c>
      <c r="C161" s="16" t="s">
        <v>505</v>
      </c>
      <c r="D161" s="16" t="s">
        <v>569</v>
      </c>
      <c r="E161" s="16" t="s">
        <v>602</v>
      </c>
      <c r="F161" s="16" t="s">
        <v>603</v>
      </c>
      <c r="G161" s="16" t="s">
        <v>45</v>
      </c>
      <c r="H161" s="16" t="s">
        <v>53</v>
      </c>
      <c r="I161" s="16" t="s">
        <v>604</v>
      </c>
      <c r="J161" s="17" t="s">
        <v>48</v>
      </c>
    </row>
    <row r="162" spans="1:10" ht="193.2" x14ac:dyDescent="0.3">
      <c r="A162" s="12" t="s">
        <v>605</v>
      </c>
      <c r="B162" s="13" t="s">
        <v>25</v>
      </c>
      <c r="C162" s="13" t="s">
        <v>505</v>
      </c>
      <c r="D162" s="13" t="s">
        <v>569</v>
      </c>
      <c r="E162" s="13" t="s">
        <v>606</v>
      </c>
      <c r="F162" s="13" t="s">
        <v>567</v>
      </c>
      <c r="G162" s="13" t="s">
        <v>82</v>
      </c>
      <c r="H162" s="13" t="s">
        <v>53</v>
      </c>
      <c r="I162" s="13" t="s">
        <v>571</v>
      </c>
      <c r="J162" s="14" t="s">
        <v>48</v>
      </c>
    </row>
    <row r="163" spans="1:10" ht="165.6" x14ac:dyDescent="0.3">
      <c r="A163" s="15" t="s">
        <v>607</v>
      </c>
      <c r="B163" s="16" t="s">
        <v>25</v>
      </c>
      <c r="C163" s="16" t="s">
        <v>505</v>
      </c>
      <c r="D163" s="16" t="s">
        <v>608</v>
      </c>
      <c r="E163" s="16" t="s">
        <v>609</v>
      </c>
      <c r="F163" s="16" t="s">
        <v>508</v>
      </c>
      <c r="G163" s="16" t="s">
        <v>45</v>
      </c>
      <c r="H163" s="16" t="s">
        <v>46</v>
      </c>
      <c r="I163" s="16" t="s">
        <v>610</v>
      </c>
      <c r="J163" s="17" t="s">
        <v>48</v>
      </c>
    </row>
    <row r="164" spans="1:10" ht="138" x14ac:dyDescent="0.3">
      <c r="A164" s="12" t="s">
        <v>611</v>
      </c>
      <c r="B164" s="13" t="s">
        <v>25</v>
      </c>
      <c r="C164" s="13" t="s">
        <v>505</v>
      </c>
      <c r="D164" s="13" t="s">
        <v>608</v>
      </c>
      <c r="E164" s="13" t="s">
        <v>612</v>
      </c>
      <c r="F164" s="13" t="s">
        <v>512</v>
      </c>
      <c r="G164" s="13" t="s">
        <v>52</v>
      </c>
      <c r="H164" s="13" t="s">
        <v>53</v>
      </c>
      <c r="I164" s="13" t="s">
        <v>610</v>
      </c>
      <c r="J164" s="14" t="s">
        <v>48</v>
      </c>
    </row>
    <row r="165" spans="1:10" ht="193.2" x14ac:dyDescent="0.3">
      <c r="A165" s="15" t="s">
        <v>613</v>
      </c>
      <c r="B165" s="16" t="s">
        <v>25</v>
      </c>
      <c r="C165" s="16" t="s">
        <v>505</v>
      </c>
      <c r="D165" s="16" t="s">
        <v>608</v>
      </c>
      <c r="E165" s="16" t="s">
        <v>614</v>
      </c>
      <c r="F165" s="16" t="s">
        <v>515</v>
      </c>
      <c r="G165" s="16" t="s">
        <v>57</v>
      </c>
      <c r="H165" s="16" t="s">
        <v>46</v>
      </c>
      <c r="I165" s="16" t="s">
        <v>615</v>
      </c>
      <c r="J165" s="17" t="s">
        <v>48</v>
      </c>
    </row>
    <row r="166" spans="1:10" ht="262.2" x14ac:dyDescent="0.3">
      <c r="A166" s="12" t="s">
        <v>616</v>
      </c>
      <c r="B166" s="13" t="s">
        <v>25</v>
      </c>
      <c r="C166" s="13" t="s">
        <v>505</v>
      </c>
      <c r="D166" s="13" t="s">
        <v>608</v>
      </c>
      <c r="E166" s="13" t="s">
        <v>617</v>
      </c>
      <c r="F166" s="13" t="s">
        <v>618</v>
      </c>
      <c r="G166" s="13" t="s">
        <v>45</v>
      </c>
      <c r="H166" s="13" t="s">
        <v>46</v>
      </c>
      <c r="I166" s="13" t="s">
        <v>619</v>
      </c>
      <c r="J166" s="14" t="s">
        <v>48</v>
      </c>
    </row>
    <row r="167" spans="1:10" ht="409.6" x14ac:dyDescent="0.3">
      <c r="A167" s="15" t="s">
        <v>620</v>
      </c>
      <c r="B167" s="16" t="s">
        <v>25</v>
      </c>
      <c r="C167" s="16" t="s">
        <v>505</v>
      </c>
      <c r="D167" s="16" t="s">
        <v>608</v>
      </c>
      <c r="E167" s="16" t="s">
        <v>621</v>
      </c>
      <c r="F167" s="16" t="s">
        <v>622</v>
      </c>
      <c r="G167" s="16" t="s">
        <v>57</v>
      </c>
      <c r="H167" s="16" t="s">
        <v>46</v>
      </c>
      <c r="I167" s="16" t="s">
        <v>623</v>
      </c>
      <c r="J167" s="17" t="s">
        <v>48</v>
      </c>
    </row>
    <row r="168" spans="1:10" ht="303.60000000000002" x14ac:dyDescent="0.3">
      <c r="A168" s="12" t="s">
        <v>624</v>
      </c>
      <c r="B168" s="13" t="s">
        <v>25</v>
      </c>
      <c r="C168" s="13" t="s">
        <v>505</v>
      </c>
      <c r="D168" s="13" t="s">
        <v>608</v>
      </c>
      <c r="E168" s="13" t="s">
        <v>625</v>
      </c>
      <c r="F168" s="13" t="s">
        <v>587</v>
      </c>
      <c r="G168" s="13" t="s">
        <v>57</v>
      </c>
      <c r="H168" s="13" t="s">
        <v>46</v>
      </c>
      <c r="I168" s="13" t="s">
        <v>626</v>
      </c>
      <c r="J168" s="14" t="s">
        <v>48</v>
      </c>
    </row>
    <row r="169" spans="1:10" ht="248.4" x14ac:dyDescent="0.3">
      <c r="A169" s="15" t="s">
        <v>627</v>
      </c>
      <c r="B169" s="16" t="s">
        <v>25</v>
      </c>
      <c r="C169" s="16" t="s">
        <v>505</v>
      </c>
      <c r="D169" s="16" t="s">
        <v>608</v>
      </c>
      <c r="E169" s="16" t="s">
        <v>628</v>
      </c>
      <c r="F169" s="16" t="s">
        <v>591</v>
      </c>
      <c r="G169" s="16" t="s">
        <v>57</v>
      </c>
      <c r="H169" s="16" t="s">
        <v>46</v>
      </c>
      <c r="I169" s="16" t="s">
        <v>629</v>
      </c>
      <c r="J169" s="17" t="s">
        <v>48</v>
      </c>
    </row>
    <row r="170" spans="1:10" ht="220.8" x14ac:dyDescent="0.3">
      <c r="A170" s="12" t="s">
        <v>630</v>
      </c>
      <c r="B170" s="13" t="s">
        <v>25</v>
      </c>
      <c r="C170" s="13" t="s">
        <v>505</v>
      </c>
      <c r="D170" s="13" t="s">
        <v>608</v>
      </c>
      <c r="E170" s="13" t="s">
        <v>631</v>
      </c>
      <c r="F170" s="13" t="s">
        <v>632</v>
      </c>
      <c r="G170" s="13" t="s">
        <v>45</v>
      </c>
      <c r="H170" s="13" t="s">
        <v>46</v>
      </c>
      <c r="I170" s="13" t="s">
        <v>633</v>
      </c>
      <c r="J170" s="14" t="s">
        <v>48</v>
      </c>
    </row>
    <row r="171" spans="1:10" ht="179.4" x14ac:dyDescent="0.3">
      <c r="A171" s="15" t="s">
        <v>634</v>
      </c>
      <c r="B171" s="16" t="s">
        <v>25</v>
      </c>
      <c r="C171" s="16" t="s">
        <v>505</v>
      </c>
      <c r="D171" s="16" t="s">
        <v>608</v>
      </c>
      <c r="E171" s="16" t="s">
        <v>635</v>
      </c>
      <c r="F171" s="16" t="s">
        <v>599</v>
      </c>
      <c r="G171" s="16" t="s">
        <v>45</v>
      </c>
      <c r="H171" s="16" t="s">
        <v>46</v>
      </c>
      <c r="I171" s="16" t="s">
        <v>636</v>
      </c>
      <c r="J171" s="17" t="s">
        <v>48</v>
      </c>
    </row>
    <row r="172" spans="1:10" ht="220.8" x14ac:dyDescent="0.3">
      <c r="A172" s="12" t="s">
        <v>637</v>
      </c>
      <c r="B172" s="13" t="s">
        <v>25</v>
      </c>
      <c r="C172" s="13" t="s">
        <v>505</v>
      </c>
      <c r="D172" s="13" t="s">
        <v>608</v>
      </c>
      <c r="E172" s="13" t="s">
        <v>638</v>
      </c>
      <c r="F172" s="13" t="s">
        <v>639</v>
      </c>
      <c r="G172" s="13" t="s">
        <v>45</v>
      </c>
      <c r="H172" s="13" t="s">
        <v>46</v>
      </c>
      <c r="I172" s="13" t="s">
        <v>640</v>
      </c>
      <c r="J172" s="14" t="s">
        <v>48</v>
      </c>
    </row>
    <row r="173" spans="1:10" ht="193.2" x14ac:dyDescent="0.3">
      <c r="A173" s="15" t="s">
        <v>641</v>
      </c>
      <c r="B173" s="16" t="s">
        <v>25</v>
      </c>
      <c r="C173" s="16" t="s">
        <v>505</v>
      </c>
      <c r="D173" s="16" t="s">
        <v>608</v>
      </c>
      <c r="E173" s="16" t="s">
        <v>642</v>
      </c>
      <c r="F173" s="16" t="s">
        <v>567</v>
      </c>
      <c r="G173" s="16" t="s">
        <v>82</v>
      </c>
      <c r="H173" s="16" t="s">
        <v>53</v>
      </c>
      <c r="I173" s="16" t="s">
        <v>610</v>
      </c>
      <c r="J173" s="17" t="s">
        <v>48</v>
      </c>
    </row>
    <row r="174" spans="1:10" ht="165.6" x14ac:dyDescent="0.3">
      <c r="A174" s="12" t="s">
        <v>643</v>
      </c>
      <c r="B174" s="13" t="s">
        <v>25</v>
      </c>
      <c r="C174" s="13" t="s">
        <v>505</v>
      </c>
      <c r="D174" s="13" t="s">
        <v>644</v>
      </c>
      <c r="E174" s="13" t="s">
        <v>645</v>
      </c>
      <c r="F174" s="13" t="s">
        <v>508</v>
      </c>
      <c r="G174" s="13" t="s">
        <v>45</v>
      </c>
      <c r="H174" s="13" t="s">
        <v>46</v>
      </c>
      <c r="I174" s="13" t="s">
        <v>646</v>
      </c>
      <c r="J174" s="14" t="s">
        <v>48</v>
      </c>
    </row>
    <row r="175" spans="1:10" ht="193.2" x14ac:dyDescent="0.3">
      <c r="A175" s="15" t="s">
        <v>647</v>
      </c>
      <c r="B175" s="16" t="s">
        <v>25</v>
      </c>
      <c r="C175" s="16" t="s">
        <v>505</v>
      </c>
      <c r="D175" s="16" t="s">
        <v>644</v>
      </c>
      <c r="E175" s="16" t="s">
        <v>648</v>
      </c>
      <c r="F175" s="16" t="s">
        <v>512</v>
      </c>
      <c r="G175" s="16" t="s">
        <v>52</v>
      </c>
      <c r="H175" s="16" t="s">
        <v>53</v>
      </c>
      <c r="I175" s="16" t="s">
        <v>646</v>
      </c>
      <c r="J175" s="17" t="s">
        <v>48</v>
      </c>
    </row>
    <row r="176" spans="1:10" ht="248.4" x14ac:dyDescent="0.3">
      <c r="A176" s="12" t="s">
        <v>649</v>
      </c>
      <c r="B176" s="13" t="s">
        <v>25</v>
      </c>
      <c r="C176" s="13" t="s">
        <v>505</v>
      </c>
      <c r="D176" s="13" t="s">
        <v>644</v>
      </c>
      <c r="E176" s="13" t="s">
        <v>650</v>
      </c>
      <c r="F176" s="13" t="s">
        <v>515</v>
      </c>
      <c r="G176" s="13" t="s">
        <v>57</v>
      </c>
      <c r="H176" s="13" t="s">
        <v>46</v>
      </c>
      <c r="I176" s="13" t="s">
        <v>651</v>
      </c>
      <c r="J176" s="14" t="s">
        <v>48</v>
      </c>
    </row>
    <row r="177" spans="1:10" ht="262.2" x14ac:dyDescent="0.3">
      <c r="A177" s="15" t="s">
        <v>652</v>
      </c>
      <c r="B177" s="16" t="s">
        <v>25</v>
      </c>
      <c r="C177" s="16" t="s">
        <v>505</v>
      </c>
      <c r="D177" s="16" t="s">
        <v>644</v>
      </c>
      <c r="E177" s="16" t="s">
        <v>653</v>
      </c>
      <c r="F177" s="16" t="s">
        <v>654</v>
      </c>
      <c r="G177" s="16" t="s">
        <v>45</v>
      </c>
      <c r="H177" s="16" t="s">
        <v>46</v>
      </c>
      <c r="I177" s="16" t="s">
        <v>655</v>
      </c>
      <c r="J177" s="17" t="s">
        <v>48</v>
      </c>
    </row>
    <row r="178" spans="1:10" ht="409.6" x14ac:dyDescent="0.3">
      <c r="A178" s="12" t="s">
        <v>656</v>
      </c>
      <c r="B178" s="13" t="s">
        <v>25</v>
      </c>
      <c r="C178" s="13" t="s">
        <v>505</v>
      </c>
      <c r="D178" s="13" t="s">
        <v>644</v>
      </c>
      <c r="E178" s="13" t="s">
        <v>657</v>
      </c>
      <c r="F178" s="13" t="s">
        <v>658</v>
      </c>
      <c r="G178" s="13" t="s">
        <v>339</v>
      </c>
      <c r="H178" s="13" t="s">
        <v>53</v>
      </c>
      <c r="I178" s="13" t="s">
        <v>659</v>
      </c>
      <c r="J178" s="14" t="s">
        <v>48</v>
      </c>
    </row>
    <row r="179" spans="1:10" ht="303.60000000000002" x14ac:dyDescent="0.3">
      <c r="A179" s="15" t="s">
        <v>660</v>
      </c>
      <c r="B179" s="16" t="s">
        <v>25</v>
      </c>
      <c r="C179" s="16" t="s">
        <v>505</v>
      </c>
      <c r="D179" s="16" t="s">
        <v>644</v>
      </c>
      <c r="E179" s="16" t="s">
        <v>661</v>
      </c>
      <c r="F179" s="16" t="s">
        <v>587</v>
      </c>
      <c r="G179" s="16" t="s">
        <v>57</v>
      </c>
      <c r="H179" s="16" t="s">
        <v>46</v>
      </c>
      <c r="I179" s="16" t="s">
        <v>662</v>
      </c>
      <c r="J179" s="17" t="s">
        <v>48</v>
      </c>
    </row>
    <row r="180" spans="1:10" ht="248.4" x14ac:dyDescent="0.3">
      <c r="A180" s="12" t="s">
        <v>663</v>
      </c>
      <c r="B180" s="13" t="s">
        <v>25</v>
      </c>
      <c r="C180" s="13" t="s">
        <v>505</v>
      </c>
      <c r="D180" s="13" t="s">
        <v>644</v>
      </c>
      <c r="E180" s="13" t="s">
        <v>664</v>
      </c>
      <c r="F180" s="13" t="s">
        <v>591</v>
      </c>
      <c r="G180" s="13" t="s">
        <v>57</v>
      </c>
      <c r="H180" s="13" t="s">
        <v>46</v>
      </c>
      <c r="I180" s="13" t="s">
        <v>665</v>
      </c>
      <c r="J180" s="14" t="s">
        <v>48</v>
      </c>
    </row>
    <row r="181" spans="1:10" ht="220.8" x14ac:dyDescent="0.3">
      <c r="A181" s="15" t="s">
        <v>666</v>
      </c>
      <c r="B181" s="16" t="s">
        <v>25</v>
      </c>
      <c r="C181" s="16" t="s">
        <v>505</v>
      </c>
      <c r="D181" s="16" t="s">
        <v>644</v>
      </c>
      <c r="E181" s="16" t="s">
        <v>667</v>
      </c>
      <c r="F181" s="16" t="s">
        <v>668</v>
      </c>
      <c r="G181" s="16" t="s">
        <v>45</v>
      </c>
      <c r="H181" s="16" t="s">
        <v>46</v>
      </c>
      <c r="I181" s="16" t="s">
        <v>669</v>
      </c>
      <c r="J181" s="17" t="s">
        <v>48</v>
      </c>
    </row>
    <row r="182" spans="1:10" ht="220.8" x14ac:dyDescent="0.3">
      <c r="A182" s="12" t="s">
        <v>670</v>
      </c>
      <c r="B182" s="13" t="s">
        <v>25</v>
      </c>
      <c r="C182" s="13" t="s">
        <v>505</v>
      </c>
      <c r="D182" s="13" t="s">
        <v>644</v>
      </c>
      <c r="E182" s="13" t="s">
        <v>671</v>
      </c>
      <c r="F182" s="13" t="s">
        <v>599</v>
      </c>
      <c r="G182" s="13" t="s">
        <v>45</v>
      </c>
      <c r="H182" s="13" t="s">
        <v>46</v>
      </c>
      <c r="I182" s="13" t="s">
        <v>672</v>
      </c>
      <c r="J182" s="14" t="s">
        <v>48</v>
      </c>
    </row>
    <row r="183" spans="1:10" ht="220.8" x14ac:dyDescent="0.3">
      <c r="A183" s="15" t="s">
        <v>673</v>
      </c>
      <c r="B183" s="16" t="s">
        <v>25</v>
      </c>
      <c r="C183" s="16" t="s">
        <v>505</v>
      </c>
      <c r="D183" s="16" t="s">
        <v>644</v>
      </c>
      <c r="E183" s="16" t="s">
        <v>674</v>
      </c>
      <c r="F183" s="16" t="s">
        <v>639</v>
      </c>
      <c r="G183" s="16" t="s">
        <v>45</v>
      </c>
      <c r="H183" s="16" t="s">
        <v>46</v>
      </c>
      <c r="I183" s="16" t="s">
        <v>675</v>
      </c>
      <c r="J183" s="17" t="s">
        <v>48</v>
      </c>
    </row>
    <row r="184" spans="1:10" ht="207" x14ac:dyDescent="0.3">
      <c r="A184" s="12" t="s">
        <v>676</v>
      </c>
      <c r="B184" s="13" t="s">
        <v>25</v>
      </c>
      <c r="C184" s="13" t="s">
        <v>505</v>
      </c>
      <c r="D184" s="13" t="s">
        <v>644</v>
      </c>
      <c r="E184" s="13" t="s">
        <v>677</v>
      </c>
      <c r="F184" s="13" t="s">
        <v>567</v>
      </c>
      <c r="G184" s="13" t="s">
        <v>82</v>
      </c>
      <c r="H184" s="13" t="s">
        <v>53</v>
      </c>
      <c r="I184" s="13" t="s">
        <v>646</v>
      </c>
      <c r="J184" s="14" t="s">
        <v>48</v>
      </c>
    </row>
    <row r="185" spans="1:10" ht="165.6" x14ac:dyDescent="0.3">
      <c r="A185" s="15" t="s">
        <v>678</v>
      </c>
      <c r="B185" s="16" t="s">
        <v>25</v>
      </c>
      <c r="C185" s="16" t="s">
        <v>505</v>
      </c>
      <c r="D185" s="16" t="s">
        <v>679</v>
      </c>
      <c r="E185" s="16" t="s">
        <v>680</v>
      </c>
      <c r="F185" s="16" t="s">
        <v>508</v>
      </c>
      <c r="G185" s="16" t="s">
        <v>45</v>
      </c>
      <c r="H185" s="16" t="s">
        <v>46</v>
      </c>
      <c r="I185" s="16" t="s">
        <v>681</v>
      </c>
      <c r="J185" s="17" t="s">
        <v>48</v>
      </c>
    </row>
    <row r="186" spans="1:10" ht="151.80000000000001" x14ac:dyDescent="0.3">
      <c r="A186" s="12" t="s">
        <v>682</v>
      </c>
      <c r="B186" s="13" t="s">
        <v>25</v>
      </c>
      <c r="C186" s="13" t="s">
        <v>505</v>
      </c>
      <c r="D186" s="13" t="s">
        <v>679</v>
      </c>
      <c r="E186" s="13" t="s">
        <v>683</v>
      </c>
      <c r="F186" s="13" t="s">
        <v>512</v>
      </c>
      <c r="G186" s="13" t="s">
        <v>52</v>
      </c>
      <c r="H186" s="13" t="s">
        <v>53</v>
      </c>
      <c r="I186" s="13" t="s">
        <v>681</v>
      </c>
      <c r="J186" s="14" t="s">
        <v>48</v>
      </c>
    </row>
    <row r="187" spans="1:10" ht="207" x14ac:dyDescent="0.3">
      <c r="A187" s="15" t="s">
        <v>684</v>
      </c>
      <c r="B187" s="16" t="s">
        <v>25</v>
      </c>
      <c r="C187" s="16" t="s">
        <v>505</v>
      </c>
      <c r="D187" s="16" t="s">
        <v>679</v>
      </c>
      <c r="E187" s="16" t="s">
        <v>685</v>
      </c>
      <c r="F187" s="16" t="s">
        <v>515</v>
      </c>
      <c r="G187" s="16" t="s">
        <v>57</v>
      </c>
      <c r="H187" s="16" t="s">
        <v>46</v>
      </c>
      <c r="I187" s="16" t="s">
        <v>686</v>
      </c>
      <c r="J187" s="17" t="s">
        <v>48</v>
      </c>
    </row>
    <row r="188" spans="1:10" ht="289.8" x14ac:dyDescent="0.3">
      <c r="A188" s="12" t="s">
        <v>687</v>
      </c>
      <c r="B188" s="13" t="s">
        <v>25</v>
      </c>
      <c r="C188" s="13" t="s">
        <v>505</v>
      </c>
      <c r="D188" s="13" t="s">
        <v>679</v>
      </c>
      <c r="E188" s="13" t="s">
        <v>688</v>
      </c>
      <c r="F188" s="13" t="s">
        <v>689</v>
      </c>
      <c r="G188" s="13" t="s">
        <v>45</v>
      </c>
      <c r="H188" s="13" t="s">
        <v>46</v>
      </c>
      <c r="I188" s="13" t="s">
        <v>690</v>
      </c>
      <c r="J188" s="14" t="s">
        <v>48</v>
      </c>
    </row>
    <row r="189" spans="1:10" ht="165.6" x14ac:dyDescent="0.3">
      <c r="A189" s="15" t="s">
        <v>691</v>
      </c>
      <c r="B189" s="16" t="s">
        <v>25</v>
      </c>
      <c r="C189" s="16" t="s">
        <v>505</v>
      </c>
      <c r="D189" s="16" t="s">
        <v>679</v>
      </c>
      <c r="E189" s="16" t="s">
        <v>692</v>
      </c>
      <c r="F189" s="16" t="s">
        <v>693</v>
      </c>
      <c r="G189" s="16" t="s">
        <v>45</v>
      </c>
      <c r="H189" s="16" t="s">
        <v>46</v>
      </c>
      <c r="I189" s="16" t="s">
        <v>694</v>
      </c>
      <c r="J189" s="17" t="s">
        <v>48</v>
      </c>
    </row>
    <row r="190" spans="1:10" ht="409.6" x14ac:dyDescent="0.3">
      <c r="A190" s="12" t="s">
        <v>695</v>
      </c>
      <c r="B190" s="13" t="s">
        <v>25</v>
      </c>
      <c r="C190" s="13" t="s">
        <v>505</v>
      </c>
      <c r="D190" s="13" t="s">
        <v>679</v>
      </c>
      <c r="E190" s="13" t="s">
        <v>696</v>
      </c>
      <c r="F190" s="13" t="s">
        <v>697</v>
      </c>
      <c r="G190" s="13" t="s">
        <v>339</v>
      </c>
      <c r="H190" s="13" t="s">
        <v>53</v>
      </c>
      <c r="I190" s="13" t="s">
        <v>698</v>
      </c>
      <c r="J190" s="14" t="s">
        <v>48</v>
      </c>
    </row>
    <row r="191" spans="1:10" ht="303.60000000000002" x14ac:dyDescent="0.3">
      <c r="A191" s="15" t="s">
        <v>699</v>
      </c>
      <c r="B191" s="16" t="s">
        <v>25</v>
      </c>
      <c r="C191" s="16" t="s">
        <v>505</v>
      </c>
      <c r="D191" s="16" t="s">
        <v>679</v>
      </c>
      <c r="E191" s="16" t="s">
        <v>700</v>
      </c>
      <c r="F191" s="16" t="s">
        <v>587</v>
      </c>
      <c r="G191" s="16" t="s">
        <v>57</v>
      </c>
      <c r="H191" s="16" t="s">
        <v>46</v>
      </c>
      <c r="I191" s="16" t="s">
        <v>701</v>
      </c>
      <c r="J191" s="17" t="s">
        <v>48</v>
      </c>
    </row>
    <row r="192" spans="1:10" ht="248.4" x14ac:dyDescent="0.3">
      <c r="A192" s="12" t="s">
        <v>702</v>
      </c>
      <c r="B192" s="13" t="s">
        <v>25</v>
      </c>
      <c r="C192" s="13" t="s">
        <v>505</v>
      </c>
      <c r="D192" s="13" t="s">
        <v>679</v>
      </c>
      <c r="E192" s="13" t="s">
        <v>703</v>
      </c>
      <c r="F192" s="13" t="s">
        <v>591</v>
      </c>
      <c r="G192" s="13" t="s">
        <v>57</v>
      </c>
      <c r="H192" s="13" t="s">
        <v>46</v>
      </c>
      <c r="I192" s="13" t="s">
        <v>704</v>
      </c>
      <c r="J192" s="14" t="s">
        <v>48</v>
      </c>
    </row>
    <row r="193" spans="1:10" ht="220.8" x14ac:dyDescent="0.3">
      <c r="A193" s="15" t="s">
        <v>705</v>
      </c>
      <c r="B193" s="16" t="s">
        <v>25</v>
      </c>
      <c r="C193" s="16" t="s">
        <v>505</v>
      </c>
      <c r="D193" s="16" t="s">
        <v>679</v>
      </c>
      <c r="E193" s="16" t="s">
        <v>706</v>
      </c>
      <c r="F193" s="16" t="s">
        <v>707</v>
      </c>
      <c r="G193" s="16" t="s">
        <v>45</v>
      </c>
      <c r="H193" s="16" t="s">
        <v>46</v>
      </c>
      <c r="I193" s="16" t="s">
        <v>708</v>
      </c>
      <c r="J193" s="17" t="s">
        <v>48</v>
      </c>
    </row>
    <row r="194" spans="1:10" ht="179.4" x14ac:dyDescent="0.3">
      <c r="A194" s="12" t="s">
        <v>709</v>
      </c>
      <c r="B194" s="13" t="s">
        <v>25</v>
      </c>
      <c r="C194" s="13" t="s">
        <v>505</v>
      </c>
      <c r="D194" s="13" t="s">
        <v>679</v>
      </c>
      <c r="E194" s="13" t="s">
        <v>710</v>
      </c>
      <c r="F194" s="13" t="s">
        <v>599</v>
      </c>
      <c r="G194" s="13" t="s">
        <v>45</v>
      </c>
      <c r="H194" s="13" t="s">
        <v>46</v>
      </c>
      <c r="I194" s="13" t="s">
        <v>711</v>
      </c>
      <c r="J194" s="14" t="s">
        <v>48</v>
      </c>
    </row>
    <row r="195" spans="1:10" ht="220.8" x14ac:dyDescent="0.3">
      <c r="A195" s="15" t="s">
        <v>712</v>
      </c>
      <c r="B195" s="16" t="s">
        <v>25</v>
      </c>
      <c r="C195" s="16" t="s">
        <v>505</v>
      </c>
      <c r="D195" s="16" t="s">
        <v>679</v>
      </c>
      <c r="E195" s="16" t="s">
        <v>713</v>
      </c>
      <c r="F195" s="16" t="s">
        <v>639</v>
      </c>
      <c r="G195" s="16" t="s">
        <v>45</v>
      </c>
      <c r="H195" s="16" t="s">
        <v>46</v>
      </c>
      <c r="I195" s="16" t="s">
        <v>714</v>
      </c>
      <c r="J195" s="17" t="s">
        <v>48</v>
      </c>
    </row>
    <row r="196" spans="1:10" ht="193.2" x14ac:dyDescent="0.3">
      <c r="A196" s="12" t="s">
        <v>715</v>
      </c>
      <c r="B196" s="13" t="s">
        <v>25</v>
      </c>
      <c r="C196" s="13" t="s">
        <v>505</v>
      </c>
      <c r="D196" s="13" t="s">
        <v>679</v>
      </c>
      <c r="E196" s="13" t="s">
        <v>716</v>
      </c>
      <c r="F196" s="13" t="s">
        <v>567</v>
      </c>
      <c r="G196" s="13" t="s">
        <v>82</v>
      </c>
      <c r="H196" s="13" t="s">
        <v>53</v>
      </c>
      <c r="I196" s="13" t="s">
        <v>681</v>
      </c>
      <c r="J196" s="14" t="s">
        <v>48</v>
      </c>
    </row>
    <row r="197" spans="1:10" ht="165.6" x14ac:dyDescent="0.3">
      <c r="A197" s="15" t="s">
        <v>717</v>
      </c>
      <c r="B197" s="16" t="s">
        <v>25</v>
      </c>
      <c r="C197" s="16" t="s">
        <v>505</v>
      </c>
      <c r="D197" s="16" t="s">
        <v>718</v>
      </c>
      <c r="E197" s="16" t="s">
        <v>719</v>
      </c>
      <c r="F197" s="16" t="s">
        <v>508</v>
      </c>
      <c r="G197" s="16" t="s">
        <v>45</v>
      </c>
      <c r="H197" s="16" t="s">
        <v>46</v>
      </c>
      <c r="I197" s="16" t="s">
        <v>720</v>
      </c>
      <c r="J197" s="17" t="s">
        <v>48</v>
      </c>
    </row>
    <row r="198" spans="1:10" ht="151.80000000000001" x14ac:dyDescent="0.3">
      <c r="A198" s="12" t="s">
        <v>721</v>
      </c>
      <c r="B198" s="13" t="s">
        <v>25</v>
      </c>
      <c r="C198" s="13" t="s">
        <v>505</v>
      </c>
      <c r="D198" s="13" t="s">
        <v>718</v>
      </c>
      <c r="E198" s="13" t="s">
        <v>722</v>
      </c>
      <c r="F198" s="13" t="s">
        <v>512</v>
      </c>
      <c r="G198" s="13" t="s">
        <v>52</v>
      </c>
      <c r="H198" s="13" t="s">
        <v>53</v>
      </c>
      <c r="I198" s="13" t="s">
        <v>720</v>
      </c>
      <c r="J198" s="14" t="s">
        <v>48</v>
      </c>
    </row>
    <row r="199" spans="1:10" ht="193.2" x14ac:dyDescent="0.3">
      <c r="A199" s="15" t="s">
        <v>723</v>
      </c>
      <c r="B199" s="16" t="s">
        <v>25</v>
      </c>
      <c r="C199" s="16" t="s">
        <v>505</v>
      </c>
      <c r="D199" s="16" t="s">
        <v>718</v>
      </c>
      <c r="E199" s="16" t="s">
        <v>724</v>
      </c>
      <c r="F199" s="16" t="s">
        <v>515</v>
      </c>
      <c r="G199" s="16" t="s">
        <v>57</v>
      </c>
      <c r="H199" s="16" t="s">
        <v>46</v>
      </c>
      <c r="I199" s="16" t="s">
        <v>725</v>
      </c>
      <c r="J199" s="17" t="s">
        <v>48</v>
      </c>
    </row>
    <row r="200" spans="1:10" ht="317.39999999999998" x14ac:dyDescent="0.3">
      <c r="A200" s="12" t="s">
        <v>726</v>
      </c>
      <c r="B200" s="13" t="s">
        <v>25</v>
      </c>
      <c r="C200" s="13" t="s">
        <v>505</v>
      </c>
      <c r="D200" s="13" t="s">
        <v>718</v>
      </c>
      <c r="E200" s="13" t="s">
        <v>727</v>
      </c>
      <c r="F200" s="13" t="s">
        <v>728</v>
      </c>
      <c r="G200" s="13" t="s">
        <v>45</v>
      </c>
      <c r="H200" s="13" t="s">
        <v>46</v>
      </c>
      <c r="I200" s="13" t="s">
        <v>729</v>
      </c>
      <c r="J200" s="14" t="s">
        <v>48</v>
      </c>
    </row>
    <row r="201" spans="1:10" ht="220.8" x14ac:dyDescent="0.3">
      <c r="A201" s="15" t="s">
        <v>730</v>
      </c>
      <c r="B201" s="16" t="s">
        <v>25</v>
      </c>
      <c r="C201" s="16" t="s">
        <v>505</v>
      </c>
      <c r="D201" s="16" t="s">
        <v>718</v>
      </c>
      <c r="E201" s="16" t="s">
        <v>731</v>
      </c>
      <c r="F201" s="16" t="s">
        <v>732</v>
      </c>
      <c r="G201" s="16" t="s">
        <v>45</v>
      </c>
      <c r="H201" s="16" t="s">
        <v>46</v>
      </c>
      <c r="I201" s="16" t="s">
        <v>733</v>
      </c>
      <c r="J201" s="17" t="s">
        <v>48</v>
      </c>
    </row>
    <row r="202" spans="1:10" ht="207" x14ac:dyDescent="0.3">
      <c r="A202" s="12" t="s">
        <v>734</v>
      </c>
      <c r="B202" s="13" t="s">
        <v>25</v>
      </c>
      <c r="C202" s="13" t="s">
        <v>505</v>
      </c>
      <c r="D202" s="13" t="s">
        <v>718</v>
      </c>
      <c r="E202" s="13" t="s">
        <v>735</v>
      </c>
      <c r="F202" s="13" t="s">
        <v>736</v>
      </c>
      <c r="G202" s="13" t="s">
        <v>45</v>
      </c>
      <c r="H202" s="13" t="s">
        <v>46</v>
      </c>
      <c r="I202" s="13" t="s">
        <v>737</v>
      </c>
      <c r="J202" s="14" t="s">
        <v>48</v>
      </c>
    </row>
    <row r="203" spans="1:10" ht="165.6" x14ac:dyDescent="0.3">
      <c r="A203" s="15" t="s">
        <v>738</v>
      </c>
      <c r="B203" s="16" t="s">
        <v>25</v>
      </c>
      <c r="C203" s="16" t="s">
        <v>505</v>
      </c>
      <c r="D203" s="16" t="s">
        <v>718</v>
      </c>
      <c r="E203" s="16" t="s">
        <v>739</v>
      </c>
      <c r="F203" s="16" t="s">
        <v>740</v>
      </c>
      <c r="G203" s="16" t="s">
        <v>45</v>
      </c>
      <c r="H203" s="16" t="s">
        <v>53</v>
      </c>
      <c r="I203" s="16" t="s">
        <v>741</v>
      </c>
      <c r="J203" s="17" t="s">
        <v>48</v>
      </c>
    </row>
    <row r="204" spans="1:10" ht="409.6" x14ac:dyDescent="0.3">
      <c r="A204" s="12" t="s">
        <v>742</v>
      </c>
      <c r="B204" s="13" t="s">
        <v>25</v>
      </c>
      <c r="C204" s="13" t="s">
        <v>505</v>
      </c>
      <c r="D204" s="13" t="s">
        <v>718</v>
      </c>
      <c r="E204" s="13" t="s">
        <v>743</v>
      </c>
      <c r="F204" s="13" t="s">
        <v>744</v>
      </c>
      <c r="G204" s="13" t="s">
        <v>57</v>
      </c>
      <c r="H204" s="13" t="s">
        <v>53</v>
      </c>
      <c r="I204" s="13" t="s">
        <v>745</v>
      </c>
      <c r="J204" s="14" t="s">
        <v>48</v>
      </c>
    </row>
    <row r="205" spans="1:10" ht="409.6" x14ac:dyDescent="0.3">
      <c r="A205" s="15" t="s">
        <v>746</v>
      </c>
      <c r="B205" s="16" t="s">
        <v>25</v>
      </c>
      <c r="C205" s="16" t="s">
        <v>505</v>
      </c>
      <c r="D205" s="16" t="s">
        <v>718</v>
      </c>
      <c r="E205" s="16" t="s">
        <v>747</v>
      </c>
      <c r="F205" s="16" t="s">
        <v>748</v>
      </c>
      <c r="G205" s="16" t="s">
        <v>57</v>
      </c>
      <c r="H205" s="16" t="s">
        <v>46</v>
      </c>
      <c r="I205" s="16" t="s">
        <v>749</v>
      </c>
      <c r="J205" s="17" t="s">
        <v>48</v>
      </c>
    </row>
    <row r="206" spans="1:10" ht="409.6" x14ac:dyDescent="0.3">
      <c r="A206" s="12" t="s">
        <v>750</v>
      </c>
      <c r="B206" s="13" t="s">
        <v>25</v>
      </c>
      <c r="C206" s="13" t="s">
        <v>505</v>
      </c>
      <c r="D206" s="13" t="s">
        <v>718</v>
      </c>
      <c r="E206" s="13" t="s">
        <v>751</v>
      </c>
      <c r="F206" s="13" t="s">
        <v>752</v>
      </c>
      <c r="G206" s="13" t="s">
        <v>57</v>
      </c>
      <c r="H206" s="13" t="s">
        <v>46</v>
      </c>
      <c r="I206" s="13" t="s">
        <v>753</v>
      </c>
      <c r="J206" s="14" t="s">
        <v>48</v>
      </c>
    </row>
    <row r="207" spans="1:10" ht="409.6" x14ac:dyDescent="0.3">
      <c r="A207" s="15" t="s">
        <v>754</v>
      </c>
      <c r="B207" s="16" t="s">
        <v>25</v>
      </c>
      <c r="C207" s="16" t="s">
        <v>505</v>
      </c>
      <c r="D207" s="16" t="s">
        <v>718</v>
      </c>
      <c r="E207" s="16" t="s">
        <v>755</v>
      </c>
      <c r="F207" s="16" t="s">
        <v>756</v>
      </c>
      <c r="G207" s="16" t="s">
        <v>339</v>
      </c>
      <c r="H207" s="16" t="s">
        <v>53</v>
      </c>
      <c r="I207" s="16" t="s">
        <v>757</v>
      </c>
      <c r="J207" s="17" t="s">
        <v>48</v>
      </c>
    </row>
    <row r="208" spans="1:10" ht="409.6" x14ac:dyDescent="0.3">
      <c r="A208" s="12" t="s">
        <v>758</v>
      </c>
      <c r="B208" s="13" t="s">
        <v>25</v>
      </c>
      <c r="C208" s="13" t="s">
        <v>505</v>
      </c>
      <c r="D208" s="13" t="s">
        <v>718</v>
      </c>
      <c r="E208" s="13" t="s">
        <v>759</v>
      </c>
      <c r="F208" s="13" t="s">
        <v>760</v>
      </c>
      <c r="G208" s="13" t="s">
        <v>57</v>
      </c>
      <c r="H208" s="13" t="s">
        <v>46</v>
      </c>
      <c r="I208" s="13" t="s">
        <v>761</v>
      </c>
      <c r="J208" s="14" t="s">
        <v>48</v>
      </c>
    </row>
    <row r="209" spans="1:10" ht="234.6" x14ac:dyDescent="0.3">
      <c r="A209" s="15" t="s">
        <v>762</v>
      </c>
      <c r="B209" s="16" t="s">
        <v>25</v>
      </c>
      <c r="C209" s="16" t="s">
        <v>505</v>
      </c>
      <c r="D209" s="16" t="s">
        <v>718</v>
      </c>
      <c r="E209" s="16" t="s">
        <v>763</v>
      </c>
      <c r="F209" s="16" t="s">
        <v>764</v>
      </c>
      <c r="G209" s="16" t="s">
        <v>45</v>
      </c>
      <c r="H209" s="16" t="s">
        <v>46</v>
      </c>
      <c r="I209" s="16" t="s">
        <v>765</v>
      </c>
      <c r="J209" s="17" t="s">
        <v>48</v>
      </c>
    </row>
    <row r="210" spans="1:10" ht="179.4" x14ac:dyDescent="0.3">
      <c r="A210" s="12" t="s">
        <v>766</v>
      </c>
      <c r="B210" s="13" t="s">
        <v>25</v>
      </c>
      <c r="C210" s="13" t="s">
        <v>505</v>
      </c>
      <c r="D210" s="13" t="s">
        <v>718</v>
      </c>
      <c r="E210" s="13" t="s">
        <v>767</v>
      </c>
      <c r="F210" s="13" t="s">
        <v>599</v>
      </c>
      <c r="G210" s="13" t="s">
        <v>45</v>
      </c>
      <c r="H210" s="13" t="s">
        <v>46</v>
      </c>
      <c r="I210" s="13" t="s">
        <v>768</v>
      </c>
      <c r="J210" s="14" t="s">
        <v>48</v>
      </c>
    </row>
    <row r="211" spans="1:10" ht="409.6" x14ac:dyDescent="0.3">
      <c r="A211" s="15" t="s">
        <v>769</v>
      </c>
      <c r="B211" s="16" t="s">
        <v>25</v>
      </c>
      <c r="C211" s="16" t="s">
        <v>505</v>
      </c>
      <c r="D211" s="16" t="s">
        <v>718</v>
      </c>
      <c r="E211" s="16" t="s">
        <v>770</v>
      </c>
      <c r="F211" s="16" t="s">
        <v>771</v>
      </c>
      <c r="G211" s="16" t="s">
        <v>45</v>
      </c>
      <c r="H211" s="16" t="s">
        <v>53</v>
      </c>
      <c r="I211" s="16" t="s">
        <v>772</v>
      </c>
      <c r="J211" s="17" t="s">
        <v>48</v>
      </c>
    </row>
    <row r="212" spans="1:10" ht="193.2" x14ac:dyDescent="0.3">
      <c r="A212" s="12" t="s">
        <v>773</v>
      </c>
      <c r="B212" s="13" t="s">
        <v>25</v>
      </c>
      <c r="C212" s="13" t="s">
        <v>505</v>
      </c>
      <c r="D212" s="13" t="s">
        <v>718</v>
      </c>
      <c r="E212" s="13" t="s">
        <v>774</v>
      </c>
      <c r="F212" s="13" t="s">
        <v>567</v>
      </c>
      <c r="G212" s="13" t="s">
        <v>82</v>
      </c>
      <c r="H212" s="13" t="s">
        <v>53</v>
      </c>
      <c r="I212" s="13" t="s">
        <v>720</v>
      </c>
      <c r="J212" s="14" t="s">
        <v>48</v>
      </c>
    </row>
    <row r="213" spans="1:10" ht="165.6" x14ac:dyDescent="0.3">
      <c r="A213" s="15" t="s">
        <v>775</v>
      </c>
      <c r="B213" s="16" t="s">
        <v>25</v>
      </c>
      <c r="C213" s="16" t="s">
        <v>505</v>
      </c>
      <c r="D213" s="16" t="s">
        <v>776</v>
      </c>
      <c r="E213" s="16" t="s">
        <v>777</v>
      </c>
      <c r="F213" s="16" t="s">
        <v>508</v>
      </c>
      <c r="G213" s="16" t="s">
        <v>45</v>
      </c>
      <c r="H213" s="16" t="s">
        <v>46</v>
      </c>
      <c r="I213" s="16" t="s">
        <v>778</v>
      </c>
      <c r="J213" s="17" t="s">
        <v>48</v>
      </c>
    </row>
    <row r="214" spans="1:10" ht="138" x14ac:dyDescent="0.3">
      <c r="A214" s="12" t="s">
        <v>779</v>
      </c>
      <c r="B214" s="13" t="s">
        <v>25</v>
      </c>
      <c r="C214" s="13" t="s">
        <v>505</v>
      </c>
      <c r="D214" s="13" t="s">
        <v>776</v>
      </c>
      <c r="E214" s="13" t="s">
        <v>780</v>
      </c>
      <c r="F214" s="13" t="s">
        <v>512</v>
      </c>
      <c r="G214" s="13" t="s">
        <v>52</v>
      </c>
      <c r="H214" s="13" t="s">
        <v>53</v>
      </c>
      <c r="I214" s="13" t="s">
        <v>778</v>
      </c>
      <c r="J214" s="14" t="s">
        <v>48</v>
      </c>
    </row>
    <row r="215" spans="1:10" ht="179.4" x14ac:dyDescent="0.3">
      <c r="A215" s="15" t="s">
        <v>781</v>
      </c>
      <c r="B215" s="16" t="s">
        <v>25</v>
      </c>
      <c r="C215" s="16" t="s">
        <v>505</v>
      </c>
      <c r="D215" s="16" t="s">
        <v>776</v>
      </c>
      <c r="E215" s="16" t="s">
        <v>782</v>
      </c>
      <c r="F215" s="16" t="s">
        <v>515</v>
      </c>
      <c r="G215" s="16" t="s">
        <v>57</v>
      </c>
      <c r="H215" s="16" t="s">
        <v>46</v>
      </c>
      <c r="I215" s="16" t="s">
        <v>783</v>
      </c>
      <c r="J215" s="17" t="s">
        <v>48</v>
      </c>
    </row>
    <row r="216" spans="1:10" ht="289.8" x14ac:dyDescent="0.3">
      <c r="A216" s="12" t="s">
        <v>784</v>
      </c>
      <c r="B216" s="13" t="s">
        <v>25</v>
      </c>
      <c r="C216" s="13" t="s">
        <v>505</v>
      </c>
      <c r="D216" s="13" t="s">
        <v>776</v>
      </c>
      <c r="E216" s="13" t="s">
        <v>785</v>
      </c>
      <c r="F216" s="13" t="s">
        <v>786</v>
      </c>
      <c r="G216" s="13" t="s">
        <v>45</v>
      </c>
      <c r="H216" s="13" t="s">
        <v>46</v>
      </c>
      <c r="I216" s="13" t="s">
        <v>787</v>
      </c>
      <c r="J216" s="14" t="s">
        <v>48</v>
      </c>
    </row>
    <row r="217" spans="1:10" ht="220.8" x14ac:dyDescent="0.3">
      <c r="A217" s="15" t="s">
        <v>788</v>
      </c>
      <c r="B217" s="16" t="s">
        <v>25</v>
      </c>
      <c r="C217" s="16" t="s">
        <v>505</v>
      </c>
      <c r="D217" s="16" t="s">
        <v>776</v>
      </c>
      <c r="E217" s="16" t="s">
        <v>789</v>
      </c>
      <c r="F217" s="16" t="s">
        <v>732</v>
      </c>
      <c r="G217" s="16" t="s">
        <v>45</v>
      </c>
      <c r="H217" s="16" t="s">
        <v>46</v>
      </c>
      <c r="I217" s="16" t="s">
        <v>790</v>
      </c>
      <c r="J217" s="17" t="s">
        <v>48</v>
      </c>
    </row>
    <row r="218" spans="1:10" ht="207" x14ac:dyDescent="0.3">
      <c r="A218" s="12" t="s">
        <v>791</v>
      </c>
      <c r="B218" s="13" t="s">
        <v>25</v>
      </c>
      <c r="C218" s="13" t="s">
        <v>505</v>
      </c>
      <c r="D218" s="13" t="s">
        <v>776</v>
      </c>
      <c r="E218" s="13" t="s">
        <v>792</v>
      </c>
      <c r="F218" s="13" t="s">
        <v>793</v>
      </c>
      <c r="G218" s="13" t="s">
        <v>45</v>
      </c>
      <c r="H218" s="13" t="s">
        <v>46</v>
      </c>
      <c r="I218" s="13" t="s">
        <v>794</v>
      </c>
      <c r="J218" s="14" t="s">
        <v>48</v>
      </c>
    </row>
    <row r="219" spans="1:10" ht="151.80000000000001" x14ac:dyDescent="0.3">
      <c r="A219" s="15" t="s">
        <v>795</v>
      </c>
      <c r="B219" s="16" t="s">
        <v>25</v>
      </c>
      <c r="C219" s="16" t="s">
        <v>505</v>
      </c>
      <c r="D219" s="16" t="s">
        <v>776</v>
      </c>
      <c r="E219" s="16" t="s">
        <v>796</v>
      </c>
      <c r="F219" s="16" t="s">
        <v>740</v>
      </c>
      <c r="G219" s="16" t="s">
        <v>45</v>
      </c>
      <c r="H219" s="16" t="s">
        <v>53</v>
      </c>
      <c r="I219" s="16" t="s">
        <v>797</v>
      </c>
      <c r="J219" s="17" t="s">
        <v>48</v>
      </c>
    </row>
    <row r="220" spans="1:10" ht="409.6" x14ac:dyDescent="0.3">
      <c r="A220" s="12" t="s">
        <v>798</v>
      </c>
      <c r="B220" s="13" t="s">
        <v>25</v>
      </c>
      <c r="C220" s="13" t="s">
        <v>505</v>
      </c>
      <c r="D220" s="13" t="s">
        <v>776</v>
      </c>
      <c r="E220" s="13" t="s">
        <v>799</v>
      </c>
      <c r="F220" s="13" t="s">
        <v>800</v>
      </c>
      <c r="G220" s="13" t="s">
        <v>57</v>
      </c>
      <c r="H220" s="13" t="s">
        <v>46</v>
      </c>
      <c r="I220" s="13" t="s">
        <v>801</v>
      </c>
      <c r="J220" s="14" t="s">
        <v>48</v>
      </c>
    </row>
    <row r="221" spans="1:10" ht="409.6" x14ac:dyDescent="0.3">
      <c r="A221" s="15" t="s">
        <v>802</v>
      </c>
      <c r="B221" s="16" t="s">
        <v>25</v>
      </c>
      <c r="C221" s="16" t="s">
        <v>505</v>
      </c>
      <c r="D221" s="16" t="s">
        <v>776</v>
      </c>
      <c r="E221" s="16" t="s">
        <v>803</v>
      </c>
      <c r="F221" s="16" t="s">
        <v>804</v>
      </c>
      <c r="G221" s="16" t="s">
        <v>57</v>
      </c>
      <c r="H221" s="16" t="s">
        <v>53</v>
      </c>
      <c r="I221" s="16" t="s">
        <v>805</v>
      </c>
      <c r="J221" s="17" t="s">
        <v>48</v>
      </c>
    </row>
    <row r="222" spans="1:10" ht="303.60000000000002" x14ac:dyDescent="0.3">
      <c r="A222" s="12" t="s">
        <v>806</v>
      </c>
      <c r="B222" s="13" t="s">
        <v>25</v>
      </c>
      <c r="C222" s="13" t="s">
        <v>505</v>
      </c>
      <c r="D222" s="13" t="s">
        <v>776</v>
      </c>
      <c r="E222" s="13" t="s">
        <v>807</v>
      </c>
      <c r="F222" s="13" t="s">
        <v>587</v>
      </c>
      <c r="G222" s="13" t="s">
        <v>57</v>
      </c>
      <c r="H222" s="13" t="s">
        <v>46</v>
      </c>
      <c r="I222" s="13" t="s">
        <v>808</v>
      </c>
      <c r="J222" s="14" t="s">
        <v>48</v>
      </c>
    </row>
    <row r="223" spans="1:10" ht="234.6" x14ac:dyDescent="0.3">
      <c r="A223" s="15" t="s">
        <v>809</v>
      </c>
      <c r="B223" s="16" t="s">
        <v>25</v>
      </c>
      <c r="C223" s="16" t="s">
        <v>505</v>
      </c>
      <c r="D223" s="16" t="s">
        <v>776</v>
      </c>
      <c r="E223" s="16" t="s">
        <v>810</v>
      </c>
      <c r="F223" s="16" t="s">
        <v>764</v>
      </c>
      <c r="G223" s="16" t="s">
        <v>45</v>
      </c>
      <c r="H223" s="16" t="s">
        <v>46</v>
      </c>
      <c r="I223" s="16" t="s">
        <v>811</v>
      </c>
      <c r="J223" s="17" t="s">
        <v>48</v>
      </c>
    </row>
    <row r="224" spans="1:10" ht="179.4" x14ac:dyDescent="0.3">
      <c r="A224" s="12" t="s">
        <v>812</v>
      </c>
      <c r="B224" s="13" t="s">
        <v>25</v>
      </c>
      <c r="C224" s="13" t="s">
        <v>505</v>
      </c>
      <c r="D224" s="13" t="s">
        <v>776</v>
      </c>
      <c r="E224" s="13" t="s">
        <v>813</v>
      </c>
      <c r="F224" s="13" t="s">
        <v>599</v>
      </c>
      <c r="G224" s="13" t="s">
        <v>45</v>
      </c>
      <c r="H224" s="13" t="s">
        <v>46</v>
      </c>
      <c r="I224" s="13" t="s">
        <v>814</v>
      </c>
      <c r="J224" s="14" t="s">
        <v>48</v>
      </c>
    </row>
    <row r="225" spans="1:10" ht="409.6" x14ac:dyDescent="0.3">
      <c r="A225" s="15" t="s">
        <v>815</v>
      </c>
      <c r="B225" s="16" t="s">
        <v>25</v>
      </c>
      <c r="C225" s="16" t="s">
        <v>505</v>
      </c>
      <c r="D225" s="16" t="s">
        <v>776</v>
      </c>
      <c r="E225" s="16" t="s">
        <v>816</v>
      </c>
      <c r="F225" s="16" t="s">
        <v>817</v>
      </c>
      <c r="G225" s="16" t="s">
        <v>45</v>
      </c>
      <c r="H225" s="16" t="s">
        <v>53</v>
      </c>
      <c r="I225" s="16" t="s">
        <v>818</v>
      </c>
      <c r="J225" s="17" t="s">
        <v>48</v>
      </c>
    </row>
    <row r="226" spans="1:10" ht="193.2" x14ac:dyDescent="0.3">
      <c r="A226" s="12" t="s">
        <v>819</v>
      </c>
      <c r="B226" s="13" t="s">
        <v>25</v>
      </c>
      <c r="C226" s="13" t="s">
        <v>505</v>
      </c>
      <c r="D226" s="13" t="s">
        <v>776</v>
      </c>
      <c r="E226" s="13" t="s">
        <v>820</v>
      </c>
      <c r="F226" s="13" t="s">
        <v>567</v>
      </c>
      <c r="G226" s="13" t="s">
        <v>82</v>
      </c>
      <c r="H226" s="13" t="s">
        <v>53</v>
      </c>
      <c r="I226" s="13" t="s">
        <v>778</v>
      </c>
      <c r="J226" s="14" t="s">
        <v>48</v>
      </c>
    </row>
    <row r="227" spans="1:10" ht="165.6" x14ac:dyDescent="0.3">
      <c r="A227" s="15" t="s">
        <v>821</v>
      </c>
      <c r="B227" s="16" t="s">
        <v>25</v>
      </c>
      <c r="C227" s="16" t="s">
        <v>822</v>
      </c>
      <c r="D227" s="16" t="s">
        <v>823</v>
      </c>
      <c r="E227" s="16" t="s">
        <v>824</v>
      </c>
      <c r="F227" s="16" t="s">
        <v>825</v>
      </c>
      <c r="G227" s="16" t="s">
        <v>45</v>
      </c>
      <c r="H227" s="16" t="s">
        <v>46</v>
      </c>
      <c r="I227" s="16" t="s">
        <v>826</v>
      </c>
      <c r="J227" s="17" t="s">
        <v>48</v>
      </c>
    </row>
    <row r="228" spans="1:10" ht="165.6" x14ac:dyDescent="0.3">
      <c r="A228" s="12" t="s">
        <v>827</v>
      </c>
      <c r="B228" s="13" t="s">
        <v>25</v>
      </c>
      <c r="C228" s="13" t="s">
        <v>822</v>
      </c>
      <c r="D228" s="13" t="s">
        <v>823</v>
      </c>
      <c r="E228" s="13" t="s">
        <v>828</v>
      </c>
      <c r="F228" s="13" t="s">
        <v>829</v>
      </c>
      <c r="G228" s="13" t="s">
        <v>52</v>
      </c>
      <c r="H228" s="13" t="s">
        <v>53</v>
      </c>
      <c r="I228" s="13" t="s">
        <v>826</v>
      </c>
      <c r="J228" s="14" t="s">
        <v>48</v>
      </c>
    </row>
    <row r="229" spans="1:10" ht="262.2" x14ac:dyDescent="0.3">
      <c r="A229" s="15" t="s">
        <v>830</v>
      </c>
      <c r="B229" s="16" t="s">
        <v>25</v>
      </c>
      <c r="C229" s="16" t="s">
        <v>822</v>
      </c>
      <c r="D229" s="16" t="s">
        <v>823</v>
      </c>
      <c r="E229" s="16" t="s">
        <v>831</v>
      </c>
      <c r="F229" s="16" t="s">
        <v>832</v>
      </c>
      <c r="G229" s="16" t="s">
        <v>57</v>
      </c>
      <c r="H229" s="16" t="s">
        <v>46</v>
      </c>
      <c r="I229" s="16" t="s">
        <v>833</v>
      </c>
      <c r="J229" s="17" t="s">
        <v>48</v>
      </c>
    </row>
    <row r="230" spans="1:10" ht="409.6" x14ac:dyDescent="0.3">
      <c r="A230" s="12" t="s">
        <v>834</v>
      </c>
      <c r="B230" s="13" t="s">
        <v>25</v>
      </c>
      <c r="C230" s="13" t="s">
        <v>822</v>
      </c>
      <c r="D230" s="13" t="s">
        <v>823</v>
      </c>
      <c r="E230" s="13" t="s">
        <v>835</v>
      </c>
      <c r="F230" s="13" t="s">
        <v>836</v>
      </c>
      <c r="G230" s="13" t="s">
        <v>57</v>
      </c>
      <c r="H230" s="13" t="s">
        <v>53</v>
      </c>
      <c r="I230" s="13" t="s">
        <v>837</v>
      </c>
      <c r="J230" s="14" t="s">
        <v>48</v>
      </c>
    </row>
    <row r="231" spans="1:10" ht="409.6" x14ac:dyDescent="0.3">
      <c r="A231" s="15" t="s">
        <v>838</v>
      </c>
      <c r="B231" s="16" t="s">
        <v>25</v>
      </c>
      <c r="C231" s="16" t="s">
        <v>822</v>
      </c>
      <c r="D231" s="16" t="s">
        <v>823</v>
      </c>
      <c r="E231" s="16" t="s">
        <v>839</v>
      </c>
      <c r="F231" s="16" t="s">
        <v>840</v>
      </c>
      <c r="G231" s="16" t="s">
        <v>52</v>
      </c>
      <c r="H231" s="16" t="s">
        <v>53</v>
      </c>
      <c r="I231" s="16" t="s">
        <v>841</v>
      </c>
      <c r="J231" s="17" t="s">
        <v>48</v>
      </c>
    </row>
    <row r="232" spans="1:10" ht="409.6" x14ac:dyDescent="0.3">
      <c r="A232" s="12" t="s">
        <v>842</v>
      </c>
      <c r="B232" s="13" t="s">
        <v>25</v>
      </c>
      <c r="C232" s="13" t="s">
        <v>822</v>
      </c>
      <c r="D232" s="13" t="s">
        <v>823</v>
      </c>
      <c r="E232" s="13" t="s">
        <v>843</v>
      </c>
      <c r="F232" s="13" t="s">
        <v>844</v>
      </c>
      <c r="G232" s="13" t="s">
        <v>52</v>
      </c>
      <c r="H232" s="13" t="s">
        <v>53</v>
      </c>
      <c r="I232" s="13" t="s">
        <v>845</v>
      </c>
      <c r="J232" s="14" t="s">
        <v>48</v>
      </c>
    </row>
    <row r="233" spans="1:10" ht="409.6" x14ac:dyDescent="0.3">
      <c r="A233" s="15" t="s">
        <v>846</v>
      </c>
      <c r="B233" s="16" t="s">
        <v>25</v>
      </c>
      <c r="C233" s="16" t="s">
        <v>822</v>
      </c>
      <c r="D233" s="16" t="s">
        <v>823</v>
      </c>
      <c r="E233" s="16" t="s">
        <v>847</v>
      </c>
      <c r="F233" s="16" t="s">
        <v>848</v>
      </c>
      <c r="G233" s="16" t="s">
        <v>339</v>
      </c>
      <c r="H233" s="16" t="s">
        <v>53</v>
      </c>
      <c r="I233" s="16" t="s">
        <v>849</v>
      </c>
      <c r="J233" s="17" t="s">
        <v>48</v>
      </c>
    </row>
    <row r="234" spans="1:10" ht="409.6" x14ac:dyDescent="0.3">
      <c r="A234" s="12" t="s">
        <v>850</v>
      </c>
      <c r="B234" s="13" t="s">
        <v>25</v>
      </c>
      <c r="C234" s="13" t="s">
        <v>822</v>
      </c>
      <c r="D234" s="13" t="s">
        <v>823</v>
      </c>
      <c r="E234" s="13" t="s">
        <v>851</v>
      </c>
      <c r="F234" s="13" t="s">
        <v>852</v>
      </c>
      <c r="G234" s="13" t="s">
        <v>339</v>
      </c>
      <c r="H234" s="13" t="s">
        <v>53</v>
      </c>
      <c r="I234" s="13" t="s">
        <v>853</v>
      </c>
      <c r="J234" s="14" t="s">
        <v>48</v>
      </c>
    </row>
    <row r="235" spans="1:10" ht="409.6" x14ac:dyDescent="0.3">
      <c r="A235" s="15" t="s">
        <v>854</v>
      </c>
      <c r="B235" s="16" t="s">
        <v>25</v>
      </c>
      <c r="C235" s="16" t="s">
        <v>822</v>
      </c>
      <c r="D235" s="16" t="s">
        <v>823</v>
      </c>
      <c r="E235" s="16" t="s">
        <v>855</v>
      </c>
      <c r="F235" s="16" t="s">
        <v>856</v>
      </c>
      <c r="G235" s="16" t="s">
        <v>339</v>
      </c>
      <c r="H235" s="16" t="s">
        <v>53</v>
      </c>
      <c r="I235" s="16" t="s">
        <v>857</v>
      </c>
      <c r="J235" s="17" t="s">
        <v>48</v>
      </c>
    </row>
    <row r="236" spans="1:10" ht="409.6" x14ac:dyDescent="0.3">
      <c r="A236" s="12" t="s">
        <v>858</v>
      </c>
      <c r="B236" s="13" t="s">
        <v>25</v>
      </c>
      <c r="C236" s="13" t="s">
        <v>822</v>
      </c>
      <c r="D236" s="13" t="s">
        <v>823</v>
      </c>
      <c r="E236" s="13" t="s">
        <v>859</v>
      </c>
      <c r="F236" s="13" t="s">
        <v>860</v>
      </c>
      <c r="G236" s="13" t="s">
        <v>339</v>
      </c>
      <c r="H236" s="13" t="s">
        <v>46</v>
      </c>
      <c r="I236" s="13" t="s">
        <v>861</v>
      </c>
      <c r="J236" s="14" t="s">
        <v>48</v>
      </c>
    </row>
    <row r="237" spans="1:10" ht="220.8" x14ac:dyDescent="0.3">
      <c r="A237" s="15" t="s">
        <v>862</v>
      </c>
      <c r="B237" s="16" t="s">
        <v>25</v>
      </c>
      <c r="C237" s="16" t="s">
        <v>822</v>
      </c>
      <c r="D237" s="16" t="s">
        <v>823</v>
      </c>
      <c r="E237" s="16" t="s">
        <v>863</v>
      </c>
      <c r="F237" s="16" t="s">
        <v>864</v>
      </c>
      <c r="G237" s="16" t="s">
        <v>57</v>
      </c>
      <c r="H237" s="16" t="s">
        <v>46</v>
      </c>
      <c r="I237" s="16" t="s">
        <v>865</v>
      </c>
      <c r="J237" s="17" t="s">
        <v>48</v>
      </c>
    </row>
    <row r="238" spans="1:10" ht="234.6" x14ac:dyDescent="0.3">
      <c r="A238" s="12" t="s">
        <v>866</v>
      </c>
      <c r="B238" s="13" t="s">
        <v>25</v>
      </c>
      <c r="C238" s="13" t="s">
        <v>822</v>
      </c>
      <c r="D238" s="13" t="s">
        <v>823</v>
      </c>
      <c r="E238" s="13" t="s">
        <v>867</v>
      </c>
      <c r="F238" s="13" t="s">
        <v>868</v>
      </c>
      <c r="G238" s="13" t="s">
        <v>57</v>
      </c>
      <c r="H238" s="13" t="s">
        <v>46</v>
      </c>
      <c r="I238" s="13" t="s">
        <v>869</v>
      </c>
      <c r="J238" s="14" t="s">
        <v>48</v>
      </c>
    </row>
    <row r="239" spans="1:10" ht="193.2" x14ac:dyDescent="0.3">
      <c r="A239" s="15" t="s">
        <v>870</v>
      </c>
      <c r="B239" s="16" t="s">
        <v>25</v>
      </c>
      <c r="C239" s="16" t="s">
        <v>822</v>
      </c>
      <c r="D239" s="16" t="s">
        <v>823</v>
      </c>
      <c r="E239" s="16" t="s">
        <v>871</v>
      </c>
      <c r="F239" s="16" t="s">
        <v>872</v>
      </c>
      <c r="G239" s="16" t="s">
        <v>45</v>
      </c>
      <c r="H239" s="16" t="s">
        <v>46</v>
      </c>
      <c r="I239" s="16" t="s">
        <v>873</v>
      </c>
      <c r="J239" s="17" t="s">
        <v>48</v>
      </c>
    </row>
    <row r="240" spans="1:10" ht="331.2" x14ac:dyDescent="0.3">
      <c r="A240" s="12" t="s">
        <v>874</v>
      </c>
      <c r="B240" s="13" t="s">
        <v>25</v>
      </c>
      <c r="C240" s="13" t="s">
        <v>822</v>
      </c>
      <c r="D240" s="13" t="s">
        <v>823</v>
      </c>
      <c r="E240" s="13" t="s">
        <v>875</v>
      </c>
      <c r="F240" s="13" t="s">
        <v>876</v>
      </c>
      <c r="G240" s="13" t="s">
        <v>57</v>
      </c>
      <c r="H240" s="13" t="s">
        <v>46</v>
      </c>
      <c r="I240" s="13" t="s">
        <v>877</v>
      </c>
      <c r="J240" s="14" t="s">
        <v>48</v>
      </c>
    </row>
    <row r="241" spans="1:10" ht="409.6" x14ac:dyDescent="0.3">
      <c r="A241" s="15" t="s">
        <v>878</v>
      </c>
      <c r="B241" s="16" t="s">
        <v>25</v>
      </c>
      <c r="C241" s="16" t="s">
        <v>822</v>
      </c>
      <c r="D241" s="16" t="s">
        <v>823</v>
      </c>
      <c r="E241" s="16" t="s">
        <v>879</v>
      </c>
      <c r="F241" s="16" t="s">
        <v>880</v>
      </c>
      <c r="G241" s="16" t="s">
        <v>45</v>
      </c>
      <c r="H241" s="16" t="s">
        <v>53</v>
      </c>
      <c r="I241" s="16" t="s">
        <v>881</v>
      </c>
      <c r="J241" s="17" t="s">
        <v>48</v>
      </c>
    </row>
    <row r="242" spans="1:10" ht="409.6" x14ac:dyDescent="0.3">
      <c r="A242" s="12" t="s">
        <v>882</v>
      </c>
      <c r="B242" s="13" t="s">
        <v>25</v>
      </c>
      <c r="C242" s="13" t="s">
        <v>822</v>
      </c>
      <c r="D242" s="13" t="s">
        <v>823</v>
      </c>
      <c r="E242" s="13" t="s">
        <v>883</v>
      </c>
      <c r="F242" s="13" t="s">
        <v>884</v>
      </c>
      <c r="G242" s="13" t="s">
        <v>52</v>
      </c>
      <c r="H242" s="13" t="s">
        <v>53</v>
      </c>
      <c r="I242" s="13" t="s">
        <v>885</v>
      </c>
      <c r="J242" s="14" t="s">
        <v>48</v>
      </c>
    </row>
    <row r="243" spans="1:10" ht="193.2" x14ac:dyDescent="0.3">
      <c r="A243" s="15" t="s">
        <v>886</v>
      </c>
      <c r="B243" s="16" t="s">
        <v>25</v>
      </c>
      <c r="C243" s="16" t="s">
        <v>822</v>
      </c>
      <c r="D243" s="16" t="s">
        <v>823</v>
      </c>
      <c r="E243" s="16" t="s">
        <v>887</v>
      </c>
      <c r="F243" s="16" t="s">
        <v>888</v>
      </c>
      <c r="G243" s="16" t="s">
        <v>82</v>
      </c>
      <c r="H243" s="16" t="s">
        <v>53</v>
      </c>
      <c r="I243" s="16" t="s">
        <v>826</v>
      </c>
      <c r="J243" s="17" t="s">
        <v>48</v>
      </c>
    </row>
    <row r="244" spans="1:10" ht="179.4" x14ac:dyDescent="0.3">
      <c r="A244" s="12" t="s">
        <v>889</v>
      </c>
      <c r="B244" s="13" t="s">
        <v>25</v>
      </c>
      <c r="C244" s="13" t="s">
        <v>890</v>
      </c>
      <c r="D244" s="13" t="s">
        <v>891</v>
      </c>
      <c r="E244" s="13" t="s">
        <v>892</v>
      </c>
      <c r="F244" s="13" t="s">
        <v>893</v>
      </c>
      <c r="G244" s="13" t="s">
        <v>45</v>
      </c>
      <c r="H244" s="13" t="s">
        <v>46</v>
      </c>
      <c r="I244" s="13" t="s">
        <v>894</v>
      </c>
      <c r="J244" s="14" t="s">
        <v>48</v>
      </c>
    </row>
    <row r="245" spans="1:10" ht="179.4" x14ac:dyDescent="0.3">
      <c r="A245" s="15" t="s">
        <v>895</v>
      </c>
      <c r="B245" s="16" t="s">
        <v>25</v>
      </c>
      <c r="C245" s="16" t="s">
        <v>890</v>
      </c>
      <c r="D245" s="16" t="s">
        <v>891</v>
      </c>
      <c r="E245" s="16" t="s">
        <v>896</v>
      </c>
      <c r="F245" s="16" t="s">
        <v>897</v>
      </c>
      <c r="G245" s="16" t="s">
        <v>52</v>
      </c>
      <c r="H245" s="16" t="s">
        <v>53</v>
      </c>
      <c r="I245" s="16" t="s">
        <v>894</v>
      </c>
      <c r="J245" s="17" t="s">
        <v>48</v>
      </c>
    </row>
    <row r="246" spans="1:10" ht="220.8" x14ac:dyDescent="0.3">
      <c r="A246" s="12" t="s">
        <v>898</v>
      </c>
      <c r="B246" s="13" t="s">
        <v>25</v>
      </c>
      <c r="C246" s="13" t="s">
        <v>890</v>
      </c>
      <c r="D246" s="13" t="s">
        <v>891</v>
      </c>
      <c r="E246" s="13" t="s">
        <v>899</v>
      </c>
      <c r="F246" s="13" t="s">
        <v>900</v>
      </c>
      <c r="G246" s="13" t="s">
        <v>57</v>
      </c>
      <c r="H246" s="13" t="s">
        <v>46</v>
      </c>
      <c r="I246" s="13" t="s">
        <v>901</v>
      </c>
      <c r="J246" s="14" t="s">
        <v>48</v>
      </c>
    </row>
    <row r="247" spans="1:10" ht="409.6" x14ac:dyDescent="0.3">
      <c r="A247" s="15" t="s">
        <v>902</v>
      </c>
      <c r="B247" s="16" t="s">
        <v>25</v>
      </c>
      <c r="C247" s="16" t="s">
        <v>890</v>
      </c>
      <c r="D247" s="16" t="s">
        <v>891</v>
      </c>
      <c r="E247" s="16" t="s">
        <v>903</v>
      </c>
      <c r="F247" s="16" t="s">
        <v>904</v>
      </c>
      <c r="G247" s="16" t="s">
        <v>57</v>
      </c>
      <c r="H247" s="16" t="s">
        <v>46</v>
      </c>
      <c r="I247" s="16" t="s">
        <v>905</v>
      </c>
      <c r="J247" s="17" t="s">
        <v>48</v>
      </c>
    </row>
    <row r="248" spans="1:10" ht="409.6" x14ac:dyDescent="0.3">
      <c r="A248" s="12" t="s">
        <v>906</v>
      </c>
      <c r="B248" s="13" t="s">
        <v>25</v>
      </c>
      <c r="C248" s="13" t="s">
        <v>890</v>
      </c>
      <c r="D248" s="13" t="s">
        <v>891</v>
      </c>
      <c r="E248" s="13" t="s">
        <v>907</v>
      </c>
      <c r="F248" s="13" t="s">
        <v>908</v>
      </c>
      <c r="G248" s="13" t="s">
        <v>57</v>
      </c>
      <c r="H248" s="13" t="s">
        <v>53</v>
      </c>
      <c r="I248" s="13" t="s">
        <v>909</v>
      </c>
      <c r="J248" s="14" t="s">
        <v>48</v>
      </c>
    </row>
    <row r="249" spans="1:10" ht="409.6" x14ac:dyDescent="0.3">
      <c r="A249" s="15" t="s">
        <v>910</v>
      </c>
      <c r="B249" s="16" t="s">
        <v>25</v>
      </c>
      <c r="C249" s="16" t="s">
        <v>890</v>
      </c>
      <c r="D249" s="16" t="s">
        <v>891</v>
      </c>
      <c r="E249" s="16" t="s">
        <v>911</v>
      </c>
      <c r="F249" s="16" t="s">
        <v>912</v>
      </c>
      <c r="G249" s="16" t="s">
        <v>57</v>
      </c>
      <c r="H249" s="16" t="s">
        <v>53</v>
      </c>
      <c r="I249" s="16" t="s">
        <v>913</v>
      </c>
      <c r="J249" s="17" t="s">
        <v>48</v>
      </c>
    </row>
    <row r="250" spans="1:10" ht="409.6" x14ac:dyDescent="0.3">
      <c r="A250" s="12" t="s">
        <v>914</v>
      </c>
      <c r="B250" s="13" t="s">
        <v>25</v>
      </c>
      <c r="C250" s="13" t="s">
        <v>890</v>
      </c>
      <c r="D250" s="13" t="s">
        <v>891</v>
      </c>
      <c r="E250" s="13" t="s">
        <v>915</v>
      </c>
      <c r="F250" s="13" t="s">
        <v>916</v>
      </c>
      <c r="G250" s="13" t="s">
        <v>57</v>
      </c>
      <c r="H250" s="13" t="s">
        <v>53</v>
      </c>
      <c r="I250" s="13" t="s">
        <v>917</v>
      </c>
      <c r="J250" s="14" t="s">
        <v>48</v>
      </c>
    </row>
    <row r="251" spans="1:10" ht="234.6" x14ac:dyDescent="0.3">
      <c r="A251" s="15" t="s">
        <v>918</v>
      </c>
      <c r="B251" s="16" t="s">
        <v>25</v>
      </c>
      <c r="C251" s="16" t="s">
        <v>890</v>
      </c>
      <c r="D251" s="16" t="s">
        <v>891</v>
      </c>
      <c r="E251" s="16" t="s">
        <v>919</v>
      </c>
      <c r="F251" s="16" t="s">
        <v>864</v>
      </c>
      <c r="G251" s="16" t="s">
        <v>57</v>
      </c>
      <c r="H251" s="16" t="s">
        <v>46</v>
      </c>
      <c r="I251" s="16" t="s">
        <v>920</v>
      </c>
      <c r="J251" s="17" t="s">
        <v>48</v>
      </c>
    </row>
    <row r="252" spans="1:10" ht="317.39999999999998" x14ac:dyDescent="0.3">
      <c r="A252" s="12" t="s">
        <v>921</v>
      </c>
      <c r="B252" s="13" t="s">
        <v>25</v>
      </c>
      <c r="C252" s="13" t="s">
        <v>890</v>
      </c>
      <c r="D252" s="13" t="s">
        <v>891</v>
      </c>
      <c r="E252" s="13" t="s">
        <v>922</v>
      </c>
      <c r="F252" s="13" t="s">
        <v>923</v>
      </c>
      <c r="G252" s="13" t="s">
        <v>57</v>
      </c>
      <c r="H252" s="13" t="s">
        <v>46</v>
      </c>
      <c r="I252" s="13" t="s">
        <v>924</v>
      </c>
      <c r="J252" s="14" t="s">
        <v>48</v>
      </c>
    </row>
    <row r="253" spans="1:10" ht="207" x14ac:dyDescent="0.3">
      <c r="A253" s="15" t="s">
        <v>925</v>
      </c>
      <c r="B253" s="16" t="s">
        <v>25</v>
      </c>
      <c r="C253" s="16" t="s">
        <v>890</v>
      </c>
      <c r="D253" s="16" t="s">
        <v>891</v>
      </c>
      <c r="E253" s="16" t="s">
        <v>926</v>
      </c>
      <c r="F253" s="16" t="s">
        <v>927</v>
      </c>
      <c r="G253" s="16" t="s">
        <v>45</v>
      </c>
      <c r="H253" s="16" t="s">
        <v>46</v>
      </c>
      <c r="I253" s="16" t="s">
        <v>928</v>
      </c>
      <c r="J253" s="17" t="s">
        <v>48</v>
      </c>
    </row>
    <row r="254" spans="1:10" ht="207" x14ac:dyDescent="0.3">
      <c r="A254" s="12" t="s">
        <v>929</v>
      </c>
      <c r="B254" s="13" t="s">
        <v>25</v>
      </c>
      <c r="C254" s="13" t="s">
        <v>890</v>
      </c>
      <c r="D254" s="13" t="s">
        <v>891</v>
      </c>
      <c r="E254" s="13" t="s">
        <v>930</v>
      </c>
      <c r="F254" s="13" t="s">
        <v>599</v>
      </c>
      <c r="G254" s="13" t="s">
        <v>45</v>
      </c>
      <c r="H254" s="13" t="s">
        <v>46</v>
      </c>
      <c r="I254" s="13" t="s">
        <v>931</v>
      </c>
      <c r="J254" s="14" t="s">
        <v>48</v>
      </c>
    </row>
    <row r="255" spans="1:10" ht="409.6" x14ac:dyDescent="0.3">
      <c r="A255" s="15" t="s">
        <v>932</v>
      </c>
      <c r="B255" s="16" t="s">
        <v>25</v>
      </c>
      <c r="C255" s="16" t="s">
        <v>890</v>
      </c>
      <c r="D255" s="16" t="s">
        <v>891</v>
      </c>
      <c r="E255" s="16" t="s">
        <v>933</v>
      </c>
      <c r="F255" s="16" t="s">
        <v>934</v>
      </c>
      <c r="G255" s="16" t="s">
        <v>57</v>
      </c>
      <c r="H255" s="16" t="s">
        <v>46</v>
      </c>
      <c r="I255" s="16" t="s">
        <v>935</v>
      </c>
      <c r="J255" s="17" t="s">
        <v>48</v>
      </c>
    </row>
    <row r="256" spans="1:10" ht="207" x14ac:dyDescent="0.3">
      <c r="A256" s="12" t="s">
        <v>936</v>
      </c>
      <c r="B256" s="13" t="s">
        <v>25</v>
      </c>
      <c r="C256" s="13" t="s">
        <v>890</v>
      </c>
      <c r="D256" s="13" t="s">
        <v>891</v>
      </c>
      <c r="E256" s="13" t="s">
        <v>937</v>
      </c>
      <c r="F256" s="13" t="s">
        <v>938</v>
      </c>
      <c r="G256" s="13" t="s">
        <v>82</v>
      </c>
      <c r="H256" s="13" t="s">
        <v>53</v>
      </c>
      <c r="I256" s="13" t="s">
        <v>894</v>
      </c>
      <c r="J256" s="14" t="s">
        <v>48</v>
      </c>
    </row>
  </sheetData>
  <dataValidations count="1">
    <dataValidation type="list" sqref="J2:J256" xr:uid="{268BA8EA-5878-48A5-8FFB-0CBD8F332B98}">
      <formula1>"Draft,Ready,Approved,Deprecated"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8F6FA-C433-4E86-AE61-9928993AAB51}">
  <dimension ref="A1:R307"/>
  <sheetViews>
    <sheetView workbookViewId="0">
      <selection sqref="A1:R307"/>
    </sheetView>
  </sheetViews>
  <sheetFormatPr defaultRowHeight="13.8" x14ac:dyDescent="0.3"/>
  <sheetData>
    <row r="1" spans="1:18" ht="57.6" x14ac:dyDescent="0.3">
      <c r="A1" s="9" t="s">
        <v>939</v>
      </c>
      <c r="B1" s="10" t="s">
        <v>31</v>
      </c>
      <c r="C1" s="10" t="s">
        <v>16</v>
      </c>
      <c r="D1" s="10" t="s">
        <v>32</v>
      </c>
      <c r="E1" s="10" t="s">
        <v>940</v>
      </c>
      <c r="F1" s="10" t="s">
        <v>36</v>
      </c>
      <c r="G1" s="10" t="s">
        <v>37</v>
      </c>
      <c r="H1" s="10" t="s">
        <v>941</v>
      </c>
      <c r="I1" s="10" t="s">
        <v>942</v>
      </c>
      <c r="J1" s="10" t="s">
        <v>943</v>
      </c>
      <c r="K1" s="10" t="s">
        <v>944</v>
      </c>
      <c r="L1" s="10" t="s">
        <v>945</v>
      </c>
      <c r="M1" s="10" t="s">
        <v>946</v>
      </c>
      <c r="N1" s="10" t="s">
        <v>38</v>
      </c>
      <c r="O1" s="10" t="s">
        <v>947</v>
      </c>
      <c r="P1" s="10" t="s">
        <v>948</v>
      </c>
      <c r="Q1" s="10" t="s">
        <v>949</v>
      </c>
      <c r="R1" s="11" t="s">
        <v>950</v>
      </c>
    </row>
    <row r="2" spans="1:18" ht="234.6" x14ac:dyDescent="0.3">
      <c r="A2" s="12" t="s">
        <v>951</v>
      </c>
      <c r="B2" s="13" t="s">
        <v>40</v>
      </c>
      <c r="C2" s="13" t="s">
        <v>24</v>
      </c>
      <c r="D2" s="13" t="s">
        <v>41</v>
      </c>
      <c r="E2" s="13" t="s">
        <v>952</v>
      </c>
      <c r="F2" s="13" t="s">
        <v>953</v>
      </c>
      <c r="G2" s="13" t="s">
        <v>46</v>
      </c>
      <c r="H2" s="13" t="s">
        <v>954</v>
      </c>
      <c r="I2" s="13" t="s">
        <v>42</v>
      </c>
      <c r="J2" s="13" t="s">
        <v>955</v>
      </c>
      <c r="K2" s="13" t="s">
        <v>956</v>
      </c>
      <c r="L2" s="13" t="s">
        <v>957</v>
      </c>
      <c r="M2" s="13" t="s">
        <v>958</v>
      </c>
      <c r="N2" s="13" t="s">
        <v>47</v>
      </c>
      <c r="O2" s="13" t="s">
        <v>959</v>
      </c>
      <c r="P2" s="13"/>
      <c r="Q2" s="13"/>
      <c r="R2" s="14"/>
    </row>
    <row r="3" spans="1:18" ht="345" x14ac:dyDescent="0.3">
      <c r="A3" s="15" t="s">
        <v>960</v>
      </c>
      <c r="B3" s="16" t="s">
        <v>40</v>
      </c>
      <c r="C3" s="16" t="s">
        <v>24</v>
      </c>
      <c r="D3" s="16" t="s">
        <v>41</v>
      </c>
      <c r="E3" s="16" t="s">
        <v>961</v>
      </c>
      <c r="F3" s="16" t="s">
        <v>339</v>
      </c>
      <c r="G3" s="16" t="s">
        <v>53</v>
      </c>
      <c r="H3" s="16" t="s">
        <v>962</v>
      </c>
      <c r="I3" s="16" t="s">
        <v>42</v>
      </c>
      <c r="J3" s="16" t="s">
        <v>963</v>
      </c>
      <c r="K3" s="16" t="s">
        <v>964</v>
      </c>
      <c r="L3" s="16" t="s">
        <v>957</v>
      </c>
      <c r="M3" s="16" t="s">
        <v>958</v>
      </c>
      <c r="N3" s="16" t="s">
        <v>47</v>
      </c>
      <c r="O3" s="16" t="s">
        <v>959</v>
      </c>
      <c r="P3" s="16"/>
      <c r="Q3" s="16"/>
      <c r="R3" s="17"/>
    </row>
    <row r="4" spans="1:18" ht="248.4" x14ac:dyDescent="0.3">
      <c r="A4" s="12" t="s">
        <v>965</v>
      </c>
      <c r="B4" s="13" t="s">
        <v>49</v>
      </c>
      <c r="C4" s="13" t="s">
        <v>24</v>
      </c>
      <c r="D4" s="13" t="s">
        <v>41</v>
      </c>
      <c r="E4" s="13" t="s">
        <v>966</v>
      </c>
      <c r="F4" s="13" t="s">
        <v>52</v>
      </c>
      <c r="G4" s="13" t="s">
        <v>53</v>
      </c>
      <c r="H4" s="13" t="s">
        <v>967</v>
      </c>
      <c r="I4" s="13" t="s">
        <v>42</v>
      </c>
      <c r="J4" s="13" t="s">
        <v>968</v>
      </c>
      <c r="K4" s="13" t="s">
        <v>969</v>
      </c>
      <c r="L4" s="13" t="s">
        <v>957</v>
      </c>
      <c r="M4" s="13" t="s">
        <v>958</v>
      </c>
      <c r="N4" s="13" t="s">
        <v>47</v>
      </c>
      <c r="O4" s="13" t="s">
        <v>959</v>
      </c>
      <c r="P4" s="13"/>
      <c r="Q4" s="13"/>
      <c r="R4" s="14"/>
    </row>
    <row r="5" spans="1:18" ht="303.60000000000002" x14ac:dyDescent="0.3">
      <c r="A5" s="15" t="s">
        <v>970</v>
      </c>
      <c r="B5" s="16" t="s">
        <v>49</v>
      </c>
      <c r="C5" s="16" t="s">
        <v>24</v>
      </c>
      <c r="D5" s="16" t="s">
        <v>41</v>
      </c>
      <c r="E5" s="16" t="s">
        <v>971</v>
      </c>
      <c r="F5" s="16" t="s">
        <v>972</v>
      </c>
      <c r="G5" s="16" t="s">
        <v>53</v>
      </c>
      <c r="H5" s="16" t="s">
        <v>973</v>
      </c>
      <c r="I5" s="16" t="s">
        <v>42</v>
      </c>
      <c r="J5" s="16" t="s">
        <v>974</v>
      </c>
      <c r="K5" s="16" t="s">
        <v>975</v>
      </c>
      <c r="L5" s="16" t="s">
        <v>957</v>
      </c>
      <c r="M5" s="16" t="s">
        <v>958</v>
      </c>
      <c r="N5" s="16" t="s">
        <v>47</v>
      </c>
      <c r="O5" s="16" t="s">
        <v>959</v>
      </c>
      <c r="P5" s="16"/>
      <c r="Q5" s="16"/>
      <c r="R5" s="17"/>
    </row>
    <row r="6" spans="1:18" ht="409.6" x14ac:dyDescent="0.3">
      <c r="A6" s="12" t="s">
        <v>976</v>
      </c>
      <c r="B6" s="13" t="s">
        <v>54</v>
      </c>
      <c r="C6" s="13" t="s">
        <v>24</v>
      </c>
      <c r="D6" s="13" t="s">
        <v>41</v>
      </c>
      <c r="E6" s="13" t="s">
        <v>55</v>
      </c>
      <c r="F6" s="13" t="s">
        <v>57</v>
      </c>
      <c r="G6" s="13" t="s">
        <v>46</v>
      </c>
      <c r="H6" s="13" t="s">
        <v>977</v>
      </c>
      <c r="I6" s="13" t="s">
        <v>42</v>
      </c>
      <c r="J6" s="13" t="s">
        <v>978</v>
      </c>
      <c r="K6" s="13" t="s">
        <v>979</v>
      </c>
      <c r="L6" s="13" t="s">
        <v>957</v>
      </c>
      <c r="M6" s="13" t="s">
        <v>958</v>
      </c>
      <c r="N6" s="13" t="s">
        <v>58</v>
      </c>
      <c r="O6" s="13" t="s">
        <v>959</v>
      </c>
      <c r="P6" s="13"/>
      <c r="Q6" s="13"/>
      <c r="R6" s="14"/>
    </row>
    <row r="7" spans="1:18" ht="386.4" x14ac:dyDescent="0.3">
      <c r="A7" s="15" t="s">
        <v>980</v>
      </c>
      <c r="B7" s="16" t="s">
        <v>59</v>
      </c>
      <c r="C7" s="16" t="s">
        <v>24</v>
      </c>
      <c r="D7" s="16" t="s">
        <v>41</v>
      </c>
      <c r="E7" s="16" t="s">
        <v>60</v>
      </c>
      <c r="F7" s="16" t="s">
        <v>57</v>
      </c>
      <c r="G7" s="16" t="s">
        <v>46</v>
      </c>
      <c r="H7" s="16" t="s">
        <v>977</v>
      </c>
      <c r="I7" s="16" t="s">
        <v>42</v>
      </c>
      <c r="J7" s="16" t="s">
        <v>981</v>
      </c>
      <c r="K7" s="16" t="s">
        <v>982</v>
      </c>
      <c r="L7" s="16" t="s">
        <v>957</v>
      </c>
      <c r="M7" s="16" t="s">
        <v>958</v>
      </c>
      <c r="N7" s="16" t="s">
        <v>62</v>
      </c>
      <c r="O7" s="16" t="s">
        <v>959</v>
      </c>
      <c r="P7" s="16"/>
      <c r="Q7" s="16"/>
      <c r="R7" s="17"/>
    </row>
    <row r="8" spans="1:18" ht="358.8" x14ac:dyDescent="0.3">
      <c r="A8" s="12" t="s">
        <v>983</v>
      </c>
      <c r="B8" s="13" t="s">
        <v>63</v>
      </c>
      <c r="C8" s="13" t="s">
        <v>24</v>
      </c>
      <c r="D8" s="13" t="s">
        <v>41</v>
      </c>
      <c r="E8" s="13" t="s">
        <v>64</v>
      </c>
      <c r="F8" s="13" t="s">
        <v>45</v>
      </c>
      <c r="G8" s="13" t="s">
        <v>46</v>
      </c>
      <c r="H8" s="13" t="s">
        <v>977</v>
      </c>
      <c r="I8" s="13" t="s">
        <v>42</v>
      </c>
      <c r="J8" s="13" t="s">
        <v>984</v>
      </c>
      <c r="K8" s="13" t="s">
        <v>985</v>
      </c>
      <c r="L8" s="13" t="s">
        <v>957</v>
      </c>
      <c r="M8" s="13" t="s">
        <v>958</v>
      </c>
      <c r="N8" s="13" t="s">
        <v>66</v>
      </c>
      <c r="O8" s="13" t="s">
        <v>959</v>
      </c>
      <c r="P8" s="13"/>
      <c r="Q8" s="13"/>
      <c r="R8" s="14"/>
    </row>
    <row r="9" spans="1:18" ht="409.6" x14ac:dyDescent="0.3">
      <c r="A9" s="15" t="s">
        <v>986</v>
      </c>
      <c r="B9" s="16" t="s">
        <v>67</v>
      </c>
      <c r="C9" s="16" t="s">
        <v>24</v>
      </c>
      <c r="D9" s="16" t="s">
        <v>41</v>
      </c>
      <c r="E9" s="16" t="s">
        <v>68</v>
      </c>
      <c r="F9" s="16" t="s">
        <v>45</v>
      </c>
      <c r="G9" s="16" t="s">
        <v>46</v>
      </c>
      <c r="H9" s="16" t="s">
        <v>987</v>
      </c>
      <c r="I9" s="16" t="s">
        <v>42</v>
      </c>
      <c r="J9" s="16" t="s">
        <v>988</v>
      </c>
      <c r="K9" s="16" t="s">
        <v>989</v>
      </c>
      <c r="L9" s="16" t="s">
        <v>957</v>
      </c>
      <c r="M9" s="16" t="s">
        <v>958</v>
      </c>
      <c r="N9" s="16" t="s">
        <v>70</v>
      </c>
      <c r="O9" s="16" t="s">
        <v>959</v>
      </c>
      <c r="P9" s="16"/>
      <c r="Q9" s="16"/>
      <c r="R9" s="17" t="s">
        <v>990</v>
      </c>
    </row>
    <row r="10" spans="1:18" ht="400.2" x14ac:dyDescent="0.3">
      <c r="A10" s="12" t="s">
        <v>991</v>
      </c>
      <c r="B10" s="13" t="s">
        <v>71</v>
      </c>
      <c r="C10" s="13" t="s">
        <v>24</v>
      </c>
      <c r="D10" s="13" t="s">
        <v>41</v>
      </c>
      <c r="E10" s="13" t="s">
        <v>72</v>
      </c>
      <c r="F10" s="13" t="s">
        <v>57</v>
      </c>
      <c r="G10" s="13" t="s">
        <v>46</v>
      </c>
      <c r="H10" s="13" t="s">
        <v>977</v>
      </c>
      <c r="I10" s="13" t="s">
        <v>42</v>
      </c>
      <c r="J10" s="13" t="s">
        <v>992</v>
      </c>
      <c r="K10" s="13" t="s">
        <v>993</v>
      </c>
      <c r="L10" s="13" t="s">
        <v>957</v>
      </c>
      <c r="M10" s="13" t="s">
        <v>958</v>
      </c>
      <c r="N10" s="13" t="s">
        <v>74</v>
      </c>
      <c r="O10" s="13" t="s">
        <v>959</v>
      </c>
      <c r="P10" s="13"/>
      <c r="Q10" s="13"/>
      <c r="R10" s="14"/>
    </row>
    <row r="11" spans="1:18" ht="386.4" x14ac:dyDescent="0.3">
      <c r="A11" s="15" t="s">
        <v>994</v>
      </c>
      <c r="B11" s="16" t="s">
        <v>75</v>
      </c>
      <c r="C11" s="16" t="s">
        <v>24</v>
      </c>
      <c r="D11" s="16" t="s">
        <v>41</v>
      </c>
      <c r="E11" s="16" t="s">
        <v>76</v>
      </c>
      <c r="F11" s="16" t="s">
        <v>45</v>
      </c>
      <c r="G11" s="16" t="s">
        <v>46</v>
      </c>
      <c r="H11" s="16" t="s">
        <v>977</v>
      </c>
      <c r="I11" s="16" t="s">
        <v>42</v>
      </c>
      <c r="J11" s="16" t="s">
        <v>995</v>
      </c>
      <c r="K11" s="16" t="s">
        <v>996</v>
      </c>
      <c r="L11" s="16" t="s">
        <v>957</v>
      </c>
      <c r="M11" s="16" t="s">
        <v>958</v>
      </c>
      <c r="N11" s="16" t="s">
        <v>78</v>
      </c>
      <c r="O11" s="16" t="s">
        <v>959</v>
      </c>
      <c r="P11" s="16"/>
      <c r="Q11" s="16"/>
      <c r="R11" s="17"/>
    </row>
    <row r="12" spans="1:18" ht="289.8" x14ac:dyDescent="0.3">
      <c r="A12" s="12" t="s">
        <v>997</v>
      </c>
      <c r="B12" s="13" t="s">
        <v>79</v>
      </c>
      <c r="C12" s="13" t="s">
        <v>24</v>
      </c>
      <c r="D12" s="13" t="s">
        <v>41</v>
      </c>
      <c r="E12" s="13" t="s">
        <v>998</v>
      </c>
      <c r="F12" s="13" t="s">
        <v>953</v>
      </c>
      <c r="G12" s="13" t="s">
        <v>53</v>
      </c>
      <c r="H12" s="13" t="s">
        <v>999</v>
      </c>
      <c r="I12" s="13" t="s">
        <v>42</v>
      </c>
      <c r="J12" s="13" t="s">
        <v>1000</v>
      </c>
      <c r="K12" s="13" t="s">
        <v>1001</v>
      </c>
      <c r="L12" s="13" t="s">
        <v>957</v>
      </c>
      <c r="M12" s="13" t="s">
        <v>958</v>
      </c>
      <c r="N12" s="13" t="s">
        <v>47</v>
      </c>
      <c r="O12" s="13" t="s">
        <v>959</v>
      </c>
      <c r="P12" s="13"/>
      <c r="Q12" s="13"/>
      <c r="R12" s="14"/>
    </row>
    <row r="13" spans="1:18" ht="345" x14ac:dyDescent="0.3">
      <c r="A13" s="15" t="s">
        <v>1002</v>
      </c>
      <c r="B13" s="16" t="s">
        <v>79</v>
      </c>
      <c r="C13" s="16" t="s">
        <v>24</v>
      </c>
      <c r="D13" s="16" t="s">
        <v>41</v>
      </c>
      <c r="E13" s="16" t="s">
        <v>1003</v>
      </c>
      <c r="F13" s="16" t="s">
        <v>339</v>
      </c>
      <c r="G13" s="16" t="s">
        <v>53</v>
      </c>
      <c r="H13" s="16" t="s">
        <v>1004</v>
      </c>
      <c r="I13" s="16" t="s">
        <v>42</v>
      </c>
      <c r="J13" s="16" t="s">
        <v>1005</v>
      </c>
      <c r="K13" s="16" t="s">
        <v>1006</v>
      </c>
      <c r="L13" s="16" t="s">
        <v>957</v>
      </c>
      <c r="M13" s="16" t="s">
        <v>958</v>
      </c>
      <c r="N13" s="16" t="s">
        <v>47</v>
      </c>
      <c r="O13" s="16" t="s">
        <v>959</v>
      </c>
      <c r="P13" s="16"/>
      <c r="Q13" s="16"/>
      <c r="R13" s="17"/>
    </row>
    <row r="14" spans="1:18" ht="220.8" x14ac:dyDescent="0.3">
      <c r="A14" s="12" t="s">
        <v>1007</v>
      </c>
      <c r="B14" s="13" t="s">
        <v>83</v>
      </c>
      <c r="C14" s="13" t="s">
        <v>24</v>
      </c>
      <c r="D14" s="13" t="s">
        <v>41</v>
      </c>
      <c r="E14" s="13" t="s">
        <v>1008</v>
      </c>
      <c r="F14" s="13" t="s">
        <v>953</v>
      </c>
      <c r="G14" s="13" t="s">
        <v>46</v>
      </c>
      <c r="H14" s="13" t="s">
        <v>954</v>
      </c>
      <c r="I14" s="13" t="s">
        <v>84</v>
      </c>
      <c r="J14" s="13" t="s">
        <v>1009</v>
      </c>
      <c r="K14" s="13" t="s">
        <v>956</v>
      </c>
      <c r="L14" s="13" t="s">
        <v>957</v>
      </c>
      <c r="M14" s="13" t="s">
        <v>958</v>
      </c>
      <c r="N14" s="13" t="s">
        <v>86</v>
      </c>
      <c r="O14" s="13" t="s">
        <v>959</v>
      </c>
      <c r="P14" s="13"/>
      <c r="Q14" s="13"/>
      <c r="R14" s="14"/>
    </row>
    <row r="15" spans="1:18" ht="331.2" x14ac:dyDescent="0.3">
      <c r="A15" s="15" t="s">
        <v>1010</v>
      </c>
      <c r="B15" s="16" t="s">
        <v>83</v>
      </c>
      <c r="C15" s="16" t="s">
        <v>24</v>
      </c>
      <c r="D15" s="16" t="s">
        <v>41</v>
      </c>
      <c r="E15" s="16" t="s">
        <v>1011</v>
      </c>
      <c r="F15" s="16" t="s">
        <v>339</v>
      </c>
      <c r="G15" s="16" t="s">
        <v>53</v>
      </c>
      <c r="H15" s="16" t="s">
        <v>962</v>
      </c>
      <c r="I15" s="16" t="s">
        <v>84</v>
      </c>
      <c r="J15" s="16" t="s">
        <v>1012</v>
      </c>
      <c r="K15" s="16" t="s">
        <v>964</v>
      </c>
      <c r="L15" s="16" t="s">
        <v>957</v>
      </c>
      <c r="M15" s="16" t="s">
        <v>958</v>
      </c>
      <c r="N15" s="16" t="s">
        <v>86</v>
      </c>
      <c r="O15" s="16" t="s">
        <v>959</v>
      </c>
      <c r="P15" s="16"/>
      <c r="Q15" s="16"/>
      <c r="R15" s="17"/>
    </row>
    <row r="16" spans="1:18" ht="248.4" x14ac:dyDescent="0.3">
      <c r="A16" s="12" t="s">
        <v>1013</v>
      </c>
      <c r="B16" s="13" t="s">
        <v>87</v>
      </c>
      <c r="C16" s="13" t="s">
        <v>24</v>
      </c>
      <c r="D16" s="13" t="s">
        <v>41</v>
      </c>
      <c r="E16" s="13" t="s">
        <v>1014</v>
      </c>
      <c r="F16" s="13" t="s">
        <v>52</v>
      </c>
      <c r="G16" s="13" t="s">
        <v>53</v>
      </c>
      <c r="H16" s="13" t="s">
        <v>967</v>
      </c>
      <c r="I16" s="13" t="s">
        <v>84</v>
      </c>
      <c r="J16" s="13" t="s">
        <v>968</v>
      </c>
      <c r="K16" s="13" t="s">
        <v>969</v>
      </c>
      <c r="L16" s="13" t="s">
        <v>957</v>
      </c>
      <c r="M16" s="13" t="s">
        <v>958</v>
      </c>
      <c r="N16" s="13" t="s">
        <v>86</v>
      </c>
      <c r="O16" s="13" t="s">
        <v>959</v>
      </c>
      <c r="P16" s="13"/>
      <c r="Q16" s="13"/>
      <c r="R16" s="14"/>
    </row>
    <row r="17" spans="1:18" ht="303.60000000000002" x14ac:dyDescent="0.3">
      <c r="A17" s="15" t="s">
        <v>1015</v>
      </c>
      <c r="B17" s="16" t="s">
        <v>87</v>
      </c>
      <c r="C17" s="16" t="s">
        <v>24</v>
      </c>
      <c r="D17" s="16" t="s">
        <v>41</v>
      </c>
      <c r="E17" s="16" t="s">
        <v>1016</v>
      </c>
      <c r="F17" s="16" t="s">
        <v>972</v>
      </c>
      <c r="G17" s="16" t="s">
        <v>53</v>
      </c>
      <c r="H17" s="16" t="s">
        <v>973</v>
      </c>
      <c r="I17" s="16" t="s">
        <v>84</v>
      </c>
      <c r="J17" s="16" t="s">
        <v>974</v>
      </c>
      <c r="K17" s="16" t="s">
        <v>975</v>
      </c>
      <c r="L17" s="16" t="s">
        <v>957</v>
      </c>
      <c r="M17" s="16" t="s">
        <v>958</v>
      </c>
      <c r="N17" s="16" t="s">
        <v>86</v>
      </c>
      <c r="O17" s="16" t="s">
        <v>959</v>
      </c>
      <c r="P17" s="16"/>
      <c r="Q17" s="16"/>
      <c r="R17" s="17"/>
    </row>
    <row r="18" spans="1:18" ht="409.6" x14ac:dyDescent="0.3">
      <c r="A18" s="12" t="s">
        <v>1017</v>
      </c>
      <c r="B18" s="13" t="s">
        <v>89</v>
      </c>
      <c r="C18" s="13" t="s">
        <v>24</v>
      </c>
      <c r="D18" s="13" t="s">
        <v>41</v>
      </c>
      <c r="E18" s="13" t="s">
        <v>90</v>
      </c>
      <c r="F18" s="13" t="s">
        <v>57</v>
      </c>
      <c r="G18" s="13" t="s">
        <v>46</v>
      </c>
      <c r="H18" s="13" t="s">
        <v>977</v>
      </c>
      <c r="I18" s="13" t="s">
        <v>84</v>
      </c>
      <c r="J18" s="13" t="s">
        <v>1018</v>
      </c>
      <c r="K18" s="13" t="s">
        <v>979</v>
      </c>
      <c r="L18" s="13" t="s">
        <v>957</v>
      </c>
      <c r="M18" s="13" t="s">
        <v>958</v>
      </c>
      <c r="N18" s="13" t="s">
        <v>91</v>
      </c>
      <c r="O18" s="13" t="s">
        <v>959</v>
      </c>
      <c r="P18" s="13"/>
      <c r="Q18" s="13"/>
      <c r="R18" s="14"/>
    </row>
    <row r="19" spans="1:18" ht="372.6" x14ac:dyDescent="0.3">
      <c r="A19" s="15" t="s">
        <v>1019</v>
      </c>
      <c r="B19" s="16" t="s">
        <v>92</v>
      </c>
      <c r="C19" s="16" t="s">
        <v>24</v>
      </c>
      <c r="D19" s="16" t="s">
        <v>41</v>
      </c>
      <c r="E19" s="16" t="s">
        <v>93</v>
      </c>
      <c r="F19" s="16" t="s">
        <v>57</v>
      </c>
      <c r="G19" s="16" t="s">
        <v>46</v>
      </c>
      <c r="H19" s="16" t="s">
        <v>977</v>
      </c>
      <c r="I19" s="16" t="s">
        <v>84</v>
      </c>
      <c r="J19" s="16" t="s">
        <v>1020</v>
      </c>
      <c r="K19" s="16" t="s">
        <v>982</v>
      </c>
      <c r="L19" s="16" t="s">
        <v>957</v>
      </c>
      <c r="M19" s="16" t="s">
        <v>958</v>
      </c>
      <c r="N19" s="16" t="s">
        <v>94</v>
      </c>
      <c r="O19" s="16" t="s">
        <v>959</v>
      </c>
      <c r="P19" s="16"/>
      <c r="Q19" s="16"/>
      <c r="R19" s="17"/>
    </row>
    <row r="20" spans="1:18" ht="409.6" x14ac:dyDescent="0.3">
      <c r="A20" s="12" t="s">
        <v>1021</v>
      </c>
      <c r="B20" s="13" t="s">
        <v>95</v>
      </c>
      <c r="C20" s="13" t="s">
        <v>24</v>
      </c>
      <c r="D20" s="13" t="s">
        <v>41</v>
      </c>
      <c r="E20" s="13" t="s">
        <v>96</v>
      </c>
      <c r="F20" s="13" t="s">
        <v>45</v>
      </c>
      <c r="G20" s="13" t="s">
        <v>46</v>
      </c>
      <c r="H20" s="13" t="s">
        <v>987</v>
      </c>
      <c r="I20" s="13" t="s">
        <v>84</v>
      </c>
      <c r="J20" s="13" t="s">
        <v>1022</v>
      </c>
      <c r="K20" s="13" t="s">
        <v>989</v>
      </c>
      <c r="L20" s="13" t="s">
        <v>957</v>
      </c>
      <c r="M20" s="13" t="s">
        <v>958</v>
      </c>
      <c r="N20" s="13" t="s">
        <v>97</v>
      </c>
      <c r="O20" s="13" t="s">
        <v>959</v>
      </c>
      <c r="P20" s="13"/>
      <c r="Q20" s="13"/>
      <c r="R20" s="14" t="s">
        <v>990</v>
      </c>
    </row>
    <row r="21" spans="1:18" ht="358.8" x14ac:dyDescent="0.3">
      <c r="A21" s="15" t="s">
        <v>1023</v>
      </c>
      <c r="B21" s="16" t="s">
        <v>98</v>
      </c>
      <c r="C21" s="16" t="s">
        <v>24</v>
      </c>
      <c r="D21" s="16" t="s">
        <v>41</v>
      </c>
      <c r="E21" s="16" t="s">
        <v>99</v>
      </c>
      <c r="F21" s="16" t="s">
        <v>45</v>
      </c>
      <c r="G21" s="16" t="s">
        <v>46</v>
      </c>
      <c r="H21" s="16" t="s">
        <v>977</v>
      </c>
      <c r="I21" s="16" t="s">
        <v>84</v>
      </c>
      <c r="J21" s="16" t="s">
        <v>1024</v>
      </c>
      <c r="K21" s="16" t="s">
        <v>1025</v>
      </c>
      <c r="L21" s="16" t="s">
        <v>957</v>
      </c>
      <c r="M21" s="16" t="s">
        <v>958</v>
      </c>
      <c r="N21" s="16" t="s">
        <v>101</v>
      </c>
      <c r="O21" s="16" t="s">
        <v>959</v>
      </c>
      <c r="P21" s="16"/>
      <c r="Q21" s="16"/>
      <c r="R21" s="17"/>
    </row>
    <row r="22" spans="1:18" ht="372.6" x14ac:dyDescent="0.3">
      <c r="A22" s="12" t="s">
        <v>1026</v>
      </c>
      <c r="B22" s="13" t="s">
        <v>102</v>
      </c>
      <c r="C22" s="13" t="s">
        <v>24</v>
      </c>
      <c r="D22" s="13" t="s">
        <v>41</v>
      </c>
      <c r="E22" s="13" t="s">
        <v>103</v>
      </c>
      <c r="F22" s="13" t="s">
        <v>57</v>
      </c>
      <c r="G22" s="13" t="s">
        <v>46</v>
      </c>
      <c r="H22" s="13" t="s">
        <v>977</v>
      </c>
      <c r="I22" s="13" t="s">
        <v>84</v>
      </c>
      <c r="J22" s="13" t="s">
        <v>1027</v>
      </c>
      <c r="K22" s="13" t="s">
        <v>1028</v>
      </c>
      <c r="L22" s="13" t="s">
        <v>957</v>
      </c>
      <c r="M22" s="13" t="s">
        <v>958</v>
      </c>
      <c r="N22" s="13" t="s">
        <v>105</v>
      </c>
      <c r="O22" s="13" t="s">
        <v>959</v>
      </c>
      <c r="P22" s="13"/>
      <c r="Q22" s="13"/>
      <c r="R22" s="14"/>
    </row>
    <row r="23" spans="1:18" ht="358.8" x14ac:dyDescent="0.3">
      <c r="A23" s="15" t="s">
        <v>1029</v>
      </c>
      <c r="B23" s="16" t="s">
        <v>106</v>
      </c>
      <c r="C23" s="16" t="s">
        <v>24</v>
      </c>
      <c r="D23" s="16" t="s">
        <v>41</v>
      </c>
      <c r="E23" s="16" t="s">
        <v>107</v>
      </c>
      <c r="F23" s="16" t="s">
        <v>45</v>
      </c>
      <c r="G23" s="16" t="s">
        <v>46</v>
      </c>
      <c r="H23" s="16" t="s">
        <v>977</v>
      </c>
      <c r="I23" s="16" t="s">
        <v>84</v>
      </c>
      <c r="J23" s="16" t="s">
        <v>1030</v>
      </c>
      <c r="K23" s="16" t="s">
        <v>1031</v>
      </c>
      <c r="L23" s="16" t="s">
        <v>957</v>
      </c>
      <c r="M23" s="16" t="s">
        <v>958</v>
      </c>
      <c r="N23" s="16" t="s">
        <v>109</v>
      </c>
      <c r="O23" s="16" t="s">
        <v>959</v>
      </c>
      <c r="P23" s="16"/>
      <c r="Q23" s="16"/>
      <c r="R23" s="17"/>
    </row>
    <row r="24" spans="1:18" ht="289.8" x14ac:dyDescent="0.3">
      <c r="A24" s="12" t="s">
        <v>1032</v>
      </c>
      <c r="B24" s="13" t="s">
        <v>110</v>
      </c>
      <c r="C24" s="13" t="s">
        <v>24</v>
      </c>
      <c r="D24" s="13" t="s">
        <v>41</v>
      </c>
      <c r="E24" s="13" t="s">
        <v>1033</v>
      </c>
      <c r="F24" s="13" t="s">
        <v>953</v>
      </c>
      <c r="G24" s="13" t="s">
        <v>53</v>
      </c>
      <c r="H24" s="13" t="s">
        <v>999</v>
      </c>
      <c r="I24" s="13" t="s">
        <v>84</v>
      </c>
      <c r="J24" s="13" t="s">
        <v>1000</v>
      </c>
      <c r="K24" s="13" t="s">
        <v>1001</v>
      </c>
      <c r="L24" s="13" t="s">
        <v>957</v>
      </c>
      <c r="M24" s="13" t="s">
        <v>958</v>
      </c>
      <c r="N24" s="13" t="s">
        <v>86</v>
      </c>
      <c r="O24" s="13" t="s">
        <v>959</v>
      </c>
      <c r="P24" s="13"/>
      <c r="Q24" s="13"/>
      <c r="R24" s="14"/>
    </row>
    <row r="25" spans="1:18" ht="345" x14ac:dyDescent="0.3">
      <c r="A25" s="15" t="s">
        <v>1034</v>
      </c>
      <c r="B25" s="16" t="s">
        <v>110</v>
      </c>
      <c r="C25" s="16" t="s">
        <v>24</v>
      </c>
      <c r="D25" s="16" t="s">
        <v>41</v>
      </c>
      <c r="E25" s="16" t="s">
        <v>1035</v>
      </c>
      <c r="F25" s="16" t="s">
        <v>339</v>
      </c>
      <c r="G25" s="16" t="s">
        <v>53</v>
      </c>
      <c r="H25" s="16" t="s">
        <v>1004</v>
      </c>
      <c r="I25" s="16" t="s">
        <v>84</v>
      </c>
      <c r="J25" s="16" t="s">
        <v>1005</v>
      </c>
      <c r="K25" s="16" t="s">
        <v>1006</v>
      </c>
      <c r="L25" s="16" t="s">
        <v>957</v>
      </c>
      <c r="M25" s="16" t="s">
        <v>958</v>
      </c>
      <c r="N25" s="16" t="s">
        <v>86</v>
      </c>
      <c r="O25" s="16" t="s">
        <v>959</v>
      </c>
      <c r="P25" s="16"/>
      <c r="Q25" s="16"/>
      <c r="R25" s="17"/>
    </row>
    <row r="26" spans="1:18" ht="220.8" x14ac:dyDescent="0.3">
      <c r="A26" s="12" t="s">
        <v>1036</v>
      </c>
      <c r="B26" s="13" t="s">
        <v>112</v>
      </c>
      <c r="C26" s="13" t="s">
        <v>24</v>
      </c>
      <c r="D26" s="13" t="s">
        <v>41</v>
      </c>
      <c r="E26" s="13" t="s">
        <v>1037</v>
      </c>
      <c r="F26" s="13" t="s">
        <v>953</v>
      </c>
      <c r="G26" s="13" t="s">
        <v>46</v>
      </c>
      <c r="H26" s="13" t="s">
        <v>954</v>
      </c>
      <c r="I26" s="13" t="s">
        <v>113</v>
      </c>
      <c r="J26" s="13" t="s">
        <v>1038</v>
      </c>
      <c r="K26" s="13" t="s">
        <v>956</v>
      </c>
      <c r="L26" s="13" t="s">
        <v>957</v>
      </c>
      <c r="M26" s="13" t="s">
        <v>958</v>
      </c>
      <c r="N26" s="13" t="s">
        <v>115</v>
      </c>
      <c r="O26" s="13" t="s">
        <v>959</v>
      </c>
      <c r="P26" s="13"/>
      <c r="Q26" s="13"/>
      <c r="R26" s="14"/>
    </row>
    <row r="27" spans="1:18" ht="331.2" x14ac:dyDescent="0.3">
      <c r="A27" s="15" t="s">
        <v>1039</v>
      </c>
      <c r="B27" s="16" t="s">
        <v>112</v>
      </c>
      <c r="C27" s="16" t="s">
        <v>24</v>
      </c>
      <c r="D27" s="16" t="s">
        <v>41</v>
      </c>
      <c r="E27" s="16" t="s">
        <v>1040</v>
      </c>
      <c r="F27" s="16" t="s">
        <v>339</v>
      </c>
      <c r="G27" s="16" t="s">
        <v>53</v>
      </c>
      <c r="H27" s="16" t="s">
        <v>962</v>
      </c>
      <c r="I27" s="16" t="s">
        <v>113</v>
      </c>
      <c r="J27" s="16" t="s">
        <v>1041</v>
      </c>
      <c r="K27" s="16" t="s">
        <v>964</v>
      </c>
      <c r="L27" s="16" t="s">
        <v>957</v>
      </c>
      <c r="M27" s="16" t="s">
        <v>958</v>
      </c>
      <c r="N27" s="16" t="s">
        <v>115</v>
      </c>
      <c r="O27" s="16" t="s">
        <v>959</v>
      </c>
      <c r="P27" s="16"/>
      <c r="Q27" s="16"/>
      <c r="R27" s="17"/>
    </row>
    <row r="28" spans="1:18" ht="248.4" x14ac:dyDescent="0.3">
      <c r="A28" s="12" t="s">
        <v>1042</v>
      </c>
      <c r="B28" s="13" t="s">
        <v>116</v>
      </c>
      <c r="C28" s="13" t="s">
        <v>24</v>
      </c>
      <c r="D28" s="13" t="s">
        <v>41</v>
      </c>
      <c r="E28" s="13" t="s">
        <v>1043</v>
      </c>
      <c r="F28" s="13" t="s">
        <v>52</v>
      </c>
      <c r="G28" s="13" t="s">
        <v>53</v>
      </c>
      <c r="H28" s="13" t="s">
        <v>967</v>
      </c>
      <c r="I28" s="13" t="s">
        <v>113</v>
      </c>
      <c r="J28" s="13" t="s">
        <v>968</v>
      </c>
      <c r="K28" s="13" t="s">
        <v>969</v>
      </c>
      <c r="L28" s="13" t="s">
        <v>957</v>
      </c>
      <c r="M28" s="13" t="s">
        <v>958</v>
      </c>
      <c r="N28" s="13" t="s">
        <v>115</v>
      </c>
      <c r="O28" s="13" t="s">
        <v>959</v>
      </c>
      <c r="P28" s="13"/>
      <c r="Q28" s="13"/>
      <c r="R28" s="14"/>
    </row>
    <row r="29" spans="1:18" ht="303.60000000000002" x14ac:dyDescent="0.3">
      <c r="A29" s="15" t="s">
        <v>1044</v>
      </c>
      <c r="B29" s="16" t="s">
        <v>116</v>
      </c>
      <c r="C29" s="16" t="s">
        <v>24</v>
      </c>
      <c r="D29" s="16" t="s">
        <v>41</v>
      </c>
      <c r="E29" s="16" t="s">
        <v>1045</v>
      </c>
      <c r="F29" s="16" t="s">
        <v>972</v>
      </c>
      <c r="G29" s="16" t="s">
        <v>53</v>
      </c>
      <c r="H29" s="16" t="s">
        <v>973</v>
      </c>
      <c r="I29" s="16" t="s">
        <v>113</v>
      </c>
      <c r="J29" s="16" t="s">
        <v>974</v>
      </c>
      <c r="K29" s="16" t="s">
        <v>975</v>
      </c>
      <c r="L29" s="16" t="s">
        <v>957</v>
      </c>
      <c r="M29" s="16" t="s">
        <v>958</v>
      </c>
      <c r="N29" s="16" t="s">
        <v>115</v>
      </c>
      <c r="O29" s="16" t="s">
        <v>959</v>
      </c>
      <c r="P29" s="16"/>
      <c r="Q29" s="16"/>
      <c r="R29" s="17"/>
    </row>
    <row r="30" spans="1:18" ht="409.6" x14ac:dyDescent="0.3">
      <c r="A30" s="12" t="s">
        <v>1046</v>
      </c>
      <c r="B30" s="13" t="s">
        <v>118</v>
      </c>
      <c r="C30" s="13" t="s">
        <v>24</v>
      </c>
      <c r="D30" s="13" t="s">
        <v>41</v>
      </c>
      <c r="E30" s="13" t="s">
        <v>119</v>
      </c>
      <c r="F30" s="13" t="s">
        <v>57</v>
      </c>
      <c r="G30" s="13" t="s">
        <v>46</v>
      </c>
      <c r="H30" s="13" t="s">
        <v>977</v>
      </c>
      <c r="I30" s="13" t="s">
        <v>113</v>
      </c>
      <c r="J30" s="13" t="s">
        <v>1047</v>
      </c>
      <c r="K30" s="13" t="s">
        <v>979</v>
      </c>
      <c r="L30" s="13" t="s">
        <v>957</v>
      </c>
      <c r="M30" s="13" t="s">
        <v>958</v>
      </c>
      <c r="N30" s="13" t="s">
        <v>120</v>
      </c>
      <c r="O30" s="13" t="s">
        <v>959</v>
      </c>
      <c r="P30" s="13"/>
      <c r="Q30" s="13"/>
      <c r="R30" s="14"/>
    </row>
    <row r="31" spans="1:18" ht="372.6" x14ac:dyDescent="0.3">
      <c r="A31" s="15" t="s">
        <v>1048</v>
      </c>
      <c r="B31" s="16" t="s">
        <v>121</v>
      </c>
      <c r="C31" s="16" t="s">
        <v>24</v>
      </c>
      <c r="D31" s="16" t="s">
        <v>41</v>
      </c>
      <c r="E31" s="16" t="s">
        <v>122</v>
      </c>
      <c r="F31" s="16" t="s">
        <v>57</v>
      </c>
      <c r="G31" s="16" t="s">
        <v>46</v>
      </c>
      <c r="H31" s="16" t="s">
        <v>977</v>
      </c>
      <c r="I31" s="16" t="s">
        <v>113</v>
      </c>
      <c r="J31" s="16" t="s">
        <v>1049</v>
      </c>
      <c r="K31" s="16" t="s">
        <v>982</v>
      </c>
      <c r="L31" s="16" t="s">
        <v>957</v>
      </c>
      <c r="M31" s="16" t="s">
        <v>958</v>
      </c>
      <c r="N31" s="16" t="s">
        <v>123</v>
      </c>
      <c r="O31" s="16" t="s">
        <v>959</v>
      </c>
      <c r="P31" s="16"/>
      <c r="Q31" s="16"/>
      <c r="R31" s="17"/>
    </row>
    <row r="32" spans="1:18" ht="409.6" x14ac:dyDescent="0.3">
      <c r="A32" s="12" t="s">
        <v>1050</v>
      </c>
      <c r="B32" s="13" t="s">
        <v>124</v>
      </c>
      <c r="C32" s="13" t="s">
        <v>24</v>
      </c>
      <c r="D32" s="13" t="s">
        <v>41</v>
      </c>
      <c r="E32" s="13" t="s">
        <v>125</v>
      </c>
      <c r="F32" s="13" t="s">
        <v>45</v>
      </c>
      <c r="G32" s="13" t="s">
        <v>46</v>
      </c>
      <c r="H32" s="13" t="s">
        <v>987</v>
      </c>
      <c r="I32" s="13" t="s">
        <v>113</v>
      </c>
      <c r="J32" s="13" t="s">
        <v>1051</v>
      </c>
      <c r="K32" s="13" t="s">
        <v>989</v>
      </c>
      <c r="L32" s="13" t="s">
        <v>957</v>
      </c>
      <c r="M32" s="13" t="s">
        <v>958</v>
      </c>
      <c r="N32" s="13" t="s">
        <v>126</v>
      </c>
      <c r="O32" s="13" t="s">
        <v>959</v>
      </c>
      <c r="P32" s="13"/>
      <c r="Q32" s="13"/>
      <c r="R32" s="14" t="s">
        <v>990</v>
      </c>
    </row>
    <row r="33" spans="1:18" ht="345" x14ac:dyDescent="0.3">
      <c r="A33" s="15" t="s">
        <v>1052</v>
      </c>
      <c r="B33" s="16" t="s">
        <v>127</v>
      </c>
      <c r="C33" s="16" t="s">
        <v>24</v>
      </c>
      <c r="D33" s="16" t="s">
        <v>41</v>
      </c>
      <c r="E33" s="16" t="s">
        <v>128</v>
      </c>
      <c r="F33" s="16" t="s">
        <v>45</v>
      </c>
      <c r="G33" s="16" t="s">
        <v>46</v>
      </c>
      <c r="H33" s="16" t="s">
        <v>977</v>
      </c>
      <c r="I33" s="16" t="s">
        <v>113</v>
      </c>
      <c r="J33" s="16" t="s">
        <v>1053</v>
      </c>
      <c r="K33" s="16" t="s">
        <v>1054</v>
      </c>
      <c r="L33" s="16" t="s">
        <v>957</v>
      </c>
      <c r="M33" s="16" t="s">
        <v>958</v>
      </c>
      <c r="N33" s="16" t="s">
        <v>130</v>
      </c>
      <c r="O33" s="16" t="s">
        <v>959</v>
      </c>
      <c r="P33" s="16"/>
      <c r="Q33" s="16"/>
      <c r="R33" s="17"/>
    </row>
    <row r="34" spans="1:18" ht="289.8" x14ac:dyDescent="0.3">
      <c r="A34" s="12" t="s">
        <v>1055</v>
      </c>
      <c r="B34" s="13" t="s">
        <v>131</v>
      </c>
      <c r="C34" s="13" t="s">
        <v>24</v>
      </c>
      <c r="D34" s="13" t="s">
        <v>41</v>
      </c>
      <c r="E34" s="13" t="s">
        <v>1056</v>
      </c>
      <c r="F34" s="13" t="s">
        <v>953</v>
      </c>
      <c r="G34" s="13" t="s">
        <v>53</v>
      </c>
      <c r="H34" s="13" t="s">
        <v>999</v>
      </c>
      <c r="I34" s="13" t="s">
        <v>113</v>
      </c>
      <c r="J34" s="13" t="s">
        <v>1000</v>
      </c>
      <c r="K34" s="13" t="s">
        <v>1001</v>
      </c>
      <c r="L34" s="13" t="s">
        <v>957</v>
      </c>
      <c r="M34" s="13" t="s">
        <v>958</v>
      </c>
      <c r="N34" s="13" t="s">
        <v>115</v>
      </c>
      <c r="O34" s="13" t="s">
        <v>959</v>
      </c>
      <c r="P34" s="13"/>
      <c r="Q34" s="13"/>
      <c r="R34" s="14"/>
    </row>
    <row r="35" spans="1:18" ht="345" x14ac:dyDescent="0.3">
      <c r="A35" s="15" t="s">
        <v>1057</v>
      </c>
      <c r="B35" s="16" t="s">
        <v>131</v>
      </c>
      <c r="C35" s="16" t="s">
        <v>24</v>
      </c>
      <c r="D35" s="16" t="s">
        <v>41</v>
      </c>
      <c r="E35" s="16" t="s">
        <v>1058</v>
      </c>
      <c r="F35" s="16" t="s">
        <v>339</v>
      </c>
      <c r="G35" s="16" t="s">
        <v>53</v>
      </c>
      <c r="H35" s="16" t="s">
        <v>1004</v>
      </c>
      <c r="I35" s="16" t="s">
        <v>113</v>
      </c>
      <c r="J35" s="16" t="s">
        <v>1005</v>
      </c>
      <c r="K35" s="16" t="s">
        <v>1006</v>
      </c>
      <c r="L35" s="16" t="s">
        <v>957</v>
      </c>
      <c r="M35" s="16" t="s">
        <v>958</v>
      </c>
      <c r="N35" s="16" t="s">
        <v>115</v>
      </c>
      <c r="O35" s="16" t="s">
        <v>959</v>
      </c>
      <c r="P35" s="16"/>
      <c r="Q35" s="16"/>
      <c r="R35" s="17"/>
    </row>
    <row r="36" spans="1:18" ht="207" x14ac:dyDescent="0.3">
      <c r="A36" s="12" t="s">
        <v>1059</v>
      </c>
      <c r="B36" s="13" t="s">
        <v>133</v>
      </c>
      <c r="C36" s="13" t="s">
        <v>24</v>
      </c>
      <c r="D36" s="13" t="s">
        <v>41</v>
      </c>
      <c r="E36" s="13" t="s">
        <v>1060</v>
      </c>
      <c r="F36" s="13" t="s">
        <v>953</v>
      </c>
      <c r="G36" s="13" t="s">
        <v>46</v>
      </c>
      <c r="H36" s="13" t="s">
        <v>954</v>
      </c>
      <c r="I36" s="13" t="s">
        <v>134</v>
      </c>
      <c r="J36" s="13" t="s">
        <v>1061</v>
      </c>
      <c r="K36" s="13" t="s">
        <v>956</v>
      </c>
      <c r="L36" s="13" t="s">
        <v>957</v>
      </c>
      <c r="M36" s="13" t="s">
        <v>958</v>
      </c>
      <c r="N36" s="13" t="s">
        <v>136</v>
      </c>
      <c r="O36" s="13" t="s">
        <v>959</v>
      </c>
      <c r="P36" s="13"/>
      <c r="Q36" s="13"/>
      <c r="R36" s="14"/>
    </row>
    <row r="37" spans="1:18" ht="317.39999999999998" x14ac:dyDescent="0.3">
      <c r="A37" s="15" t="s">
        <v>1062</v>
      </c>
      <c r="B37" s="16" t="s">
        <v>133</v>
      </c>
      <c r="C37" s="16" t="s">
        <v>24</v>
      </c>
      <c r="D37" s="16" t="s">
        <v>41</v>
      </c>
      <c r="E37" s="16" t="s">
        <v>1063</v>
      </c>
      <c r="F37" s="16" t="s">
        <v>339</v>
      </c>
      <c r="G37" s="16" t="s">
        <v>53</v>
      </c>
      <c r="H37" s="16" t="s">
        <v>962</v>
      </c>
      <c r="I37" s="16" t="s">
        <v>134</v>
      </c>
      <c r="J37" s="16" t="s">
        <v>1064</v>
      </c>
      <c r="K37" s="16" t="s">
        <v>964</v>
      </c>
      <c r="L37" s="16" t="s">
        <v>957</v>
      </c>
      <c r="M37" s="16" t="s">
        <v>958</v>
      </c>
      <c r="N37" s="16" t="s">
        <v>136</v>
      </c>
      <c r="O37" s="16" t="s">
        <v>959</v>
      </c>
      <c r="P37" s="16"/>
      <c r="Q37" s="16"/>
      <c r="R37" s="17"/>
    </row>
    <row r="38" spans="1:18" ht="248.4" x14ac:dyDescent="0.3">
      <c r="A38" s="12" t="s">
        <v>1065</v>
      </c>
      <c r="B38" s="13" t="s">
        <v>137</v>
      </c>
      <c r="C38" s="13" t="s">
        <v>24</v>
      </c>
      <c r="D38" s="13" t="s">
        <v>41</v>
      </c>
      <c r="E38" s="13" t="s">
        <v>1066</v>
      </c>
      <c r="F38" s="13" t="s">
        <v>52</v>
      </c>
      <c r="G38" s="13" t="s">
        <v>53</v>
      </c>
      <c r="H38" s="13" t="s">
        <v>967</v>
      </c>
      <c r="I38" s="13" t="s">
        <v>134</v>
      </c>
      <c r="J38" s="13" t="s">
        <v>968</v>
      </c>
      <c r="K38" s="13" t="s">
        <v>969</v>
      </c>
      <c r="L38" s="13" t="s">
        <v>957</v>
      </c>
      <c r="M38" s="13" t="s">
        <v>958</v>
      </c>
      <c r="N38" s="13" t="s">
        <v>136</v>
      </c>
      <c r="O38" s="13" t="s">
        <v>959</v>
      </c>
      <c r="P38" s="13"/>
      <c r="Q38" s="13"/>
      <c r="R38" s="14"/>
    </row>
    <row r="39" spans="1:18" ht="303.60000000000002" x14ac:dyDescent="0.3">
      <c r="A39" s="15" t="s">
        <v>1067</v>
      </c>
      <c r="B39" s="16" t="s">
        <v>137</v>
      </c>
      <c r="C39" s="16" t="s">
        <v>24</v>
      </c>
      <c r="D39" s="16" t="s">
        <v>41</v>
      </c>
      <c r="E39" s="16" t="s">
        <v>1068</v>
      </c>
      <c r="F39" s="16" t="s">
        <v>972</v>
      </c>
      <c r="G39" s="16" t="s">
        <v>53</v>
      </c>
      <c r="H39" s="16" t="s">
        <v>973</v>
      </c>
      <c r="I39" s="16" t="s">
        <v>134</v>
      </c>
      <c r="J39" s="16" t="s">
        <v>974</v>
      </c>
      <c r="K39" s="16" t="s">
        <v>975</v>
      </c>
      <c r="L39" s="16" t="s">
        <v>957</v>
      </c>
      <c r="M39" s="16" t="s">
        <v>958</v>
      </c>
      <c r="N39" s="16" t="s">
        <v>136</v>
      </c>
      <c r="O39" s="16" t="s">
        <v>959</v>
      </c>
      <c r="P39" s="16"/>
      <c r="Q39" s="16"/>
      <c r="R39" s="17"/>
    </row>
    <row r="40" spans="1:18" ht="409.6" x14ac:dyDescent="0.3">
      <c r="A40" s="12" t="s">
        <v>1069</v>
      </c>
      <c r="B40" s="13" t="s">
        <v>139</v>
      </c>
      <c r="C40" s="13" t="s">
        <v>24</v>
      </c>
      <c r="D40" s="13" t="s">
        <v>41</v>
      </c>
      <c r="E40" s="13" t="s">
        <v>140</v>
      </c>
      <c r="F40" s="13" t="s">
        <v>57</v>
      </c>
      <c r="G40" s="13" t="s">
        <v>46</v>
      </c>
      <c r="H40" s="13" t="s">
        <v>977</v>
      </c>
      <c r="I40" s="13" t="s">
        <v>134</v>
      </c>
      <c r="J40" s="13" t="s">
        <v>1070</v>
      </c>
      <c r="K40" s="13" t="s">
        <v>979</v>
      </c>
      <c r="L40" s="13" t="s">
        <v>957</v>
      </c>
      <c r="M40" s="13" t="s">
        <v>958</v>
      </c>
      <c r="N40" s="13" t="s">
        <v>141</v>
      </c>
      <c r="O40" s="13" t="s">
        <v>959</v>
      </c>
      <c r="P40" s="13"/>
      <c r="Q40" s="13"/>
      <c r="R40" s="14"/>
    </row>
    <row r="41" spans="1:18" ht="358.8" x14ac:dyDescent="0.3">
      <c r="A41" s="15" t="s">
        <v>1071</v>
      </c>
      <c r="B41" s="16" t="s">
        <v>142</v>
      </c>
      <c r="C41" s="16" t="s">
        <v>24</v>
      </c>
      <c r="D41" s="16" t="s">
        <v>41</v>
      </c>
      <c r="E41" s="16" t="s">
        <v>143</v>
      </c>
      <c r="F41" s="16" t="s">
        <v>57</v>
      </c>
      <c r="G41" s="16" t="s">
        <v>46</v>
      </c>
      <c r="H41" s="16" t="s">
        <v>977</v>
      </c>
      <c r="I41" s="16" t="s">
        <v>134</v>
      </c>
      <c r="J41" s="16" t="s">
        <v>1072</v>
      </c>
      <c r="K41" s="16" t="s">
        <v>982</v>
      </c>
      <c r="L41" s="16" t="s">
        <v>957</v>
      </c>
      <c r="M41" s="16" t="s">
        <v>958</v>
      </c>
      <c r="N41" s="16" t="s">
        <v>144</v>
      </c>
      <c r="O41" s="16" t="s">
        <v>959</v>
      </c>
      <c r="P41" s="16"/>
      <c r="Q41" s="16"/>
      <c r="R41" s="17"/>
    </row>
    <row r="42" spans="1:18" ht="409.6" x14ac:dyDescent="0.3">
      <c r="A42" s="12" t="s">
        <v>1073</v>
      </c>
      <c r="B42" s="13" t="s">
        <v>145</v>
      </c>
      <c r="C42" s="13" t="s">
        <v>24</v>
      </c>
      <c r="D42" s="13" t="s">
        <v>41</v>
      </c>
      <c r="E42" s="13" t="s">
        <v>146</v>
      </c>
      <c r="F42" s="13" t="s">
        <v>45</v>
      </c>
      <c r="G42" s="13" t="s">
        <v>46</v>
      </c>
      <c r="H42" s="13" t="s">
        <v>987</v>
      </c>
      <c r="I42" s="13" t="s">
        <v>134</v>
      </c>
      <c r="J42" s="13" t="s">
        <v>1074</v>
      </c>
      <c r="K42" s="13" t="s">
        <v>989</v>
      </c>
      <c r="L42" s="13" t="s">
        <v>957</v>
      </c>
      <c r="M42" s="13" t="s">
        <v>958</v>
      </c>
      <c r="N42" s="13" t="s">
        <v>147</v>
      </c>
      <c r="O42" s="13" t="s">
        <v>959</v>
      </c>
      <c r="P42" s="13"/>
      <c r="Q42" s="13"/>
      <c r="R42" s="14" t="s">
        <v>990</v>
      </c>
    </row>
    <row r="43" spans="1:18" ht="331.2" x14ac:dyDescent="0.3">
      <c r="A43" s="15" t="s">
        <v>1075</v>
      </c>
      <c r="B43" s="16" t="s">
        <v>148</v>
      </c>
      <c r="C43" s="16" t="s">
        <v>24</v>
      </c>
      <c r="D43" s="16" t="s">
        <v>41</v>
      </c>
      <c r="E43" s="16" t="s">
        <v>149</v>
      </c>
      <c r="F43" s="16" t="s">
        <v>45</v>
      </c>
      <c r="G43" s="16" t="s">
        <v>46</v>
      </c>
      <c r="H43" s="16" t="s">
        <v>977</v>
      </c>
      <c r="I43" s="16" t="s">
        <v>134</v>
      </c>
      <c r="J43" s="16" t="s">
        <v>1076</v>
      </c>
      <c r="K43" s="16" t="s">
        <v>1077</v>
      </c>
      <c r="L43" s="16" t="s">
        <v>957</v>
      </c>
      <c r="M43" s="16" t="s">
        <v>958</v>
      </c>
      <c r="N43" s="16" t="s">
        <v>151</v>
      </c>
      <c r="O43" s="16" t="s">
        <v>959</v>
      </c>
      <c r="P43" s="16"/>
      <c r="Q43" s="16"/>
      <c r="R43" s="17"/>
    </row>
    <row r="44" spans="1:18" ht="289.8" x14ac:dyDescent="0.3">
      <c r="A44" s="12" t="s">
        <v>1078</v>
      </c>
      <c r="B44" s="13" t="s">
        <v>152</v>
      </c>
      <c r="C44" s="13" t="s">
        <v>24</v>
      </c>
      <c r="D44" s="13" t="s">
        <v>41</v>
      </c>
      <c r="E44" s="13" t="s">
        <v>1079</v>
      </c>
      <c r="F44" s="13" t="s">
        <v>953</v>
      </c>
      <c r="G44" s="13" t="s">
        <v>53</v>
      </c>
      <c r="H44" s="13" t="s">
        <v>999</v>
      </c>
      <c r="I44" s="13" t="s">
        <v>134</v>
      </c>
      <c r="J44" s="13" t="s">
        <v>1000</v>
      </c>
      <c r="K44" s="13" t="s">
        <v>1001</v>
      </c>
      <c r="L44" s="13" t="s">
        <v>957</v>
      </c>
      <c r="M44" s="13" t="s">
        <v>958</v>
      </c>
      <c r="N44" s="13" t="s">
        <v>136</v>
      </c>
      <c r="O44" s="13" t="s">
        <v>959</v>
      </c>
      <c r="P44" s="13"/>
      <c r="Q44" s="13"/>
      <c r="R44" s="14"/>
    </row>
    <row r="45" spans="1:18" ht="345" x14ac:dyDescent="0.3">
      <c r="A45" s="15" t="s">
        <v>1080</v>
      </c>
      <c r="B45" s="16" t="s">
        <v>152</v>
      </c>
      <c r="C45" s="16" t="s">
        <v>24</v>
      </c>
      <c r="D45" s="16" t="s">
        <v>41</v>
      </c>
      <c r="E45" s="16" t="s">
        <v>1081</v>
      </c>
      <c r="F45" s="16" t="s">
        <v>339</v>
      </c>
      <c r="G45" s="16" t="s">
        <v>53</v>
      </c>
      <c r="H45" s="16" t="s">
        <v>1004</v>
      </c>
      <c r="I45" s="16" t="s">
        <v>134</v>
      </c>
      <c r="J45" s="16" t="s">
        <v>1005</v>
      </c>
      <c r="K45" s="16" t="s">
        <v>1006</v>
      </c>
      <c r="L45" s="16" t="s">
        <v>957</v>
      </c>
      <c r="M45" s="16" t="s">
        <v>958</v>
      </c>
      <c r="N45" s="16" t="s">
        <v>136</v>
      </c>
      <c r="O45" s="16" t="s">
        <v>959</v>
      </c>
      <c r="P45" s="16"/>
      <c r="Q45" s="16"/>
      <c r="R45" s="17"/>
    </row>
    <row r="46" spans="1:18" ht="234.6" x14ac:dyDescent="0.3">
      <c r="A46" s="12" t="s">
        <v>1082</v>
      </c>
      <c r="B46" s="13" t="s">
        <v>154</v>
      </c>
      <c r="C46" s="13" t="s">
        <v>24</v>
      </c>
      <c r="D46" s="13" t="s">
        <v>41</v>
      </c>
      <c r="E46" s="13" t="s">
        <v>1083</v>
      </c>
      <c r="F46" s="13" t="s">
        <v>953</v>
      </c>
      <c r="G46" s="13" t="s">
        <v>46</v>
      </c>
      <c r="H46" s="13" t="s">
        <v>954</v>
      </c>
      <c r="I46" s="13" t="s">
        <v>155</v>
      </c>
      <c r="J46" s="13" t="s">
        <v>1084</v>
      </c>
      <c r="K46" s="13" t="s">
        <v>956</v>
      </c>
      <c r="L46" s="13" t="s">
        <v>957</v>
      </c>
      <c r="M46" s="13" t="s">
        <v>958</v>
      </c>
      <c r="N46" s="13" t="s">
        <v>157</v>
      </c>
      <c r="O46" s="13" t="s">
        <v>959</v>
      </c>
      <c r="P46" s="13"/>
      <c r="Q46" s="13"/>
      <c r="R46" s="14"/>
    </row>
    <row r="47" spans="1:18" ht="345" x14ac:dyDescent="0.3">
      <c r="A47" s="15" t="s">
        <v>1085</v>
      </c>
      <c r="B47" s="16" t="s">
        <v>154</v>
      </c>
      <c r="C47" s="16" t="s">
        <v>24</v>
      </c>
      <c r="D47" s="16" t="s">
        <v>41</v>
      </c>
      <c r="E47" s="16" t="s">
        <v>1086</v>
      </c>
      <c r="F47" s="16" t="s">
        <v>339</v>
      </c>
      <c r="G47" s="16" t="s">
        <v>53</v>
      </c>
      <c r="H47" s="16" t="s">
        <v>962</v>
      </c>
      <c r="I47" s="16" t="s">
        <v>155</v>
      </c>
      <c r="J47" s="16" t="s">
        <v>1087</v>
      </c>
      <c r="K47" s="16" t="s">
        <v>964</v>
      </c>
      <c r="L47" s="16" t="s">
        <v>957</v>
      </c>
      <c r="M47" s="16" t="s">
        <v>958</v>
      </c>
      <c r="N47" s="16" t="s">
        <v>157</v>
      </c>
      <c r="O47" s="16" t="s">
        <v>959</v>
      </c>
      <c r="P47" s="16"/>
      <c r="Q47" s="16"/>
      <c r="R47" s="17"/>
    </row>
    <row r="48" spans="1:18" ht="248.4" x14ac:dyDescent="0.3">
      <c r="A48" s="12" t="s">
        <v>1088</v>
      </c>
      <c r="B48" s="13" t="s">
        <v>158</v>
      </c>
      <c r="C48" s="13" t="s">
        <v>24</v>
      </c>
      <c r="D48" s="13" t="s">
        <v>41</v>
      </c>
      <c r="E48" s="13" t="s">
        <v>1089</v>
      </c>
      <c r="F48" s="13" t="s">
        <v>52</v>
      </c>
      <c r="G48" s="13" t="s">
        <v>53</v>
      </c>
      <c r="H48" s="13" t="s">
        <v>967</v>
      </c>
      <c r="I48" s="13" t="s">
        <v>155</v>
      </c>
      <c r="J48" s="13" t="s">
        <v>968</v>
      </c>
      <c r="K48" s="13" t="s">
        <v>969</v>
      </c>
      <c r="L48" s="13" t="s">
        <v>957</v>
      </c>
      <c r="M48" s="13" t="s">
        <v>958</v>
      </c>
      <c r="N48" s="13" t="s">
        <v>157</v>
      </c>
      <c r="O48" s="13" t="s">
        <v>959</v>
      </c>
      <c r="P48" s="13"/>
      <c r="Q48" s="13"/>
      <c r="R48" s="14"/>
    </row>
    <row r="49" spans="1:18" ht="303.60000000000002" x14ac:dyDescent="0.3">
      <c r="A49" s="15" t="s">
        <v>1090</v>
      </c>
      <c r="B49" s="16" t="s">
        <v>158</v>
      </c>
      <c r="C49" s="16" t="s">
        <v>24</v>
      </c>
      <c r="D49" s="16" t="s">
        <v>41</v>
      </c>
      <c r="E49" s="16" t="s">
        <v>1091</v>
      </c>
      <c r="F49" s="16" t="s">
        <v>972</v>
      </c>
      <c r="G49" s="16" t="s">
        <v>53</v>
      </c>
      <c r="H49" s="16" t="s">
        <v>973</v>
      </c>
      <c r="I49" s="16" t="s">
        <v>155</v>
      </c>
      <c r="J49" s="16" t="s">
        <v>974</v>
      </c>
      <c r="K49" s="16" t="s">
        <v>975</v>
      </c>
      <c r="L49" s="16" t="s">
        <v>957</v>
      </c>
      <c r="M49" s="16" t="s">
        <v>958</v>
      </c>
      <c r="N49" s="16" t="s">
        <v>157</v>
      </c>
      <c r="O49" s="16" t="s">
        <v>959</v>
      </c>
      <c r="P49" s="16"/>
      <c r="Q49" s="16"/>
      <c r="R49" s="17"/>
    </row>
    <row r="50" spans="1:18" ht="409.6" x14ac:dyDescent="0.3">
      <c r="A50" s="12" t="s">
        <v>1092</v>
      </c>
      <c r="B50" s="13" t="s">
        <v>160</v>
      </c>
      <c r="C50" s="13" t="s">
        <v>24</v>
      </c>
      <c r="D50" s="13" t="s">
        <v>41</v>
      </c>
      <c r="E50" s="13" t="s">
        <v>161</v>
      </c>
      <c r="F50" s="13" t="s">
        <v>57</v>
      </c>
      <c r="G50" s="13" t="s">
        <v>46</v>
      </c>
      <c r="H50" s="13" t="s">
        <v>977</v>
      </c>
      <c r="I50" s="13" t="s">
        <v>155</v>
      </c>
      <c r="J50" s="13" t="s">
        <v>1093</v>
      </c>
      <c r="K50" s="13" t="s">
        <v>979</v>
      </c>
      <c r="L50" s="13" t="s">
        <v>957</v>
      </c>
      <c r="M50" s="13" t="s">
        <v>958</v>
      </c>
      <c r="N50" s="13" t="s">
        <v>162</v>
      </c>
      <c r="O50" s="13" t="s">
        <v>959</v>
      </c>
      <c r="P50" s="13"/>
      <c r="Q50" s="13"/>
      <c r="R50" s="14"/>
    </row>
    <row r="51" spans="1:18" ht="386.4" x14ac:dyDescent="0.3">
      <c r="A51" s="15" t="s">
        <v>1094</v>
      </c>
      <c r="B51" s="16" t="s">
        <v>163</v>
      </c>
      <c r="C51" s="16" t="s">
        <v>24</v>
      </c>
      <c r="D51" s="16" t="s">
        <v>41</v>
      </c>
      <c r="E51" s="16" t="s">
        <v>164</v>
      </c>
      <c r="F51" s="16" t="s">
        <v>57</v>
      </c>
      <c r="G51" s="16" t="s">
        <v>46</v>
      </c>
      <c r="H51" s="16" t="s">
        <v>977</v>
      </c>
      <c r="I51" s="16" t="s">
        <v>155</v>
      </c>
      <c r="J51" s="16" t="s">
        <v>1095</v>
      </c>
      <c r="K51" s="16" t="s">
        <v>982</v>
      </c>
      <c r="L51" s="16" t="s">
        <v>957</v>
      </c>
      <c r="M51" s="16" t="s">
        <v>958</v>
      </c>
      <c r="N51" s="16" t="s">
        <v>165</v>
      </c>
      <c r="O51" s="16" t="s">
        <v>959</v>
      </c>
      <c r="P51" s="16"/>
      <c r="Q51" s="16"/>
      <c r="R51" s="17"/>
    </row>
    <row r="52" spans="1:18" ht="409.6" x14ac:dyDescent="0.3">
      <c r="A52" s="12" t="s">
        <v>1096</v>
      </c>
      <c r="B52" s="13" t="s">
        <v>166</v>
      </c>
      <c r="C52" s="13" t="s">
        <v>24</v>
      </c>
      <c r="D52" s="13" t="s">
        <v>41</v>
      </c>
      <c r="E52" s="13" t="s">
        <v>167</v>
      </c>
      <c r="F52" s="13" t="s">
        <v>45</v>
      </c>
      <c r="G52" s="13" t="s">
        <v>46</v>
      </c>
      <c r="H52" s="13" t="s">
        <v>987</v>
      </c>
      <c r="I52" s="13" t="s">
        <v>155</v>
      </c>
      <c r="J52" s="13" t="s">
        <v>1097</v>
      </c>
      <c r="K52" s="13" t="s">
        <v>989</v>
      </c>
      <c r="L52" s="13" t="s">
        <v>957</v>
      </c>
      <c r="M52" s="13" t="s">
        <v>958</v>
      </c>
      <c r="N52" s="13" t="s">
        <v>168</v>
      </c>
      <c r="O52" s="13" t="s">
        <v>959</v>
      </c>
      <c r="P52" s="13"/>
      <c r="Q52" s="13"/>
      <c r="R52" s="14" t="s">
        <v>990</v>
      </c>
    </row>
    <row r="53" spans="1:18" ht="358.8" x14ac:dyDescent="0.3">
      <c r="A53" s="15" t="s">
        <v>1098</v>
      </c>
      <c r="B53" s="16" t="s">
        <v>169</v>
      </c>
      <c r="C53" s="16" t="s">
        <v>24</v>
      </c>
      <c r="D53" s="16" t="s">
        <v>41</v>
      </c>
      <c r="E53" s="16" t="s">
        <v>170</v>
      </c>
      <c r="F53" s="16" t="s">
        <v>45</v>
      </c>
      <c r="G53" s="16" t="s">
        <v>46</v>
      </c>
      <c r="H53" s="16" t="s">
        <v>977</v>
      </c>
      <c r="I53" s="16" t="s">
        <v>155</v>
      </c>
      <c r="J53" s="16" t="s">
        <v>1099</v>
      </c>
      <c r="K53" s="16" t="s">
        <v>1100</v>
      </c>
      <c r="L53" s="16" t="s">
        <v>957</v>
      </c>
      <c r="M53" s="16" t="s">
        <v>958</v>
      </c>
      <c r="N53" s="16" t="s">
        <v>172</v>
      </c>
      <c r="O53" s="16" t="s">
        <v>959</v>
      </c>
      <c r="P53" s="16"/>
      <c r="Q53" s="16"/>
      <c r="R53" s="17"/>
    </row>
    <row r="54" spans="1:18" ht="289.8" x14ac:dyDescent="0.3">
      <c r="A54" s="12" t="s">
        <v>1101</v>
      </c>
      <c r="B54" s="13" t="s">
        <v>173</v>
      </c>
      <c r="C54" s="13" t="s">
        <v>24</v>
      </c>
      <c r="D54" s="13" t="s">
        <v>41</v>
      </c>
      <c r="E54" s="13" t="s">
        <v>1102</v>
      </c>
      <c r="F54" s="13" t="s">
        <v>953</v>
      </c>
      <c r="G54" s="13" t="s">
        <v>53</v>
      </c>
      <c r="H54" s="13" t="s">
        <v>999</v>
      </c>
      <c r="I54" s="13" t="s">
        <v>155</v>
      </c>
      <c r="J54" s="13" t="s">
        <v>1000</v>
      </c>
      <c r="K54" s="13" t="s">
        <v>1001</v>
      </c>
      <c r="L54" s="13" t="s">
        <v>957</v>
      </c>
      <c r="M54" s="13" t="s">
        <v>958</v>
      </c>
      <c r="N54" s="13" t="s">
        <v>157</v>
      </c>
      <c r="O54" s="13" t="s">
        <v>959</v>
      </c>
      <c r="P54" s="13"/>
      <c r="Q54" s="13"/>
      <c r="R54" s="14"/>
    </row>
    <row r="55" spans="1:18" ht="345" x14ac:dyDescent="0.3">
      <c r="A55" s="15" t="s">
        <v>1103</v>
      </c>
      <c r="B55" s="16" t="s">
        <v>173</v>
      </c>
      <c r="C55" s="16" t="s">
        <v>24</v>
      </c>
      <c r="D55" s="16" t="s">
        <v>41</v>
      </c>
      <c r="E55" s="16" t="s">
        <v>1104</v>
      </c>
      <c r="F55" s="16" t="s">
        <v>339</v>
      </c>
      <c r="G55" s="16" t="s">
        <v>53</v>
      </c>
      <c r="H55" s="16" t="s">
        <v>1004</v>
      </c>
      <c r="I55" s="16" t="s">
        <v>155</v>
      </c>
      <c r="J55" s="16" t="s">
        <v>1005</v>
      </c>
      <c r="K55" s="16" t="s">
        <v>1006</v>
      </c>
      <c r="L55" s="16" t="s">
        <v>957</v>
      </c>
      <c r="M55" s="16" t="s">
        <v>958</v>
      </c>
      <c r="N55" s="16" t="s">
        <v>157</v>
      </c>
      <c r="O55" s="16" t="s">
        <v>959</v>
      </c>
      <c r="P55" s="16"/>
      <c r="Q55" s="16"/>
      <c r="R55" s="17"/>
    </row>
    <row r="56" spans="1:18" ht="220.8" x14ac:dyDescent="0.3">
      <c r="A56" s="12" t="s">
        <v>1105</v>
      </c>
      <c r="B56" s="13" t="s">
        <v>175</v>
      </c>
      <c r="C56" s="13" t="s">
        <v>24</v>
      </c>
      <c r="D56" s="13" t="s">
        <v>41</v>
      </c>
      <c r="E56" s="13" t="s">
        <v>1106</v>
      </c>
      <c r="F56" s="13" t="s">
        <v>953</v>
      </c>
      <c r="G56" s="13" t="s">
        <v>46</v>
      </c>
      <c r="H56" s="13" t="s">
        <v>954</v>
      </c>
      <c r="I56" s="13" t="s">
        <v>176</v>
      </c>
      <c r="J56" s="13" t="s">
        <v>1107</v>
      </c>
      <c r="K56" s="13" t="s">
        <v>956</v>
      </c>
      <c r="L56" s="13" t="s">
        <v>957</v>
      </c>
      <c r="M56" s="13" t="s">
        <v>958</v>
      </c>
      <c r="N56" s="13" t="s">
        <v>178</v>
      </c>
      <c r="O56" s="13" t="s">
        <v>959</v>
      </c>
      <c r="P56" s="13"/>
      <c r="Q56" s="13"/>
      <c r="R56" s="14"/>
    </row>
    <row r="57" spans="1:18" ht="331.2" x14ac:dyDescent="0.3">
      <c r="A57" s="15" t="s">
        <v>1108</v>
      </c>
      <c r="B57" s="16" t="s">
        <v>175</v>
      </c>
      <c r="C57" s="16" t="s">
        <v>24</v>
      </c>
      <c r="D57" s="16" t="s">
        <v>41</v>
      </c>
      <c r="E57" s="16" t="s">
        <v>1109</v>
      </c>
      <c r="F57" s="16" t="s">
        <v>339</v>
      </c>
      <c r="G57" s="16" t="s">
        <v>53</v>
      </c>
      <c r="H57" s="16" t="s">
        <v>962</v>
      </c>
      <c r="I57" s="16" t="s">
        <v>176</v>
      </c>
      <c r="J57" s="16" t="s">
        <v>1110</v>
      </c>
      <c r="K57" s="16" t="s">
        <v>964</v>
      </c>
      <c r="L57" s="16" t="s">
        <v>957</v>
      </c>
      <c r="M57" s="16" t="s">
        <v>958</v>
      </c>
      <c r="N57" s="16" t="s">
        <v>178</v>
      </c>
      <c r="O57" s="16" t="s">
        <v>959</v>
      </c>
      <c r="P57" s="16"/>
      <c r="Q57" s="16"/>
      <c r="R57" s="17"/>
    </row>
    <row r="58" spans="1:18" ht="248.4" x14ac:dyDescent="0.3">
      <c r="A58" s="12" t="s">
        <v>1111</v>
      </c>
      <c r="B58" s="13" t="s">
        <v>179</v>
      </c>
      <c r="C58" s="13" t="s">
        <v>24</v>
      </c>
      <c r="D58" s="13" t="s">
        <v>41</v>
      </c>
      <c r="E58" s="13" t="s">
        <v>1112</v>
      </c>
      <c r="F58" s="13" t="s">
        <v>52</v>
      </c>
      <c r="G58" s="13" t="s">
        <v>53</v>
      </c>
      <c r="H58" s="13" t="s">
        <v>967</v>
      </c>
      <c r="I58" s="13" t="s">
        <v>176</v>
      </c>
      <c r="J58" s="13" t="s">
        <v>968</v>
      </c>
      <c r="K58" s="13" t="s">
        <v>969</v>
      </c>
      <c r="L58" s="13" t="s">
        <v>957</v>
      </c>
      <c r="M58" s="13" t="s">
        <v>958</v>
      </c>
      <c r="N58" s="13" t="s">
        <v>178</v>
      </c>
      <c r="O58" s="13" t="s">
        <v>959</v>
      </c>
      <c r="P58" s="13"/>
      <c r="Q58" s="13"/>
      <c r="R58" s="14"/>
    </row>
    <row r="59" spans="1:18" ht="303.60000000000002" x14ac:dyDescent="0.3">
      <c r="A59" s="15" t="s">
        <v>1113</v>
      </c>
      <c r="B59" s="16" t="s">
        <v>179</v>
      </c>
      <c r="C59" s="16" t="s">
        <v>24</v>
      </c>
      <c r="D59" s="16" t="s">
        <v>41</v>
      </c>
      <c r="E59" s="16" t="s">
        <v>1114</v>
      </c>
      <c r="F59" s="16" t="s">
        <v>972</v>
      </c>
      <c r="G59" s="16" t="s">
        <v>53</v>
      </c>
      <c r="H59" s="16" t="s">
        <v>973</v>
      </c>
      <c r="I59" s="16" t="s">
        <v>176</v>
      </c>
      <c r="J59" s="16" t="s">
        <v>974</v>
      </c>
      <c r="K59" s="16" t="s">
        <v>975</v>
      </c>
      <c r="L59" s="16" t="s">
        <v>957</v>
      </c>
      <c r="M59" s="16" t="s">
        <v>958</v>
      </c>
      <c r="N59" s="16" t="s">
        <v>178</v>
      </c>
      <c r="O59" s="16" t="s">
        <v>959</v>
      </c>
      <c r="P59" s="16"/>
      <c r="Q59" s="16"/>
      <c r="R59" s="17"/>
    </row>
    <row r="60" spans="1:18" ht="409.6" x14ac:dyDescent="0.3">
      <c r="A60" s="12" t="s">
        <v>1115</v>
      </c>
      <c r="B60" s="13" t="s">
        <v>181</v>
      </c>
      <c r="C60" s="13" t="s">
        <v>24</v>
      </c>
      <c r="D60" s="13" t="s">
        <v>41</v>
      </c>
      <c r="E60" s="13" t="s">
        <v>182</v>
      </c>
      <c r="F60" s="13" t="s">
        <v>57</v>
      </c>
      <c r="G60" s="13" t="s">
        <v>46</v>
      </c>
      <c r="H60" s="13" t="s">
        <v>977</v>
      </c>
      <c r="I60" s="13" t="s">
        <v>176</v>
      </c>
      <c r="J60" s="13" t="s">
        <v>1116</v>
      </c>
      <c r="K60" s="13" t="s">
        <v>979</v>
      </c>
      <c r="L60" s="13" t="s">
        <v>957</v>
      </c>
      <c r="M60" s="13" t="s">
        <v>958</v>
      </c>
      <c r="N60" s="13" t="s">
        <v>183</v>
      </c>
      <c r="O60" s="13" t="s">
        <v>959</v>
      </c>
      <c r="P60" s="13"/>
      <c r="Q60" s="13"/>
      <c r="R60" s="14"/>
    </row>
    <row r="61" spans="1:18" ht="372.6" x14ac:dyDescent="0.3">
      <c r="A61" s="15" t="s">
        <v>1117</v>
      </c>
      <c r="B61" s="16" t="s">
        <v>184</v>
      </c>
      <c r="C61" s="16" t="s">
        <v>24</v>
      </c>
      <c r="D61" s="16" t="s">
        <v>41</v>
      </c>
      <c r="E61" s="16" t="s">
        <v>185</v>
      </c>
      <c r="F61" s="16" t="s">
        <v>57</v>
      </c>
      <c r="G61" s="16" t="s">
        <v>46</v>
      </c>
      <c r="H61" s="16" t="s">
        <v>977</v>
      </c>
      <c r="I61" s="16" t="s">
        <v>176</v>
      </c>
      <c r="J61" s="16" t="s">
        <v>1118</v>
      </c>
      <c r="K61" s="16" t="s">
        <v>982</v>
      </c>
      <c r="L61" s="16" t="s">
        <v>957</v>
      </c>
      <c r="M61" s="16" t="s">
        <v>958</v>
      </c>
      <c r="N61" s="16" t="s">
        <v>186</v>
      </c>
      <c r="O61" s="16" t="s">
        <v>959</v>
      </c>
      <c r="P61" s="16"/>
      <c r="Q61" s="16"/>
      <c r="R61" s="17"/>
    </row>
    <row r="62" spans="1:18" ht="409.6" x14ac:dyDescent="0.3">
      <c r="A62" s="12" t="s">
        <v>1119</v>
      </c>
      <c r="B62" s="13" t="s">
        <v>187</v>
      </c>
      <c r="C62" s="13" t="s">
        <v>24</v>
      </c>
      <c r="D62" s="13" t="s">
        <v>41</v>
      </c>
      <c r="E62" s="13" t="s">
        <v>188</v>
      </c>
      <c r="F62" s="13" t="s">
        <v>45</v>
      </c>
      <c r="G62" s="13" t="s">
        <v>46</v>
      </c>
      <c r="H62" s="13" t="s">
        <v>987</v>
      </c>
      <c r="I62" s="13" t="s">
        <v>176</v>
      </c>
      <c r="J62" s="13" t="s">
        <v>1120</v>
      </c>
      <c r="K62" s="13" t="s">
        <v>989</v>
      </c>
      <c r="L62" s="13" t="s">
        <v>957</v>
      </c>
      <c r="M62" s="13" t="s">
        <v>958</v>
      </c>
      <c r="N62" s="13" t="s">
        <v>189</v>
      </c>
      <c r="O62" s="13" t="s">
        <v>959</v>
      </c>
      <c r="P62" s="13"/>
      <c r="Q62" s="13"/>
      <c r="R62" s="14" t="s">
        <v>990</v>
      </c>
    </row>
    <row r="63" spans="1:18" ht="358.8" x14ac:dyDescent="0.3">
      <c r="A63" s="15" t="s">
        <v>1121</v>
      </c>
      <c r="B63" s="16" t="s">
        <v>190</v>
      </c>
      <c r="C63" s="16" t="s">
        <v>24</v>
      </c>
      <c r="D63" s="16" t="s">
        <v>41</v>
      </c>
      <c r="E63" s="16" t="s">
        <v>191</v>
      </c>
      <c r="F63" s="16" t="s">
        <v>45</v>
      </c>
      <c r="G63" s="16" t="s">
        <v>46</v>
      </c>
      <c r="H63" s="16" t="s">
        <v>977</v>
      </c>
      <c r="I63" s="16" t="s">
        <v>176</v>
      </c>
      <c r="J63" s="16" t="s">
        <v>1122</v>
      </c>
      <c r="K63" s="16" t="s">
        <v>1123</v>
      </c>
      <c r="L63" s="16" t="s">
        <v>957</v>
      </c>
      <c r="M63" s="16" t="s">
        <v>958</v>
      </c>
      <c r="N63" s="16" t="s">
        <v>193</v>
      </c>
      <c r="O63" s="16" t="s">
        <v>959</v>
      </c>
      <c r="P63" s="16"/>
      <c r="Q63" s="16"/>
      <c r="R63" s="17"/>
    </row>
    <row r="64" spans="1:18" ht="289.8" x14ac:dyDescent="0.3">
      <c r="A64" s="12" t="s">
        <v>1124</v>
      </c>
      <c r="B64" s="13" t="s">
        <v>194</v>
      </c>
      <c r="C64" s="13" t="s">
        <v>24</v>
      </c>
      <c r="D64" s="13" t="s">
        <v>41</v>
      </c>
      <c r="E64" s="13" t="s">
        <v>1125</v>
      </c>
      <c r="F64" s="13" t="s">
        <v>953</v>
      </c>
      <c r="G64" s="13" t="s">
        <v>53</v>
      </c>
      <c r="H64" s="13" t="s">
        <v>999</v>
      </c>
      <c r="I64" s="13" t="s">
        <v>176</v>
      </c>
      <c r="J64" s="13" t="s">
        <v>1000</v>
      </c>
      <c r="K64" s="13" t="s">
        <v>1001</v>
      </c>
      <c r="L64" s="13" t="s">
        <v>957</v>
      </c>
      <c r="M64" s="13" t="s">
        <v>958</v>
      </c>
      <c r="N64" s="13" t="s">
        <v>178</v>
      </c>
      <c r="O64" s="13" t="s">
        <v>959</v>
      </c>
      <c r="P64" s="13"/>
      <c r="Q64" s="13"/>
      <c r="R64" s="14"/>
    </row>
    <row r="65" spans="1:18" ht="345" x14ac:dyDescent="0.3">
      <c r="A65" s="15" t="s">
        <v>1126</v>
      </c>
      <c r="B65" s="16" t="s">
        <v>194</v>
      </c>
      <c r="C65" s="16" t="s">
        <v>24</v>
      </c>
      <c r="D65" s="16" t="s">
        <v>41</v>
      </c>
      <c r="E65" s="16" t="s">
        <v>1127</v>
      </c>
      <c r="F65" s="16" t="s">
        <v>339</v>
      </c>
      <c r="G65" s="16" t="s">
        <v>53</v>
      </c>
      <c r="H65" s="16" t="s">
        <v>1004</v>
      </c>
      <c r="I65" s="16" t="s">
        <v>176</v>
      </c>
      <c r="J65" s="16" t="s">
        <v>1005</v>
      </c>
      <c r="K65" s="16" t="s">
        <v>1006</v>
      </c>
      <c r="L65" s="16" t="s">
        <v>957</v>
      </c>
      <c r="M65" s="16" t="s">
        <v>958</v>
      </c>
      <c r="N65" s="16" t="s">
        <v>178</v>
      </c>
      <c r="O65" s="16" t="s">
        <v>959</v>
      </c>
      <c r="P65" s="16"/>
      <c r="Q65" s="16"/>
      <c r="R65" s="17"/>
    </row>
    <row r="66" spans="1:18" ht="262.2" x14ac:dyDescent="0.3">
      <c r="A66" s="12" t="s">
        <v>1128</v>
      </c>
      <c r="B66" s="13" t="s">
        <v>196</v>
      </c>
      <c r="C66" s="13" t="s">
        <v>24</v>
      </c>
      <c r="D66" s="13" t="s">
        <v>197</v>
      </c>
      <c r="E66" s="13" t="s">
        <v>1129</v>
      </c>
      <c r="F66" s="13" t="s">
        <v>953</v>
      </c>
      <c r="G66" s="13" t="s">
        <v>46</v>
      </c>
      <c r="H66" s="13" t="s">
        <v>1130</v>
      </c>
      <c r="I66" s="13" t="s">
        <v>198</v>
      </c>
      <c r="J66" s="13" t="s">
        <v>1131</v>
      </c>
      <c r="K66" s="13" t="s">
        <v>1132</v>
      </c>
      <c r="L66" s="13" t="s">
        <v>1133</v>
      </c>
      <c r="M66" s="13" t="s">
        <v>1134</v>
      </c>
      <c r="N66" s="13" t="s">
        <v>201</v>
      </c>
      <c r="O66" s="13" t="s">
        <v>959</v>
      </c>
      <c r="P66" s="13"/>
      <c r="Q66" s="13"/>
      <c r="R66" s="14"/>
    </row>
    <row r="67" spans="1:18" ht="345" x14ac:dyDescent="0.3">
      <c r="A67" s="15" t="s">
        <v>1135</v>
      </c>
      <c r="B67" s="16" t="s">
        <v>196</v>
      </c>
      <c r="C67" s="16" t="s">
        <v>24</v>
      </c>
      <c r="D67" s="16" t="s">
        <v>197</v>
      </c>
      <c r="E67" s="16" t="s">
        <v>1136</v>
      </c>
      <c r="F67" s="16" t="s">
        <v>339</v>
      </c>
      <c r="G67" s="16" t="s">
        <v>53</v>
      </c>
      <c r="H67" s="16" t="s">
        <v>1137</v>
      </c>
      <c r="I67" s="16" t="s">
        <v>198</v>
      </c>
      <c r="J67" s="16" t="s">
        <v>1138</v>
      </c>
      <c r="K67" s="16" t="s">
        <v>964</v>
      </c>
      <c r="L67" s="16" t="s">
        <v>1133</v>
      </c>
      <c r="M67" s="16" t="s">
        <v>1134</v>
      </c>
      <c r="N67" s="16" t="s">
        <v>201</v>
      </c>
      <c r="O67" s="16" t="s">
        <v>959</v>
      </c>
      <c r="P67" s="16"/>
      <c r="Q67" s="16"/>
      <c r="R67" s="17"/>
    </row>
    <row r="68" spans="1:18" ht="248.4" x14ac:dyDescent="0.3">
      <c r="A68" s="12" t="s">
        <v>1139</v>
      </c>
      <c r="B68" s="13" t="s">
        <v>202</v>
      </c>
      <c r="C68" s="13" t="s">
        <v>24</v>
      </c>
      <c r="D68" s="13" t="s">
        <v>197</v>
      </c>
      <c r="E68" s="13" t="s">
        <v>1140</v>
      </c>
      <c r="F68" s="13" t="s">
        <v>52</v>
      </c>
      <c r="G68" s="13" t="s">
        <v>53</v>
      </c>
      <c r="H68" s="13" t="s">
        <v>1141</v>
      </c>
      <c r="I68" s="13" t="s">
        <v>198</v>
      </c>
      <c r="J68" s="13" t="s">
        <v>968</v>
      </c>
      <c r="K68" s="13" t="s">
        <v>969</v>
      </c>
      <c r="L68" s="13" t="s">
        <v>1133</v>
      </c>
      <c r="M68" s="13" t="s">
        <v>1134</v>
      </c>
      <c r="N68" s="13" t="s">
        <v>201</v>
      </c>
      <c r="O68" s="13" t="s">
        <v>959</v>
      </c>
      <c r="P68" s="13"/>
      <c r="Q68" s="13"/>
      <c r="R68" s="14"/>
    </row>
    <row r="69" spans="1:18" ht="303.60000000000002" x14ac:dyDescent="0.3">
      <c r="A69" s="15" t="s">
        <v>1142</v>
      </c>
      <c r="B69" s="16" t="s">
        <v>202</v>
      </c>
      <c r="C69" s="16" t="s">
        <v>24</v>
      </c>
      <c r="D69" s="16" t="s">
        <v>197</v>
      </c>
      <c r="E69" s="16" t="s">
        <v>1143</v>
      </c>
      <c r="F69" s="16" t="s">
        <v>972</v>
      </c>
      <c r="G69" s="16" t="s">
        <v>53</v>
      </c>
      <c r="H69" s="16" t="s">
        <v>1144</v>
      </c>
      <c r="I69" s="16" t="s">
        <v>198</v>
      </c>
      <c r="J69" s="16" t="s">
        <v>974</v>
      </c>
      <c r="K69" s="16" t="s">
        <v>975</v>
      </c>
      <c r="L69" s="16" t="s">
        <v>1133</v>
      </c>
      <c r="M69" s="16" t="s">
        <v>1134</v>
      </c>
      <c r="N69" s="16" t="s">
        <v>201</v>
      </c>
      <c r="O69" s="16" t="s">
        <v>959</v>
      </c>
      <c r="P69" s="16"/>
      <c r="Q69" s="16"/>
      <c r="R69" s="17"/>
    </row>
    <row r="70" spans="1:18" ht="409.6" x14ac:dyDescent="0.3">
      <c r="A70" s="12" t="s">
        <v>1145</v>
      </c>
      <c r="B70" s="13" t="s">
        <v>205</v>
      </c>
      <c r="C70" s="13" t="s">
        <v>24</v>
      </c>
      <c r="D70" s="13" t="s">
        <v>197</v>
      </c>
      <c r="E70" s="13" t="s">
        <v>206</v>
      </c>
      <c r="F70" s="13" t="s">
        <v>57</v>
      </c>
      <c r="G70" s="13" t="s">
        <v>46</v>
      </c>
      <c r="H70" s="13" t="s">
        <v>977</v>
      </c>
      <c r="I70" s="13" t="s">
        <v>198</v>
      </c>
      <c r="J70" s="13" t="s">
        <v>1146</v>
      </c>
      <c r="K70" s="13" t="s">
        <v>979</v>
      </c>
      <c r="L70" s="13" t="s">
        <v>1133</v>
      </c>
      <c r="M70" s="13" t="s">
        <v>1134</v>
      </c>
      <c r="N70" s="13" t="s">
        <v>207</v>
      </c>
      <c r="O70" s="13" t="s">
        <v>959</v>
      </c>
      <c r="P70" s="13"/>
      <c r="Q70" s="13"/>
      <c r="R70" s="14"/>
    </row>
    <row r="71" spans="1:18" ht="386.4" x14ac:dyDescent="0.3">
      <c r="A71" s="15" t="s">
        <v>1147</v>
      </c>
      <c r="B71" s="16" t="s">
        <v>208</v>
      </c>
      <c r="C71" s="16" t="s">
        <v>24</v>
      </c>
      <c r="D71" s="16" t="s">
        <v>197</v>
      </c>
      <c r="E71" s="16" t="s">
        <v>209</v>
      </c>
      <c r="F71" s="16" t="s">
        <v>57</v>
      </c>
      <c r="G71" s="16" t="s">
        <v>46</v>
      </c>
      <c r="H71" s="16" t="s">
        <v>977</v>
      </c>
      <c r="I71" s="16" t="s">
        <v>198</v>
      </c>
      <c r="J71" s="16" t="s">
        <v>1148</v>
      </c>
      <c r="K71" s="16" t="s">
        <v>1149</v>
      </c>
      <c r="L71" s="16" t="s">
        <v>1133</v>
      </c>
      <c r="M71" s="16" t="s">
        <v>1134</v>
      </c>
      <c r="N71" s="16" t="s">
        <v>211</v>
      </c>
      <c r="O71" s="16" t="s">
        <v>959</v>
      </c>
      <c r="P71" s="16"/>
      <c r="Q71" s="16"/>
      <c r="R71" s="17"/>
    </row>
    <row r="72" spans="1:18" ht="409.6" x14ac:dyDescent="0.3">
      <c r="A72" s="12" t="s">
        <v>1150</v>
      </c>
      <c r="B72" s="13" t="s">
        <v>212</v>
      </c>
      <c r="C72" s="13" t="s">
        <v>24</v>
      </c>
      <c r="D72" s="13" t="s">
        <v>197</v>
      </c>
      <c r="E72" s="13" t="s">
        <v>213</v>
      </c>
      <c r="F72" s="13" t="s">
        <v>57</v>
      </c>
      <c r="G72" s="13" t="s">
        <v>46</v>
      </c>
      <c r="H72" s="13" t="s">
        <v>1151</v>
      </c>
      <c r="I72" s="13" t="s">
        <v>198</v>
      </c>
      <c r="J72" s="13" t="s">
        <v>1152</v>
      </c>
      <c r="K72" s="13" t="s">
        <v>1153</v>
      </c>
      <c r="L72" s="13" t="s">
        <v>1133</v>
      </c>
      <c r="M72" s="13" t="s">
        <v>1134</v>
      </c>
      <c r="N72" s="13" t="s">
        <v>215</v>
      </c>
      <c r="O72" s="13" t="s">
        <v>959</v>
      </c>
      <c r="P72" s="13"/>
      <c r="Q72" s="13"/>
      <c r="R72" s="14" t="s">
        <v>990</v>
      </c>
    </row>
    <row r="73" spans="1:18" ht="409.6" x14ac:dyDescent="0.3">
      <c r="A73" s="15" t="s">
        <v>1154</v>
      </c>
      <c r="B73" s="16" t="s">
        <v>216</v>
      </c>
      <c r="C73" s="16" t="s">
        <v>24</v>
      </c>
      <c r="D73" s="16" t="s">
        <v>197</v>
      </c>
      <c r="E73" s="16" t="s">
        <v>217</v>
      </c>
      <c r="F73" s="16" t="s">
        <v>45</v>
      </c>
      <c r="G73" s="16" t="s">
        <v>53</v>
      </c>
      <c r="H73" s="16" t="s">
        <v>1155</v>
      </c>
      <c r="I73" s="16" t="s">
        <v>198</v>
      </c>
      <c r="J73" s="16" t="s">
        <v>1156</v>
      </c>
      <c r="K73" s="16" t="s">
        <v>1157</v>
      </c>
      <c r="L73" s="16" t="s">
        <v>1133</v>
      </c>
      <c r="M73" s="16" t="s">
        <v>1134</v>
      </c>
      <c r="N73" s="16" t="s">
        <v>219</v>
      </c>
      <c r="O73" s="16" t="s">
        <v>959</v>
      </c>
      <c r="P73" s="16"/>
      <c r="Q73" s="16"/>
      <c r="R73" s="17" t="s">
        <v>990</v>
      </c>
    </row>
    <row r="74" spans="1:18" ht="386.4" x14ac:dyDescent="0.3">
      <c r="A74" s="12" t="s">
        <v>1158</v>
      </c>
      <c r="B74" s="13" t="s">
        <v>220</v>
      </c>
      <c r="C74" s="13" t="s">
        <v>24</v>
      </c>
      <c r="D74" s="13" t="s">
        <v>197</v>
      </c>
      <c r="E74" s="13" t="s">
        <v>221</v>
      </c>
      <c r="F74" s="13" t="s">
        <v>45</v>
      </c>
      <c r="G74" s="13" t="s">
        <v>46</v>
      </c>
      <c r="H74" s="13" t="s">
        <v>977</v>
      </c>
      <c r="I74" s="13" t="s">
        <v>198</v>
      </c>
      <c r="J74" s="13" t="s">
        <v>1159</v>
      </c>
      <c r="K74" s="13" t="s">
        <v>1160</v>
      </c>
      <c r="L74" s="13" t="s">
        <v>1133</v>
      </c>
      <c r="M74" s="13" t="s">
        <v>1134</v>
      </c>
      <c r="N74" s="13" t="s">
        <v>223</v>
      </c>
      <c r="O74" s="13" t="s">
        <v>959</v>
      </c>
      <c r="P74" s="13"/>
      <c r="Q74" s="13"/>
      <c r="R74" s="14"/>
    </row>
    <row r="75" spans="1:18" ht="409.6" x14ac:dyDescent="0.3">
      <c r="A75" s="15" t="s">
        <v>1161</v>
      </c>
      <c r="B75" s="16" t="s">
        <v>224</v>
      </c>
      <c r="C75" s="16" t="s">
        <v>24</v>
      </c>
      <c r="D75" s="16" t="s">
        <v>197</v>
      </c>
      <c r="E75" s="16" t="s">
        <v>225</v>
      </c>
      <c r="F75" s="16" t="s">
        <v>45</v>
      </c>
      <c r="G75" s="16" t="s">
        <v>46</v>
      </c>
      <c r="H75" s="16" t="s">
        <v>1162</v>
      </c>
      <c r="I75" s="16" t="s">
        <v>198</v>
      </c>
      <c r="J75" s="16" t="s">
        <v>1163</v>
      </c>
      <c r="K75" s="16" t="s">
        <v>1164</v>
      </c>
      <c r="L75" s="16" t="s">
        <v>1133</v>
      </c>
      <c r="M75" s="16" t="s">
        <v>1134</v>
      </c>
      <c r="N75" s="16" t="s">
        <v>227</v>
      </c>
      <c r="O75" s="16" t="s">
        <v>959</v>
      </c>
      <c r="P75" s="16"/>
      <c r="Q75" s="16"/>
      <c r="R75" s="17" t="s">
        <v>990</v>
      </c>
    </row>
    <row r="76" spans="1:18" ht="409.6" x14ac:dyDescent="0.3">
      <c r="A76" s="12" t="s">
        <v>1165</v>
      </c>
      <c r="B76" s="13" t="s">
        <v>228</v>
      </c>
      <c r="C76" s="13" t="s">
        <v>24</v>
      </c>
      <c r="D76" s="13" t="s">
        <v>197</v>
      </c>
      <c r="E76" s="13" t="s">
        <v>229</v>
      </c>
      <c r="F76" s="13" t="s">
        <v>45</v>
      </c>
      <c r="G76" s="13" t="s">
        <v>46</v>
      </c>
      <c r="H76" s="13" t="s">
        <v>1166</v>
      </c>
      <c r="I76" s="13" t="s">
        <v>198</v>
      </c>
      <c r="J76" s="13" t="s">
        <v>1167</v>
      </c>
      <c r="K76" s="13" t="s">
        <v>1168</v>
      </c>
      <c r="L76" s="13" t="s">
        <v>1133</v>
      </c>
      <c r="M76" s="13" t="s">
        <v>1134</v>
      </c>
      <c r="N76" s="13" t="s">
        <v>231</v>
      </c>
      <c r="O76" s="13" t="s">
        <v>959</v>
      </c>
      <c r="P76" s="13"/>
      <c r="Q76" s="13"/>
      <c r="R76" s="14" t="s">
        <v>990</v>
      </c>
    </row>
    <row r="77" spans="1:18" ht="409.6" x14ac:dyDescent="0.3">
      <c r="A77" s="15" t="s">
        <v>1169</v>
      </c>
      <c r="B77" s="16" t="s">
        <v>232</v>
      </c>
      <c r="C77" s="16" t="s">
        <v>24</v>
      </c>
      <c r="D77" s="16" t="s">
        <v>197</v>
      </c>
      <c r="E77" s="16" t="s">
        <v>233</v>
      </c>
      <c r="F77" s="16" t="s">
        <v>45</v>
      </c>
      <c r="G77" s="16" t="s">
        <v>46</v>
      </c>
      <c r="H77" s="16" t="s">
        <v>1170</v>
      </c>
      <c r="I77" s="16" t="s">
        <v>198</v>
      </c>
      <c r="J77" s="16" t="s">
        <v>1171</v>
      </c>
      <c r="K77" s="16" t="s">
        <v>1172</v>
      </c>
      <c r="L77" s="16" t="s">
        <v>1133</v>
      </c>
      <c r="M77" s="16" t="s">
        <v>1134</v>
      </c>
      <c r="N77" s="16" t="s">
        <v>235</v>
      </c>
      <c r="O77" s="16" t="s">
        <v>959</v>
      </c>
      <c r="P77" s="16"/>
      <c r="Q77" s="16"/>
      <c r="R77" s="17" t="s">
        <v>990</v>
      </c>
    </row>
    <row r="78" spans="1:18" ht="409.6" x14ac:dyDescent="0.3">
      <c r="A78" s="12" t="s">
        <v>1173</v>
      </c>
      <c r="B78" s="13" t="s">
        <v>236</v>
      </c>
      <c r="C78" s="13" t="s">
        <v>24</v>
      </c>
      <c r="D78" s="13" t="s">
        <v>197</v>
      </c>
      <c r="E78" s="13" t="s">
        <v>237</v>
      </c>
      <c r="F78" s="13" t="s">
        <v>45</v>
      </c>
      <c r="G78" s="13" t="s">
        <v>46</v>
      </c>
      <c r="H78" s="13" t="s">
        <v>1174</v>
      </c>
      <c r="I78" s="13" t="s">
        <v>198</v>
      </c>
      <c r="J78" s="13" t="s">
        <v>1175</v>
      </c>
      <c r="K78" s="13" t="s">
        <v>1176</v>
      </c>
      <c r="L78" s="13" t="s">
        <v>1133</v>
      </c>
      <c r="M78" s="13" t="s">
        <v>1134</v>
      </c>
      <c r="N78" s="13" t="s">
        <v>239</v>
      </c>
      <c r="O78" s="13" t="s">
        <v>959</v>
      </c>
      <c r="P78" s="13"/>
      <c r="Q78" s="13"/>
      <c r="R78" s="14" t="s">
        <v>990</v>
      </c>
    </row>
    <row r="79" spans="1:18" ht="386.4" x14ac:dyDescent="0.3">
      <c r="A79" s="15" t="s">
        <v>1177</v>
      </c>
      <c r="B79" s="16" t="s">
        <v>240</v>
      </c>
      <c r="C79" s="16" t="s">
        <v>24</v>
      </c>
      <c r="D79" s="16" t="s">
        <v>197</v>
      </c>
      <c r="E79" s="16" t="s">
        <v>241</v>
      </c>
      <c r="F79" s="16" t="s">
        <v>57</v>
      </c>
      <c r="G79" s="16" t="s">
        <v>46</v>
      </c>
      <c r="H79" s="16" t="s">
        <v>977</v>
      </c>
      <c r="I79" s="16" t="s">
        <v>198</v>
      </c>
      <c r="J79" s="16" t="s">
        <v>1178</v>
      </c>
      <c r="K79" s="16" t="s">
        <v>1179</v>
      </c>
      <c r="L79" s="16" t="s">
        <v>1133</v>
      </c>
      <c r="M79" s="16" t="s">
        <v>1134</v>
      </c>
      <c r="N79" s="16" t="s">
        <v>243</v>
      </c>
      <c r="O79" s="16" t="s">
        <v>959</v>
      </c>
      <c r="P79" s="16"/>
      <c r="Q79" s="16"/>
      <c r="R79" s="17"/>
    </row>
    <row r="80" spans="1:18" ht="372.6" x14ac:dyDescent="0.3">
      <c r="A80" s="12" t="s">
        <v>1180</v>
      </c>
      <c r="B80" s="13" t="s">
        <v>244</v>
      </c>
      <c r="C80" s="13" t="s">
        <v>24</v>
      </c>
      <c r="D80" s="13" t="s">
        <v>197</v>
      </c>
      <c r="E80" s="13" t="s">
        <v>245</v>
      </c>
      <c r="F80" s="13" t="s">
        <v>45</v>
      </c>
      <c r="G80" s="13" t="s">
        <v>46</v>
      </c>
      <c r="H80" s="13" t="s">
        <v>977</v>
      </c>
      <c r="I80" s="13" t="s">
        <v>198</v>
      </c>
      <c r="J80" s="13" t="s">
        <v>1181</v>
      </c>
      <c r="K80" s="13" t="s">
        <v>1182</v>
      </c>
      <c r="L80" s="13" t="s">
        <v>1133</v>
      </c>
      <c r="M80" s="13" t="s">
        <v>1134</v>
      </c>
      <c r="N80" s="13" t="s">
        <v>247</v>
      </c>
      <c r="O80" s="13" t="s">
        <v>959</v>
      </c>
      <c r="P80" s="13"/>
      <c r="Q80" s="13"/>
      <c r="R80" s="14"/>
    </row>
    <row r="81" spans="1:18" ht="409.6" x14ac:dyDescent="0.3">
      <c r="A81" s="15" t="s">
        <v>1183</v>
      </c>
      <c r="B81" s="16" t="s">
        <v>248</v>
      </c>
      <c r="C81" s="16" t="s">
        <v>24</v>
      </c>
      <c r="D81" s="16" t="s">
        <v>197</v>
      </c>
      <c r="E81" s="16" t="s">
        <v>249</v>
      </c>
      <c r="F81" s="16" t="s">
        <v>45</v>
      </c>
      <c r="G81" s="16" t="s">
        <v>46</v>
      </c>
      <c r="H81" s="16" t="s">
        <v>1184</v>
      </c>
      <c r="I81" s="16" t="s">
        <v>198</v>
      </c>
      <c r="J81" s="16" t="s">
        <v>1185</v>
      </c>
      <c r="K81" s="16" t="s">
        <v>1186</v>
      </c>
      <c r="L81" s="16" t="s">
        <v>1133</v>
      </c>
      <c r="M81" s="16" t="s">
        <v>1134</v>
      </c>
      <c r="N81" s="16" t="s">
        <v>251</v>
      </c>
      <c r="O81" s="16" t="s">
        <v>959</v>
      </c>
      <c r="P81" s="16"/>
      <c r="Q81" s="16"/>
      <c r="R81" s="17" t="s">
        <v>990</v>
      </c>
    </row>
    <row r="82" spans="1:18" ht="409.6" x14ac:dyDescent="0.3">
      <c r="A82" s="12" t="s">
        <v>1187</v>
      </c>
      <c r="B82" s="13" t="s">
        <v>252</v>
      </c>
      <c r="C82" s="13" t="s">
        <v>24</v>
      </c>
      <c r="D82" s="13" t="s">
        <v>197</v>
      </c>
      <c r="E82" s="13" t="s">
        <v>253</v>
      </c>
      <c r="F82" s="13" t="s">
        <v>45</v>
      </c>
      <c r="G82" s="13" t="s">
        <v>46</v>
      </c>
      <c r="H82" s="13" t="s">
        <v>1188</v>
      </c>
      <c r="I82" s="13" t="s">
        <v>198</v>
      </c>
      <c r="J82" s="13" t="s">
        <v>1189</v>
      </c>
      <c r="K82" s="13" t="s">
        <v>1190</v>
      </c>
      <c r="L82" s="13" t="s">
        <v>1133</v>
      </c>
      <c r="M82" s="13" t="s">
        <v>1134</v>
      </c>
      <c r="N82" s="13" t="s">
        <v>255</v>
      </c>
      <c r="O82" s="13" t="s">
        <v>959</v>
      </c>
      <c r="P82" s="13"/>
      <c r="Q82" s="13"/>
      <c r="R82" s="14" t="s">
        <v>990</v>
      </c>
    </row>
    <row r="83" spans="1:18" ht="409.6" x14ac:dyDescent="0.3">
      <c r="A83" s="15" t="s">
        <v>1191</v>
      </c>
      <c r="B83" s="16" t="s">
        <v>256</v>
      </c>
      <c r="C83" s="16" t="s">
        <v>24</v>
      </c>
      <c r="D83" s="16" t="s">
        <v>197</v>
      </c>
      <c r="E83" s="16" t="s">
        <v>257</v>
      </c>
      <c r="F83" s="16" t="s">
        <v>45</v>
      </c>
      <c r="G83" s="16" t="s">
        <v>46</v>
      </c>
      <c r="H83" s="16" t="s">
        <v>1192</v>
      </c>
      <c r="I83" s="16" t="s">
        <v>198</v>
      </c>
      <c r="J83" s="16" t="s">
        <v>1193</v>
      </c>
      <c r="K83" s="16" t="s">
        <v>1194</v>
      </c>
      <c r="L83" s="16" t="s">
        <v>1133</v>
      </c>
      <c r="M83" s="16" t="s">
        <v>1134</v>
      </c>
      <c r="N83" s="16" t="s">
        <v>259</v>
      </c>
      <c r="O83" s="16" t="s">
        <v>959</v>
      </c>
      <c r="P83" s="16"/>
      <c r="Q83" s="16"/>
      <c r="R83" s="17" t="s">
        <v>990</v>
      </c>
    </row>
    <row r="84" spans="1:18" ht="409.6" x14ac:dyDescent="0.3">
      <c r="A84" s="12" t="s">
        <v>1195</v>
      </c>
      <c r="B84" s="13" t="s">
        <v>260</v>
      </c>
      <c r="C84" s="13" t="s">
        <v>24</v>
      </c>
      <c r="D84" s="13" t="s">
        <v>197</v>
      </c>
      <c r="E84" s="13" t="s">
        <v>261</v>
      </c>
      <c r="F84" s="13" t="s">
        <v>45</v>
      </c>
      <c r="G84" s="13" t="s">
        <v>46</v>
      </c>
      <c r="H84" s="13" t="s">
        <v>1196</v>
      </c>
      <c r="I84" s="13" t="s">
        <v>198</v>
      </c>
      <c r="J84" s="13" t="s">
        <v>1197</v>
      </c>
      <c r="K84" s="13" t="s">
        <v>1198</v>
      </c>
      <c r="L84" s="13" t="s">
        <v>1133</v>
      </c>
      <c r="M84" s="13" t="s">
        <v>1134</v>
      </c>
      <c r="N84" s="13" t="s">
        <v>263</v>
      </c>
      <c r="O84" s="13" t="s">
        <v>959</v>
      </c>
      <c r="P84" s="13"/>
      <c r="Q84" s="13"/>
      <c r="R84" s="14" t="s">
        <v>990</v>
      </c>
    </row>
    <row r="85" spans="1:18" ht="409.6" x14ac:dyDescent="0.3">
      <c r="A85" s="15" t="s">
        <v>1199</v>
      </c>
      <c r="B85" s="16" t="s">
        <v>264</v>
      </c>
      <c r="C85" s="16" t="s">
        <v>24</v>
      </c>
      <c r="D85" s="16" t="s">
        <v>197</v>
      </c>
      <c r="E85" s="16" t="s">
        <v>265</v>
      </c>
      <c r="F85" s="16" t="s">
        <v>45</v>
      </c>
      <c r="G85" s="16" t="s">
        <v>46</v>
      </c>
      <c r="H85" s="16" t="s">
        <v>1200</v>
      </c>
      <c r="I85" s="16" t="s">
        <v>198</v>
      </c>
      <c r="J85" s="16" t="s">
        <v>1201</v>
      </c>
      <c r="K85" s="16" t="s">
        <v>1202</v>
      </c>
      <c r="L85" s="16" t="s">
        <v>1133</v>
      </c>
      <c r="M85" s="16" t="s">
        <v>1134</v>
      </c>
      <c r="N85" s="16" t="s">
        <v>267</v>
      </c>
      <c r="O85" s="16" t="s">
        <v>959</v>
      </c>
      <c r="P85" s="16"/>
      <c r="Q85" s="16"/>
      <c r="R85" s="17" t="s">
        <v>990</v>
      </c>
    </row>
    <row r="86" spans="1:18" ht="409.6" x14ac:dyDescent="0.3">
      <c r="A86" s="12" t="s">
        <v>1203</v>
      </c>
      <c r="B86" s="13" t="s">
        <v>268</v>
      </c>
      <c r="C86" s="13" t="s">
        <v>24</v>
      </c>
      <c r="D86" s="13" t="s">
        <v>197</v>
      </c>
      <c r="E86" s="13" t="s">
        <v>269</v>
      </c>
      <c r="F86" s="13" t="s">
        <v>45</v>
      </c>
      <c r="G86" s="13" t="s">
        <v>46</v>
      </c>
      <c r="H86" s="13" t="s">
        <v>1204</v>
      </c>
      <c r="I86" s="13" t="s">
        <v>198</v>
      </c>
      <c r="J86" s="13" t="s">
        <v>1205</v>
      </c>
      <c r="K86" s="13" t="s">
        <v>1206</v>
      </c>
      <c r="L86" s="13" t="s">
        <v>1133</v>
      </c>
      <c r="M86" s="13" t="s">
        <v>1134</v>
      </c>
      <c r="N86" s="13" t="s">
        <v>271</v>
      </c>
      <c r="O86" s="13" t="s">
        <v>959</v>
      </c>
      <c r="P86" s="13"/>
      <c r="Q86" s="13"/>
      <c r="R86" s="14" t="s">
        <v>990</v>
      </c>
    </row>
    <row r="87" spans="1:18" ht="409.6" x14ac:dyDescent="0.3">
      <c r="A87" s="15" t="s">
        <v>1207</v>
      </c>
      <c r="B87" s="16" t="s">
        <v>272</v>
      </c>
      <c r="C87" s="16" t="s">
        <v>24</v>
      </c>
      <c r="D87" s="16" t="s">
        <v>197</v>
      </c>
      <c r="E87" s="16" t="s">
        <v>273</v>
      </c>
      <c r="F87" s="16" t="s">
        <v>45</v>
      </c>
      <c r="G87" s="16" t="s">
        <v>46</v>
      </c>
      <c r="H87" s="16" t="s">
        <v>1208</v>
      </c>
      <c r="I87" s="16" t="s">
        <v>198</v>
      </c>
      <c r="J87" s="16" t="s">
        <v>1209</v>
      </c>
      <c r="K87" s="16" t="s">
        <v>1210</v>
      </c>
      <c r="L87" s="16" t="s">
        <v>1133</v>
      </c>
      <c r="M87" s="16" t="s">
        <v>1134</v>
      </c>
      <c r="N87" s="16" t="s">
        <v>275</v>
      </c>
      <c r="O87" s="16" t="s">
        <v>959</v>
      </c>
      <c r="P87" s="16"/>
      <c r="Q87" s="16"/>
      <c r="R87" s="17" t="s">
        <v>990</v>
      </c>
    </row>
    <row r="88" spans="1:18" ht="409.6" x14ac:dyDescent="0.3">
      <c r="A88" s="12" t="s">
        <v>1211</v>
      </c>
      <c r="B88" s="13" t="s">
        <v>276</v>
      </c>
      <c r="C88" s="13" t="s">
        <v>24</v>
      </c>
      <c r="D88" s="13" t="s">
        <v>197</v>
      </c>
      <c r="E88" s="13" t="s">
        <v>277</v>
      </c>
      <c r="F88" s="13" t="s">
        <v>45</v>
      </c>
      <c r="G88" s="13" t="s">
        <v>46</v>
      </c>
      <c r="H88" s="13" t="s">
        <v>1212</v>
      </c>
      <c r="I88" s="13" t="s">
        <v>198</v>
      </c>
      <c r="J88" s="13" t="s">
        <v>1213</v>
      </c>
      <c r="K88" s="13" t="s">
        <v>1214</v>
      </c>
      <c r="L88" s="13" t="s">
        <v>1133</v>
      </c>
      <c r="M88" s="13" t="s">
        <v>1134</v>
      </c>
      <c r="N88" s="13" t="s">
        <v>279</v>
      </c>
      <c r="O88" s="13" t="s">
        <v>959</v>
      </c>
      <c r="P88" s="13"/>
      <c r="Q88" s="13"/>
      <c r="R88" s="14" t="s">
        <v>990</v>
      </c>
    </row>
    <row r="89" spans="1:18" ht="409.6" x14ac:dyDescent="0.3">
      <c r="A89" s="15" t="s">
        <v>1215</v>
      </c>
      <c r="B89" s="16" t="s">
        <v>280</v>
      </c>
      <c r="C89" s="16" t="s">
        <v>24</v>
      </c>
      <c r="D89" s="16" t="s">
        <v>197</v>
      </c>
      <c r="E89" s="16" t="s">
        <v>281</v>
      </c>
      <c r="F89" s="16" t="s">
        <v>45</v>
      </c>
      <c r="G89" s="16" t="s">
        <v>46</v>
      </c>
      <c r="H89" s="16" t="s">
        <v>1216</v>
      </c>
      <c r="I89" s="16" t="s">
        <v>198</v>
      </c>
      <c r="J89" s="16" t="s">
        <v>1217</v>
      </c>
      <c r="K89" s="16" t="s">
        <v>1218</v>
      </c>
      <c r="L89" s="16" t="s">
        <v>1133</v>
      </c>
      <c r="M89" s="16" t="s">
        <v>1134</v>
      </c>
      <c r="N89" s="16" t="s">
        <v>283</v>
      </c>
      <c r="O89" s="16" t="s">
        <v>959</v>
      </c>
      <c r="P89" s="16"/>
      <c r="Q89" s="16"/>
      <c r="R89" s="17" t="s">
        <v>990</v>
      </c>
    </row>
    <row r="90" spans="1:18" ht="409.6" x14ac:dyDescent="0.3">
      <c r="A90" s="12" t="s">
        <v>1219</v>
      </c>
      <c r="B90" s="13" t="s">
        <v>284</v>
      </c>
      <c r="C90" s="13" t="s">
        <v>24</v>
      </c>
      <c r="D90" s="13" t="s">
        <v>197</v>
      </c>
      <c r="E90" s="13" t="s">
        <v>285</v>
      </c>
      <c r="F90" s="13" t="s">
        <v>45</v>
      </c>
      <c r="G90" s="13" t="s">
        <v>46</v>
      </c>
      <c r="H90" s="13" t="s">
        <v>1220</v>
      </c>
      <c r="I90" s="13" t="s">
        <v>198</v>
      </c>
      <c r="J90" s="13" t="s">
        <v>1221</v>
      </c>
      <c r="K90" s="13" t="s">
        <v>1222</v>
      </c>
      <c r="L90" s="13" t="s">
        <v>1133</v>
      </c>
      <c r="M90" s="13" t="s">
        <v>1134</v>
      </c>
      <c r="N90" s="13" t="s">
        <v>287</v>
      </c>
      <c r="O90" s="13" t="s">
        <v>959</v>
      </c>
      <c r="P90" s="13"/>
      <c r="Q90" s="13"/>
      <c r="R90" s="14" t="s">
        <v>990</v>
      </c>
    </row>
    <row r="91" spans="1:18" ht="409.6" x14ac:dyDescent="0.3">
      <c r="A91" s="15" t="s">
        <v>1223</v>
      </c>
      <c r="B91" s="16" t="s">
        <v>288</v>
      </c>
      <c r="C91" s="16" t="s">
        <v>24</v>
      </c>
      <c r="D91" s="16" t="s">
        <v>197</v>
      </c>
      <c r="E91" s="16" t="s">
        <v>289</v>
      </c>
      <c r="F91" s="16" t="s">
        <v>45</v>
      </c>
      <c r="G91" s="16" t="s">
        <v>46</v>
      </c>
      <c r="H91" s="16" t="s">
        <v>1224</v>
      </c>
      <c r="I91" s="16" t="s">
        <v>198</v>
      </c>
      <c r="J91" s="16" t="s">
        <v>1225</v>
      </c>
      <c r="K91" s="16" t="s">
        <v>1226</v>
      </c>
      <c r="L91" s="16" t="s">
        <v>1133</v>
      </c>
      <c r="M91" s="16" t="s">
        <v>1134</v>
      </c>
      <c r="N91" s="16" t="s">
        <v>291</v>
      </c>
      <c r="O91" s="16" t="s">
        <v>959</v>
      </c>
      <c r="P91" s="16"/>
      <c r="Q91" s="16"/>
      <c r="R91" s="17" t="s">
        <v>990</v>
      </c>
    </row>
    <row r="92" spans="1:18" ht="409.6" x14ac:dyDescent="0.3">
      <c r="A92" s="12" t="s">
        <v>1227</v>
      </c>
      <c r="B92" s="13" t="s">
        <v>292</v>
      </c>
      <c r="C92" s="13" t="s">
        <v>24</v>
      </c>
      <c r="D92" s="13" t="s">
        <v>197</v>
      </c>
      <c r="E92" s="13" t="s">
        <v>293</v>
      </c>
      <c r="F92" s="13" t="s">
        <v>45</v>
      </c>
      <c r="G92" s="13" t="s">
        <v>46</v>
      </c>
      <c r="H92" s="13" t="s">
        <v>1228</v>
      </c>
      <c r="I92" s="13" t="s">
        <v>198</v>
      </c>
      <c r="J92" s="13" t="s">
        <v>1229</v>
      </c>
      <c r="K92" s="13" t="s">
        <v>1230</v>
      </c>
      <c r="L92" s="13" t="s">
        <v>1133</v>
      </c>
      <c r="M92" s="13" t="s">
        <v>1134</v>
      </c>
      <c r="N92" s="13" t="s">
        <v>295</v>
      </c>
      <c r="O92" s="13" t="s">
        <v>959</v>
      </c>
      <c r="P92" s="13"/>
      <c r="Q92" s="13"/>
      <c r="R92" s="14" t="s">
        <v>990</v>
      </c>
    </row>
    <row r="93" spans="1:18" ht="409.6" x14ac:dyDescent="0.3">
      <c r="A93" s="15" t="s">
        <v>1231</v>
      </c>
      <c r="B93" s="16" t="s">
        <v>296</v>
      </c>
      <c r="C93" s="16" t="s">
        <v>24</v>
      </c>
      <c r="D93" s="16" t="s">
        <v>197</v>
      </c>
      <c r="E93" s="16" t="s">
        <v>297</v>
      </c>
      <c r="F93" s="16" t="s">
        <v>45</v>
      </c>
      <c r="G93" s="16" t="s">
        <v>53</v>
      </c>
      <c r="H93" s="16" t="s">
        <v>1232</v>
      </c>
      <c r="I93" s="16" t="s">
        <v>198</v>
      </c>
      <c r="J93" s="16" t="s">
        <v>1233</v>
      </c>
      <c r="K93" s="16" t="s">
        <v>1234</v>
      </c>
      <c r="L93" s="16" t="s">
        <v>1133</v>
      </c>
      <c r="M93" s="16" t="s">
        <v>1134</v>
      </c>
      <c r="N93" s="16" t="s">
        <v>299</v>
      </c>
      <c r="O93" s="16" t="s">
        <v>959</v>
      </c>
      <c r="P93" s="16"/>
      <c r="Q93" s="16"/>
      <c r="R93" s="17" t="s">
        <v>990</v>
      </c>
    </row>
    <row r="94" spans="1:18" ht="409.6" x14ac:dyDescent="0.3">
      <c r="A94" s="12" t="s">
        <v>1235</v>
      </c>
      <c r="B94" s="13" t="s">
        <v>300</v>
      </c>
      <c r="C94" s="13" t="s">
        <v>24</v>
      </c>
      <c r="D94" s="13" t="s">
        <v>197</v>
      </c>
      <c r="E94" s="13" t="s">
        <v>301</v>
      </c>
      <c r="F94" s="13" t="s">
        <v>45</v>
      </c>
      <c r="G94" s="13" t="s">
        <v>46</v>
      </c>
      <c r="H94" s="13" t="s">
        <v>1236</v>
      </c>
      <c r="I94" s="13" t="s">
        <v>198</v>
      </c>
      <c r="J94" s="13" t="s">
        <v>1237</v>
      </c>
      <c r="K94" s="13" t="s">
        <v>1238</v>
      </c>
      <c r="L94" s="13" t="s">
        <v>1133</v>
      </c>
      <c r="M94" s="13" t="s">
        <v>1134</v>
      </c>
      <c r="N94" s="13" t="s">
        <v>303</v>
      </c>
      <c r="O94" s="13" t="s">
        <v>959</v>
      </c>
      <c r="P94" s="13"/>
      <c r="Q94" s="13"/>
      <c r="R94" s="14" t="s">
        <v>990</v>
      </c>
    </row>
    <row r="95" spans="1:18" ht="409.6" x14ac:dyDescent="0.3">
      <c r="A95" s="15" t="s">
        <v>1239</v>
      </c>
      <c r="B95" s="16" t="s">
        <v>304</v>
      </c>
      <c r="C95" s="16" t="s">
        <v>24</v>
      </c>
      <c r="D95" s="16" t="s">
        <v>197</v>
      </c>
      <c r="E95" s="16" t="s">
        <v>305</v>
      </c>
      <c r="F95" s="16" t="s">
        <v>45</v>
      </c>
      <c r="G95" s="16" t="s">
        <v>46</v>
      </c>
      <c r="H95" s="16" t="s">
        <v>1240</v>
      </c>
      <c r="I95" s="16" t="s">
        <v>198</v>
      </c>
      <c r="J95" s="16" t="s">
        <v>1241</v>
      </c>
      <c r="K95" s="16" t="s">
        <v>1242</v>
      </c>
      <c r="L95" s="16" t="s">
        <v>1133</v>
      </c>
      <c r="M95" s="16" t="s">
        <v>1134</v>
      </c>
      <c r="N95" s="16" t="s">
        <v>307</v>
      </c>
      <c r="O95" s="16" t="s">
        <v>959</v>
      </c>
      <c r="P95" s="16"/>
      <c r="Q95" s="16"/>
      <c r="R95" s="17" t="s">
        <v>990</v>
      </c>
    </row>
    <row r="96" spans="1:18" ht="409.6" x14ac:dyDescent="0.3">
      <c r="A96" s="12" t="s">
        <v>1243</v>
      </c>
      <c r="B96" s="13" t="s">
        <v>308</v>
      </c>
      <c r="C96" s="13" t="s">
        <v>24</v>
      </c>
      <c r="D96" s="13" t="s">
        <v>197</v>
      </c>
      <c r="E96" s="13" t="s">
        <v>309</v>
      </c>
      <c r="F96" s="13" t="s">
        <v>45</v>
      </c>
      <c r="G96" s="13" t="s">
        <v>46</v>
      </c>
      <c r="H96" s="13" t="s">
        <v>1244</v>
      </c>
      <c r="I96" s="13" t="s">
        <v>198</v>
      </c>
      <c r="J96" s="13" t="s">
        <v>1245</v>
      </c>
      <c r="K96" s="13" t="s">
        <v>1246</v>
      </c>
      <c r="L96" s="13" t="s">
        <v>1133</v>
      </c>
      <c r="M96" s="13" t="s">
        <v>1134</v>
      </c>
      <c r="N96" s="13" t="s">
        <v>311</v>
      </c>
      <c r="O96" s="13" t="s">
        <v>959</v>
      </c>
      <c r="P96" s="13"/>
      <c r="Q96" s="13"/>
      <c r="R96" s="14" t="s">
        <v>990</v>
      </c>
    </row>
    <row r="97" spans="1:18" ht="409.6" x14ac:dyDescent="0.3">
      <c r="A97" s="15" t="s">
        <v>1247</v>
      </c>
      <c r="B97" s="16" t="s">
        <v>312</v>
      </c>
      <c r="C97" s="16" t="s">
        <v>24</v>
      </c>
      <c r="D97" s="16" t="s">
        <v>197</v>
      </c>
      <c r="E97" s="16" t="s">
        <v>313</v>
      </c>
      <c r="F97" s="16" t="s">
        <v>45</v>
      </c>
      <c r="G97" s="16" t="s">
        <v>46</v>
      </c>
      <c r="H97" s="16" t="s">
        <v>1248</v>
      </c>
      <c r="I97" s="16" t="s">
        <v>198</v>
      </c>
      <c r="J97" s="16" t="s">
        <v>1249</v>
      </c>
      <c r="K97" s="16" t="s">
        <v>1250</v>
      </c>
      <c r="L97" s="16" t="s">
        <v>1133</v>
      </c>
      <c r="M97" s="16" t="s">
        <v>1134</v>
      </c>
      <c r="N97" s="16" t="s">
        <v>315</v>
      </c>
      <c r="O97" s="16" t="s">
        <v>959</v>
      </c>
      <c r="P97" s="16"/>
      <c r="Q97" s="16"/>
      <c r="R97" s="17" t="s">
        <v>990</v>
      </c>
    </row>
    <row r="98" spans="1:18" ht="409.6" x14ac:dyDescent="0.3">
      <c r="A98" s="12" t="s">
        <v>1251</v>
      </c>
      <c r="B98" s="13" t="s">
        <v>316</v>
      </c>
      <c r="C98" s="13" t="s">
        <v>24</v>
      </c>
      <c r="D98" s="13" t="s">
        <v>197</v>
      </c>
      <c r="E98" s="13" t="s">
        <v>317</v>
      </c>
      <c r="F98" s="13" t="s">
        <v>45</v>
      </c>
      <c r="G98" s="13" t="s">
        <v>46</v>
      </c>
      <c r="H98" s="13" t="s">
        <v>1252</v>
      </c>
      <c r="I98" s="13" t="s">
        <v>198</v>
      </c>
      <c r="J98" s="13" t="s">
        <v>1253</v>
      </c>
      <c r="K98" s="13" t="s">
        <v>1254</v>
      </c>
      <c r="L98" s="13" t="s">
        <v>1133</v>
      </c>
      <c r="M98" s="13" t="s">
        <v>1134</v>
      </c>
      <c r="N98" s="13" t="s">
        <v>319</v>
      </c>
      <c r="O98" s="13" t="s">
        <v>959</v>
      </c>
      <c r="P98" s="13"/>
      <c r="Q98" s="13"/>
      <c r="R98" s="14" t="s">
        <v>990</v>
      </c>
    </row>
    <row r="99" spans="1:18" ht="409.6" x14ac:dyDescent="0.3">
      <c r="A99" s="15" t="s">
        <v>1255</v>
      </c>
      <c r="B99" s="16" t="s">
        <v>320</v>
      </c>
      <c r="C99" s="16" t="s">
        <v>24</v>
      </c>
      <c r="D99" s="16" t="s">
        <v>197</v>
      </c>
      <c r="E99" s="16" t="s">
        <v>321</v>
      </c>
      <c r="F99" s="16" t="s">
        <v>45</v>
      </c>
      <c r="G99" s="16" t="s">
        <v>46</v>
      </c>
      <c r="H99" s="16" t="s">
        <v>1256</v>
      </c>
      <c r="I99" s="16" t="s">
        <v>198</v>
      </c>
      <c r="J99" s="16" t="s">
        <v>1257</v>
      </c>
      <c r="K99" s="16" t="s">
        <v>1258</v>
      </c>
      <c r="L99" s="16" t="s">
        <v>1133</v>
      </c>
      <c r="M99" s="16" t="s">
        <v>1134</v>
      </c>
      <c r="N99" s="16" t="s">
        <v>323</v>
      </c>
      <c r="O99" s="16" t="s">
        <v>959</v>
      </c>
      <c r="P99" s="16"/>
      <c r="Q99" s="16"/>
      <c r="R99" s="17" t="s">
        <v>990</v>
      </c>
    </row>
    <row r="100" spans="1:18" ht="409.6" x14ac:dyDescent="0.3">
      <c r="A100" s="12" t="s">
        <v>1259</v>
      </c>
      <c r="B100" s="13" t="s">
        <v>324</v>
      </c>
      <c r="C100" s="13" t="s">
        <v>24</v>
      </c>
      <c r="D100" s="13" t="s">
        <v>197</v>
      </c>
      <c r="E100" s="13" t="s">
        <v>325</v>
      </c>
      <c r="F100" s="13" t="s">
        <v>45</v>
      </c>
      <c r="G100" s="13" t="s">
        <v>53</v>
      </c>
      <c r="H100" s="13" t="s">
        <v>1260</v>
      </c>
      <c r="I100" s="13" t="s">
        <v>198</v>
      </c>
      <c r="J100" s="13" t="s">
        <v>1261</v>
      </c>
      <c r="K100" s="13" t="s">
        <v>1262</v>
      </c>
      <c r="L100" s="13" t="s">
        <v>1133</v>
      </c>
      <c r="M100" s="13" t="s">
        <v>1134</v>
      </c>
      <c r="N100" s="13" t="s">
        <v>327</v>
      </c>
      <c r="O100" s="13" t="s">
        <v>959</v>
      </c>
      <c r="P100" s="13"/>
      <c r="Q100" s="13"/>
      <c r="R100" s="14" t="s">
        <v>990</v>
      </c>
    </row>
    <row r="101" spans="1:18" ht="409.6" x14ac:dyDescent="0.3">
      <c r="A101" s="15" t="s">
        <v>1263</v>
      </c>
      <c r="B101" s="16" t="s">
        <v>328</v>
      </c>
      <c r="C101" s="16" t="s">
        <v>24</v>
      </c>
      <c r="D101" s="16" t="s">
        <v>197</v>
      </c>
      <c r="E101" s="16" t="s">
        <v>329</v>
      </c>
      <c r="F101" s="16" t="s">
        <v>45</v>
      </c>
      <c r="G101" s="16" t="s">
        <v>53</v>
      </c>
      <c r="H101" s="16" t="s">
        <v>1264</v>
      </c>
      <c r="I101" s="16" t="s">
        <v>198</v>
      </c>
      <c r="J101" s="16" t="s">
        <v>1265</v>
      </c>
      <c r="K101" s="16" t="s">
        <v>1266</v>
      </c>
      <c r="L101" s="16" t="s">
        <v>1133</v>
      </c>
      <c r="M101" s="16" t="s">
        <v>1134</v>
      </c>
      <c r="N101" s="16" t="s">
        <v>331</v>
      </c>
      <c r="O101" s="16" t="s">
        <v>959</v>
      </c>
      <c r="P101" s="16"/>
      <c r="Q101" s="16"/>
      <c r="R101" s="17" t="s">
        <v>990</v>
      </c>
    </row>
    <row r="102" spans="1:18" ht="409.6" x14ac:dyDescent="0.3">
      <c r="A102" s="12" t="s">
        <v>1267</v>
      </c>
      <c r="B102" s="13" t="s">
        <v>332</v>
      </c>
      <c r="C102" s="13" t="s">
        <v>24</v>
      </c>
      <c r="D102" s="13" t="s">
        <v>197</v>
      </c>
      <c r="E102" s="13" t="s">
        <v>333</v>
      </c>
      <c r="F102" s="13" t="s">
        <v>45</v>
      </c>
      <c r="G102" s="13" t="s">
        <v>53</v>
      </c>
      <c r="H102" s="13" t="s">
        <v>1268</v>
      </c>
      <c r="I102" s="13" t="s">
        <v>198</v>
      </c>
      <c r="J102" s="13" t="s">
        <v>1269</v>
      </c>
      <c r="K102" s="13" t="s">
        <v>1270</v>
      </c>
      <c r="L102" s="13" t="s">
        <v>1133</v>
      </c>
      <c r="M102" s="13" t="s">
        <v>1134</v>
      </c>
      <c r="N102" s="13" t="s">
        <v>335</v>
      </c>
      <c r="O102" s="13" t="s">
        <v>959</v>
      </c>
      <c r="P102" s="13"/>
      <c r="Q102" s="13"/>
      <c r="R102" s="14" t="s">
        <v>990</v>
      </c>
    </row>
    <row r="103" spans="1:18" ht="409.6" x14ac:dyDescent="0.3">
      <c r="A103" s="15" t="s">
        <v>1271</v>
      </c>
      <c r="B103" s="16" t="s">
        <v>336</v>
      </c>
      <c r="C103" s="16" t="s">
        <v>24</v>
      </c>
      <c r="D103" s="16" t="s">
        <v>197</v>
      </c>
      <c r="E103" s="16" t="s">
        <v>337</v>
      </c>
      <c r="F103" s="16" t="s">
        <v>339</v>
      </c>
      <c r="G103" s="16" t="s">
        <v>53</v>
      </c>
      <c r="H103" s="16" t="s">
        <v>1272</v>
      </c>
      <c r="I103" s="16" t="s">
        <v>198</v>
      </c>
      <c r="J103" s="16" t="s">
        <v>1273</v>
      </c>
      <c r="K103" s="16" t="s">
        <v>1274</v>
      </c>
      <c r="L103" s="16" t="s">
        <v>1133</v>
      </c>
      <c r="M103" s="16" t="s">
        <v>1134</v>
      </c>
      <c r="N103" s="16" t="s">
        <v>340</v>
      </c>
      <c r="O103" s="16" t="s">
        <v>959</v>
      </c>
      <c r="P103" s="16"/>
      <c r="Q103" s="16"/>
      <c r="R103" s="17" t="s">
        <v>990</v>
      </c>
    </row>
    <row r="104" spans="1:18" ht="409.6" x14ac:dyDescent="0.3">
      <c r="A104" s="12" t="s">
        <v>1275</v>
      </c>
      <c r="B104" s="13" t="s">
        <v>341</v>
      </c>
      <c r="C104" s="13" t="s">
        <v>24</v>
      </c>
      <c r="D104" s="13" t="s">
        <v>197</v>
      </c>
      <c r="E104" s="13" t="s">
        <v>342</v>
      </c>
      <c r="F104" s="13" t="s">
        <v>45</v>
      </c>
      <c r="G104" s="13" t="s">
        <v>53</v>
      </c>
      <c r="H104" s="13" t="s">
        <v>1276</v>
      </c>
      <c r="I104" s="13" t="s">
        <v>198</v>
      </c>
      <c r="J104" s="13" t="s">
        <v>1277</v>
      </c>
      <c r="K104" s="13" t="s">
        <v>1278</v>
      </c>
      <c r="L104" s="13" t="s">
        <v>1133</v>
      </c>
      <c r="M104" s="13" t="s">
        <v>1134</v>
      </c>
      <c r="N104" s="13" t="s">
        <v>344</v>
      </c>
      <c r="O104" s="13" t="s">
        <v>959</v>
      </c>
      <c r="P104" s="13"/>
      <c r="Q104" s="13"/>
      <c r="R104" s="14" t="s">
        <v>990</v>
      </c>
    </row>
    <row r="105" spans="1:18" ht="409.6" x14ac:dyDescent="0.3">
      <c r="A105" s="15" t="s">
        <v>1279</v>
      </c>
      <c r="B105" s="16" t="s">
        <v>345</v>
      </c>
      <c r="C105" s="16" t="s">
        <v>24</v>
      </c>
      <c r="D105" s="16" t="s">
        <v>197</v>
      </c>
      <c r="E105" s="16" t="s">
        <v>346</v>
      </c>
      <c r="F105" s="16" t="s">
        <v>45</v>
      </c>
      <c r="G105" s="16" t="s">
        <v>53</v>
      </c>
      <c r="H105" s="16" t="s">
        <v>1280</v>
      </c>
      <c r="I105" s="16" t="s">
        <v>198</v>
      </c>
      <c r="J105" s="16" t="s">
        <v>1281</v>
      </c>
      <c r="K105" s="16" t="s">
        <v>1282</v>
      </c>
      <c r="L105" s="16" t="s">
        <v>1133</v>
      </c>
      <c r="M105" s="16" t="s">
        <v>1134</v>
      </c>
      <c r="N105" s="16" t="s">
        <v>348</v>
      </c>
      <c r="O105" s="16" t="s">
        <v>959</v>
      </c>
      <c r="P105" s="16"/>
      <c r="Q105" s="16"/>
      <c r="R105" s="17" t="s">
        <v>990</v>
      </c>
    </row>
    <row r="106" spans="1:18" ht="409.6" x14ac:dyDescent="0.3">
      <c r="A106" s="12" t="s">
        <v>1283</v>
      </c>
      <c r="B106" s="13" t="s">
        <v>349</v>
      </c>
      <c r="C106" s="13" t="s">
        <v>24</v>
      </c>
      <c r="D106" s="13" t="s">
        <v>197</v>
      </c>
      <c r="E106" s="13" t="s">
        <v>350</v>
      </c>
      <c r="F106" s="13" t="s">
        <v>45</v>
      </c>
      <c r="G106" s="13" t="s">
        <v>46</v>
      </c>
      <c r="H106" s="13" t="s">
        <v>1284</v>
      </c>
      <c r="I106" s="13" t="s">
        <v>198</v>
      </c>
      <c r="J106" s="13" t="s">
        <v>1285</v>
      </c>
      <c r="K106" s="13" t="s">
        <v>1286</v>
      </c>
      <c r="L106" s="13" t="s">
        <v>1133</v>
      </c>
      <c r="M106" s="13" t="s">
        <v>1134</v>
      </c>
      <c r="N106" s="13" t="s">
        <v>352</v>
      </c>
      <c r="O106" s="13" t="s">
        <v>959</v>
      </c>
      <c r="P106" s="13"/>
      <c r="Q106" s="13"/>
      <c r="R106" s="14" t="s">
        <v>990</v>
      </c>
    </row>
    <row r="107" spans="1:18" ht="409.6" x14ac:dyDescent="0.3">
      <c r="A107" s="15" t="s">
        <v>1287</v>
      </c>
      <c r="B107" s="16" t="s">
        <v>353</v>
      </c>
      <c r="C107" s="16" t="s">
        <v>24</v>
      </c>
      <c r="D107" s="16" t="s">
        <v>197</v>
      </c>
      <c r="E107" s="16" t="s">
        <v>354</v>
      </c>
      <c r="F107" s="16" t="s">
        <v>45</v>
      </c>
      <c r="G107" s="16" t="s">
        <v>46</v>
      </c>
      <c r="H107" s="16" t="s">
        <v>1288</v>
      </c>
      <c r="I107" s="16" t="s">
        <v>198</v>
      </c>
      <c r="J107" s="16" t="s">
        <v>1289</v>
      </c>
      <c r="K107" s="16" t="s">
        <v>1290</v>
      </c>
      <c r="L107" s="16" t="s">
        <v>1133</v>
      </c>
      <c r="M107" s="16" t="s">
        <v>1134</v>
      </c>
      <c r="N107" s="16" t="s">
        <v>356</v>
      </c>
      <c r="O107" s="16" t="s">
        <v>959</v>
      </c>
      <c r="P107" s="16"/>
      <c r="Q107" s="16"/>
      <c r="R107" s="17" t="s">
        <v>990</v>
      </c>
    </row>
    <row r="108" spans="1:18" ht="409.6" x14ac:dyDescent="0.3">
      <c r="A108" s="12" t="s">
        <v>1291</v>
      </c>
      <c r="B108" s="13" t="s">
        <v>357</v>
      </c>
      <c r="C108" s="13" t="s">
        <v>24</v>
      </c>
      <c r="D108" s="13" t="s">
        <v>197</v>
      </c>
      <c r="E108" s="13" t="s">
        <v>358</v>
      </c>
      <c r="F108" s="13" t="s">
        <v>45</v>
      </c>
      <c r="G108" s="13" t="s">
        <v>46</v>
      </c>
      <c r="H108" s="13" t="s">
        <v>1292</v>
      </c>
      <c r="I108" s="13" t="s">
        <v>198</v>
      </c>
      <c r="J108" s="13" t="s">
        <v>1293</v>
      </c>
      <c r="K108" s="13" t="s">
        <v>1294</v>
      </c>
      <c r="L108" s="13" t="s">
        <v>1133</v>
      </c>
      <c r="M108" s="13" t="s">
        <v>1134</v>
      </c>
      <c r="N108" s="13" t="s">
        <v>360</v>
      </c>
      <c r="O108" s="13" t="s">
        <v>959</v>
      </c>
      <c r="P108" s="13"/>
      <c r="Q108" s="13"/>
      <c r="R108" s="14" t="s">
        <v>990</v>
      </c>
    </row>
    <row r="109" spans="1:18" ht="409.6" x14ac:dyDescent="0.3">
      <c r="A109" s="15" t="s">
        <v>1295</v>
      </c>
      <c r="B109" s="16" t="s">
        <v>361</v>
      </c>
      <c r="C109" s="16" t="s">
        <v>24</v>
      </c>
      <c r="D109" s="16" t="s">
        <v>197</v>
      </c>
      <c r="E109" s="16" t="s">
        <v>362</v>
      </c>
      <c r="F109" s="16" t="s">
        <v>45</v>
      </c>
      <c r="G109" s="16" t="s">
        <v>46</v>
      </c>
      <c r="H109" s="16" t="s">
        <v>1296</v>
      </c>
      <c r="I109" s="16" t="s">
        <v>198</v>
      </c>
      <c r="J109" s="16" t="s">
        <v>1297</v>
      </c>
      <c r="K109" s="16" t="s">
        <v>1298</v>
      </c>
      <c r="L109" s="16" t="s">
        <v>1133</v>
      </c>
      <c r="M109" s="16" t="s">
        <v>1134</v>
      </c>
      <c r="N109" s="16" t="s">
        <v>364</v>
      </c>
      <c r="O109" s="16" t="s">
        <v>959</v>
      </c>
      <c r="P109" s="16"/>
      <c r="Q109" s="16"/>
      <c r="R109" s="17" t="s">
        <v>990</v>
      </c>
    </row>
    <row r="110" spans="1:18" ht="409.6" x14ac:dyDescent="0.3">
      <c r="A110" s="12" t="s">
        <v>1299</v>
      </c>
      <c r="B110" s="13" t="s">
        <v>365</v>
      </c>
      <c r="C110" s="13" t="s">
        <v>24</v>
      </c>
      <c r="D110" s="13" t="s">
        <v>197</v>
      </c>
      <c r="E110" s="13" t="s">
        <v>366</v>
      </c>
      <c r="F110" s="13" t="s">
        <v>45</v>
      </c>
      <c r="G110" s="13" t="s">
        <v>53</v>
      </c>
      <c r="H110" s="13" t="s">
        <v>1300</v>
      </c>
      <c r="I110" s="13" t="s">
        <v>198</v>
      </c>
      <c r="J110" s="13" t="s">
        <v>1301</v>
      </c>
      <c r="K110" s="13" t="s">
        <v>1302</v>
      </c>
      <c r="L110" s="13" t="s">
        <v>1133</v>
      </c>
      <c r="M110" s="13" t="s">
        <v>1134</v>
      </c>
      <c r="N110" s="13" t="s">
        <v>368</v>
      </c>
      <c r="O110" s="13" t="s">
        <v>959</v>
      </c>
      <c r="P110" s="13"/>
      <c r="Q110" s="13"/>
      <c r="R110" s="14" t="s">
        <v>990</v>
      </c>
    </row>
    <row r="111" spans="1:18" ht="303.60000000000002" x14ac:dyDescent="0.3">
      <c r="A111" s="15" t="s">
        <v>1303</v>
      </c>
      <c r="B111" s="16" t="s">
        <v>369</v>
      </c>
      <c r="C111" s="16" t="s">
        <v>24</v>
      </c>
      <c r="D111" s="16" t="s">
        <v>197</v>
      </c>
      <c r="E111" s="16" t="s">
        <v>1304</v>
      </c>
      <c r="F111" s="16" t="s">
        <v>953</v>
      </c>
      <c r="G111" s="16" t="s">
        <v>53</v>
      </c>
      <c r="H111" s="16" t="s">
        <v>1305</v>
      </c>
      <c r="I111" s="16" t="s">
        <v>198</v>
      </c>
      <c r="J111" s="16" t="s">
        <v>1000</v>
      </c>
      <c r="K111" s="16" t="s">
        <v>1001</v>
      </c>
      <c r="L111" s="16" t="s">
        <v>1133</v>
      </c>
      <c r="M111" s="16" t="s">
        <v>1134</v>
      </c>
      <c r="N111" s="16" t="s">
        <v>201</v>
      </c>
      <c r="O111" s="16" t="s">
        <v>959</v>
      </c>
      <c r="P111" s="16"/>
      <c r="Q111" s="16"/>
      <c r="R111" s="17"/>
    </row>
    <row r="112" spans="1:18" ht="409.6" x14ac:dyDescent="0.3">
      <c r="A112" s="12" t="s">
        <v>1306</v>
      </c>
      <c r="B112" s="13" t="s">
        <v>369</v>
      </c>
      <c r="C112" s="13" t="s">
        <v>24</v>
      </c>
      <c r="D112" s="13" t="s">
        <v>197</v>
      </c>
      <c r="E112" s="13" t="s">
        <v>1307</v>
      </c>
      <c r="F112" s="13" t="s">
        <v>339</v>
      </c>
      <c r="G112" s="13" t="s">
        <v>53</v>
      </c>
      <c r="H112" s="13" t="s">
        <v>1308</v>
      </c>
      <c r="I112" s="13" t="s">
        <v>198</v>
      </c>
      <c r="J112" s="13" t="s">
        <v>1005</v>
      </c>
      <c r="K112" s="13" t="s">
        <v>1006</v>
      </c>
      <c r="L112" s="13" t="s">
        <v>1133</v>
      </c>
      <c r="M112" s="13" t="s">
        <v>1134</v>
      </c>
      <c r="N112" s="13" t="s">
        <v>201</v>
      </c>
      <c r="O112" s="13" t="s">
        <v>959</v>
      </c>
      <c r="P112" s="13"/>
      <c r="Q112" s="13"/>
      <c r="R112" s="14"/>
    </row>
    <row r="113" spans="1:18" ht="262.2" x14ac:dyDescent="0.3">
      <c r="A113" s="15" t="s">
        <v>1309</v>
      </c>
      <c r="B113" s="16" t="s">
        <v>372</v>
      </c>
      <c r="C113" s="16" t="s">
        <v>24</v>
      </c>
      <c r="D113" s="16" t="s">
        <v>197</v>
      </c>
      <c r="E113" s="16" t="s">
        <v>1310</v>
      </c>
      <c r="F113" s="16" t="s">
        <v>953</v>
      </c>
      <c r="G113" s="16" t="s">
        <v>46</v>
      </c>
      <c r="H113" s="16" t="s">
        <v>1130</v>
      </c>
      <c r="I113" s="16" t="s">
        <v>373</v>
      </c>
      <c r="J113" s="16" t="s">
        <v>1311</v>
      </c>
      <c r="K113" s="16" t="s">
        <v>1132</v>
      </c>
      <c r="L113" s="16" t="s">
        <v>1133</v>
      </c>
      <c r="M113" s="16" t="s">
        <v>1134</v>
      </c>
      <c r="N113" s="16" t="s">
        <v>375</v>
      </c>
      <c r="O113" s="16" t="s">
        <v>959</v>
      </c>
      <c r="P113" s="16"/>
      <c r="Q113" s="16"/>
      <c r="R113" s="17"/>
    </row>
    <row r="114" spans="1:18" ht="317.39999999999998" x14ac:dyDescent="0.3">
      <c r="A114" s="12" t="s">
        <v>1312</v>
      </c>
      <c r="B114" s="13" t="s">
        <v>372</v>
      </c>
      <c r="C114" s="13" t="s">
        <v>24</v>
      </c>
      <c r="D114" s="13" t="s">
        <v>197</v>
      </c>
      <c r="E114" s="13" t="s">
        <v>1313</v>
      </c>
      <c r="F114" s="13" t="s">
        <v>339</v>
      </c>
      <c r="G114" s="13" t="s">
        <v>53</v>
      </c>
      <c r="H114" s="13" t="s">
        <v>1137</v>
      </c>
      <c r="I114" s="13" t="s">
        <v>373</v>
      </c>
      <c r="J114" s="13" t="s">
        <v>1314</v>
      </c>
      <c r="K114" s="13" t="s">
        <v>964</v>
      </c>
      <c r="L114" s="13" t="s">
        <v>1133</v>
      </c>
      <c r="M114" s="13" t="s">
        <v>1134</v>
      </c>
      <c r="N114" s="13" t="s">
        <v>375</v>
      </c>
      <c r="O114" s="13" t="s">
        <v>959</v>
      </c>
      <c r="P114" s="13"/>
      <c r="Q114" s="13"/>
      <c r="R114" s="14"/>
    </row>
    <row r="115" spans="1:18" ht="248.4" x14ac:dyDescent="0.3">
      <c r="A115" s="15" t="s">
        <v>1315</v>
      </c>
      <c r="B115" s="16" t="s">
        <v>376</v>
      </c>
      <c r="C115" s="16" t="s">
        <v>24</v>
      </c>
      <c r="D115" s="16" t="s">
        <v>197</v>
      </c>
      <c r="E115" s="16" t="s">
        <v>1316</v>
      </c>
      <c r="F115" s="16" t="s">
        <v>52</v>
      </c>
      <c r="G115" s="16" t="s">
        <v>53</v>
      </c>
      <c r="H115" s="16" t="s">
        <v>1141</v>
      </c>
      <c r="I115" s="16" t="s">
        <v>373</v>
      </c>
      <c r="J115" s="16" t="s">
        <v>968</v>
      </c>
      <c r="K115" s="16" t="s">
        <v>969</v>
      </c>
      <c r="L115" s="16" t="s">
        <v>1133</v>
      </c>
      <c r="M115" s="16" t="s">
        <v>1134</v>
      </c>
      <c r="N115" s="16" t="s">
        <v>375</v>
      </c>
      <c r="O115" s="16" t="s">
        <v>959</v>
      </c>
      <c r="P115" s="16"/>
      <c r="Q115" s="16"/>
      <c r="R115" s="17"/>
    </row>
    <row r="116" spans="1:18" ht="303.60000000000002" x14ac:dyDescent="0.3">
      <c r="A116" s="12" t="s">
        <v>1317</v>
      </c>
      <c r="B116" s="13" t="s">
        <v>376</v>
      </c>
      <c r="C116" s="13" t="s">
        <v>24</v>
      </c>
      <c r="D116" s="13" t="s">
        <v>197</v>
      </c>
      <c r="E116" s="13" t="s">
        <v>1318</v>
      </c>
      <c r="F116" s="13" t="s">
        <v>972</v>
      </c>
      <c r="G116" s="13" t="s">
        <v>53</v>
      </c>
      <c r="H116" s="13" t="s">
        <v>1144</v>
      </c>
      <c r="I116" s="13" t="s">
        <v>373</v>
      </c>
      <c r="J116" s="13" t="s">
        <v>974</v>
      </c>
      <c r="K116" s="13" t="s">
        <v>975</v>
      </c>
      <c r="L116" s="13" t="s">
        <v>1133</v>
      </c>
      <c r="M116" s="13" t="s">
        <v>1134</v>
      </c>
      <c r="N116" s="13" t="s">
        <v>375</v>
      </c>
      <c r="O116" s="13" t="s">
        <v>959</v>
      </c>
      <c r="P116" s="13"/>
      <c r="Q116" s="13"/>
      <c r="R116" s="14"/>
    </row>
    <row r="117" spans="1:18" ht="409.6" x14ac:dyDescent="0.3">
      <c r="A117" s="15" t="s">
        <v>1319</v>
      </c>
      <c r="B117" s="16" t="s">
        <v>378</v>
      </c>
      <c r="C117" s="16" t="s">
        <v>24</v>
      </c>
      <c r="D117" s="16" t="s">
        <v>197</v>
      </c>
      <c r="E117" s="16" t="s">
        <v>379</v>
      </c>
      <c r="F117" s="16" t="s">
        <v>57</v>
      </c>
      <c r="G117" s="16" t="s">
        <v>46</v>
      </c>
      <c r="H117" s="16" t="s">
        <v>977</v>
      </c>
      <c r="I117" s="16" t="s">
        <v>373</v>
      </c>
      <c r="J117" s="16" t="s">
        <v>1320</v>
      </c>
      <c r="K117" s="16" t="s">
        <v>979</v>
      </c>
      <c r="L117" s="16" t="s">
        <v>1133</v>
      </c>
      <c r="M117" s="16" t="s">
        <v>1134</v>
      </c>
      <c r="N117" s="16" t="s">
        <v>380</v>
      </c>
      <c r="O117" s="16" t="s">
        <v>959</v>
      </c>
      <c r="P117" s="16"/>
      <c r="Q117" s="16"/>
      <c r="R117" s="17"/>
    </row>
    <row r="118" spans="1:18" ht="358.8" x14ac:dyDescent="0.3">
      <c r="A118" s="12" t="s">
        <v>1321</v>
      </c>
      <c r="B118" s="13" t="s">
        <v>381</v>
      </c>
      <c r="C118" s="13" t="s">
        <v>24</v>
      </c>
      <c r="D118" s="13" t="s">
        <v>197</v>
      </c>
      <c r="E118" s="13" t="s">
        <v>382</v>
      </c>
      <c r="F118" s="13" t="s">
        <v>57</v>
      </c>
      <c r="G118" s="13" t="s">
        <v>46</v>
      </c>
      <c r="H118" s="13" t="s">
        <v>977</v>
      </c>
      <c r="I118" s="13" t="s">
        <v>373</v>
      </c>
      <c r="J118" s="13" t="s">
        <v>1322</v>
      </c>
      <c r="K118" s="13" t="s">
        <v>1149</v>
      </c>
      <c r="L118" s="13" t="s">
        <v>1133</v>
      </c>
      <c r="M118" s="13" t="s">
        <v>1134</v>
      </c>
      <c r="N118" s="13" t="s">
        <v>383</v>
      </c>
      <c r="O118" s="13" t="s">
        <v>959</v>
      </c>
      <c r="P118" s="13"/>
      <c r="Q118" s="13"/>
      <c r="R118" s="14"/>
    </row>
    <row r="119" spans="1:18" ht="409.6" x14ac:dyDescent="0.3">
      <c r="A119" s="15" t="s">
        <v>1323</v>
      </c>
      <c r="B119" s="16" t="s">
        <v>384</v>
      </c>
      <c r="C119" s="16" t="s">
        <v>24</v>
      </c>
      <c r="D119" s="16" t="s">
        <v>197</v>
      </c>
      <c r="E119" s="16" t="s">
        <v>385</v>
      </c>
      <c r="F119" s="16" t="s">
        <v>57</v>
      </c>
      <c r="G119" s="16" t="s">
        <v>46</v>
      </c>
      <c r="H119" s="16" t="s">
        <v>1151</v>
      </c>
      <c r="I119" s="16" t="s">
        <v>373</v>
      </c>
      <c r="J119" s="16" t="s">
        <v>1324</v>
      </c>
      <c r="K119" s="16" t="s">
        <v>1153</v>
      </c>
      <c r="L119" s="16" t="s">
        <v>1133</v>
      </c>
      <c r="M119" s="16" t="s">
        <v>1134</v>
      </c>
      <c r="N119" s="16" t="s">
        <v>386</v>
      </c>
      <c r="O119" s="16" t="s">
        <v>959</v>
      </c>
      <c r="P119" s="16"/>
      <c r="Q119" s="16"/>
      <c r="R119" s="17" t="s">
        <v>990</v>
      </c>
    </row>
    <row r="120" spans="1:18" ht="409.6" x14ac:dyDescent="0.3">
      <c r="A120" s="12" t="s">
        <v>1325</v>
      </c>
      <c r="B120" s="13" t="s">
        <v>387</v>
      </c>
      <c r="C120" s="13" t="s">
        <v>24</v>
      </c>
      <c r="D120" s="13" t="s">
        <v>197</v>
      </c>
      <c r="E120" s="13" t="s">
        <v>388</v>
      </c>
      <c r="F120" s="13" t="s">
        <v>45</v>
      </c>
      <c r="G120" s="13" t="s">
        <v>53</v>
      </c>
      <c r="H120" s="13" t="s">
        <v>1326</v>
      </c>
      <c r="I120" s="13" t="s">
        <v>373</v>
      </c>
      <c r="J120" s="13" t="s">
        <v>1327</v>
      </c>
      <c r="K120" s="13" t="s">
        <v>1328</v>
      </c>
      <c r="L120" s="13" t="s">
        <v>1133</v>
      </c>
      <c r="M120" s="13" t="s">
        <v>1134</v>
      </c>
      <c r="N120" s="13" t="s">
        <v>390</v>
      </c>
      <c r="O120" s="13" t="s">
        <v>959</v>
      </c>
      <c r="P120" s="13"/>
      <c r="Q120" s="13"/>
      <c r="R120" s="14" t="s">
        <v>990</v>
      </c>
    </row>
    <row r="121" spans="1:18" ht="358.8" x14ac:dyDescent="0.3">
      <c r="A121" s="15" t="s">
        <v>1329</v>
      </c>
      <c r="B121" s="16" t="s">
        <v>391</v>
      </c>
      <c r="C121" s="16" t="s">
        <v>24</v>
      </c>
      <c r="D121" s="16" t="s">
        <v>197</v>
      </c>
      <c r="E121" s="16" t="s">
        <v>392</v>
      </c>
      <c r="F121" s="16" t="s">
        <v>45</v>
      </c>
      <c r="G121" s="16" t="s">
        <v>46</v>
      </c>
      <c r="H121" s="16" t="s">
        <v>977</v>
      </c>
      <c r="I121" s="16" t="s">
        <v>373</v>
      </c>
      <c r="J121" s="16" t="s">
        <v>1330</v>
      </c>
      <c r="K121" s="16" t="s">
        <v>1160</v>
      </c>
      <c r="L121" s="16" t="s">
        <v>1133</v>
      </c>
      <c r="M121" s="16" t="s">
        <v>1134</v>
      </c>
      <c r="N121" s="16" t="s">
        <v>393</v>
      </c>
      <c r="O121" s="16" t="s">
        <v>959</v>
      </c>
      <c r="P121" s="16"/>
      <c r="Q121" s="16"/>
      <c r="R121" s="17"/>
    </row>
    <row r="122" spans="1:18" ht="409.6" x14ac:dyDescent="0.3">
      <c r="A122" s="12" t="s">
        <v>1331</v>
      </c>
      <c r="B122" s="13" t="s">
        <v>394</v>
      </c>
      <c r="C122" s="13" t="s">
        <v>24</v>
      </c>
      <c r="D122" s="13" t="s">
        <v>197</v>
      </c>
      <c r="E122" s="13" t="s">
        <v>395</v>
      </c>
      <c r="F122" s="13" t="s">
        <v>45</v>
      </c>
      <c r="G122" s="13" t="s">
        <v>46</v>
      </c>
      <c r="H122" s="13" t="s">
        <v>1162</v>
      </c>
      <c r="I122" s="13" t="s">
        <v>373</v>
      </c>
      <c r="J122" s="13" t="s">
        <v>1332</v>
      </c>
      <c r="K122" s="13" t="s">
        <v>1164</v>
      </c>
      <c r="L122" s="13" t="s">
        <v>1133</v>
      </c>
      <c r="M122" s="13" t="s">
        <v>1134</v>
      </c>
      <c r="N122" s="13" t="s">
        <v>396</v>
      </c>
      <c r="O122" s="13" t="s">
        <v>959</v>
      </c>
      <c r="P122" s="13"/>
      <c r="Q122" s="13"/>
      <c r="R122" s="14" t="s">
        <v>990</v>
      </c>
    </row>
    <row r="123" spans="1:18" ht="400.2" x14ac:dyDescent="0.3">
      <c r="A123" s="15" t="s">
        <v>1333</v>
      </c>
      <c r="B123" s="16" t="s">
        <v>397</v>
      </c>
      <c r="C123" s="16" t="s">
        <v>24</v>
      </c>
      <c r="D123" s="16" t="s">
        <v>197</v>
      </c>
      <c r="E123" s="16" t="s">
        <v>398</v>
      </c>
      <c r="F123" s="16" t="s">
        <v>45</v>
      </c>
      <c r="G123" s="16" t="s">
        <v>46</v>
      </c>
      <c r="H123" s="16" t="s">
        <v>1166</v>
      </c>
      <c r="I123" s="16" t="s">
        <v>373</v>
      </c>
      <c r="J123" s="16" t="s">
        <v>1334</v>
      </c>
      <c r="K123" s="16" t="s">
        <v>1168</v>
      </c>
      <c r="L123" s="16" t="s">
        <v>1133</v>
      </c>
      <c r="M123" s="16" t="s">
        <v>1134</v>
      </c>
      <c r="N123" s="16" t="s">
        <v>399</v>
      </c>
      <c r="O123" s="16" t="s">
        <v>959</v>
      </c>
      <c r="P123" s="16"/>
      <c r="Q123" s="16"/>
      <c r="R123" s="17" t="s">
        <v>990</v>
      </c>
    </row>
    <row r="124" spans="1:18" ht="409.6" x14ac:dyDescent="0.3">
      <c r="A124" s="12" t="s">
        <v>1335</v>
      </c>
      <c r="B124" s="13" t="s">
        <v>400</v>
      </c>
      <c r="C124" s="13" t="s">
        <v>24</v>
      </c>
      <c r="D124" s="13" t="s">
        <v>197</v>
      </c>
      <c r="E124" s="13" t="s">
        <v>401</v>
      </c>
      <c r="F124" s="13" t="s">
        <v>45</v>
      </c>
      <c r="G124" s="13" t="s">
        <v>46</v>
      </c>
      <c r="H124" s="13" t="s">
        <v>1170</v>
      </c>
      <c r="I124" s="13" t="s">
        <v>373</v>
      </c>
      <c r="J124" s="13" t="s">
        <v>1336</v>
      </c>
      <c r="K124" s="13" t="s">
        <v>1172</v>
      </c>
      <c r="L124" s="13" t="s">
        <v>1133</v>
      </c>
      <c r="M124" s="13" t="s">
        <v>1134</v>
      </c>
      <c r="N124" s="13" t="s">
        <v>402</v>
      </c>
      <c r="O124" s="13" t="s">
        <v>959</v>
      </c>
      <c r="P124" s="13"/>
      <c r="Q124" s="13"/>
      <c r="R124" s="14" t="s">
        <v>990</v>
      </c>
    </row>
    <row r="125" spans="1:18" ht="409.6" x14ac:dyDescent="0.3">
      <c r="A125" s="15" t="s">
        <v>1337</v>
      </c>
      <c r="B125" s="16" t="s">
        <v>403</v>
      </c>
      <c r="C125" s="16" t="s">
        <v>24</v>
      </c>
      <c r="D125" s="16" t="s">
        <v>197</v>
      </c>
      <c r="E125" s="16" t="s">
        <v>404</v>
      </c>
      <c r="F125" s="16" t="s">
        <v>45</v>
      </c>
      <c r="G125" s="16" t="s">
        <v>46</v>
      </c>
      <c r="H125" s="16" t="s">
        <v>1174</v>
      </c>
      <c r="I125" s="16" t="s">
        <v>373</v>
      </c>
      <c r="J125" s="16" t="s">
        <v>1338</v>
      </c>
      <c r="K125" s="16" t="s">
        <v>1176</v>
      </c>
      <c r="L125" s="16" t="s">
        <v>1133</v>
      </c>
      <c r="M125" s="16" t="s">
        <v>1134</v>
      </c>
      <c r="N125" s="16" t="s">
        <v>405</v>
      </c>
      <c r="O125" s="16" t="s">
        <v>959</v>
      </c>
      <c r="P125" s="16"/>
      <c r="Q125" s="16"/>
      <c r="R125" s="17" t="s">
        <v>990</v>
      </c>
    </row>
    <row r="126" spans="1:18" ht="358.8" x14ac:dyDescent="0.3">
      <c r="A126" s="12" t="s">
        <v>1339</v>
      </c>
      <c r="B126" s="13" t="s">
        <v>406</v>
      </c>
      <c r="C126" s="13" t="s">
        <v>24</v>
      </c>
      <c r="D126" s="13" t="s">
        <v>197</v>
      </c>
      <c r="E126" s="13" t="s">
        <v>407</v>
      </c>
      <c r="F126" s="13" t="s">
        <v>57</v>
      </c>
      <c r="G126" s="13" t="s">
        <v>46</v>
      </c>
      <c r="H126" s="13" t="s">
        <v>977</v>
      </c>
      <c r="I126" s="13" t="s">
        <v>373</v>
      </c>
      <c r="J126" s="13" t="s">
        <v>1340</v>
      </c>
      <c r="K126" s="13" t="s">
        <v>1179</v>
      </c>
      <c r="L126" s="13" t="s">
        <v>1133</v>
      </c>
      <c r="M126" s="13" t="s">
        <v>1134</v>
      </c>
      <c r="N126" s="13" t="s">
        <v>408</v>
      </c>
      <c r="O126" s="13" t="s">
        <v>959</v>
      </c>
      <c r="P126" s="13"/>
      <c r="Q126" s="13"/>
      <c r="R126" s="14"/>
    </row>
    <row r="127" spans="1:18" ht="345" x14ac:dyDescent="0.3">
      <c r="A127" s="15" t="s">
        <v>1341</v>
      </c>
      <c r="B127" s="16" t="s">
        <v>409</v>
      </c>
      <c r="C127" s="16" t="s">
        <v>24</v>
      </c>
      <c r="D127" s="16" t="s">
        <v>197</v>
      </c>
      <c r="E127" s="16" t="s">
        <v>410</v>
      </c>
      <c r="F127" s="16" t="s">
        <v>45</v>
      </c>
      <c r="G127" s="16" t="s">
        <v>46</v>
      </c>
      <c r="H127" s="16" t="s">
        <v>977</v>
      </c>
      <c r="I127" s="16" t="s">
        <v>373</v>
      </c>
      <c r="J127" s="16" t="s">
        <v>1342</v>
      </c>
      <c r="K127" s="16" t="s">
        <v>1182</v>
      </c>
      <c r="L127" s="16" t="s">
        <v>1133</v>
      </c>
      <c r="M127" s="16" t="s">
        <v>1134</v>
      </c>
      <c r="N127" s="16" t="s">
        <v>411</v>
      </c>
      <c r="O127" s="16" t="s">
        <v>959</v>
      </c>
      <c r="P127" s="16"/>
      <c r="Q127" s="16"/>
      <c r="R127" s="17"/>
    </row>
    <row r="128" spans="1:18" ht="400.2" x14ac:dyDescent="0.3">
      <c r="A128" s="12" t="s">
        <v>1343</v>
      </c>
      <c r="B128" s="13" t="s">
        <v>412</v>
      </c>
      <c r="C128" s="13" t="s">
        <v>24</v>
      </c>
      <c r="D128" s="13" t="s">
        <v>197</v>
      </c>
      <c r="E128" s="13" t="s">
        <v>413</v>
      </c>
      <c r="F128" s="13" t="s">
        <v>45</v>
      </c>
      <c r="G128" s="13" t="s">
        <v>46</v>
      </c>
      <c r="H128" s="13" t="s">
        <v>1184</v>
      </c>
      <c r="I128" s="13" t="s">
        <v>373</v>
      </c>
      <c r="J128" s="13" t="s">
        <v>1344</v>
      </c>
      <c r="K128" s="13" t="s">
        <v>1186</v>
      </c>
      <c r="L128" s="13" t="s">
        <v>1133</v>
      </c>
      <c r="M128" s="13" t="s">
        <v>1134</v>
      </c>
      <c r="N128" s="13" t="s">
        <v>414</v>
      </c>
      <c r="O128" s="13" t="s">
        <v>959</v>
      </c>
      <c r="P128" s="13"/>
      <c r="Q128" s="13"/>
      <c r="R128" s="14" t="s">
        <v>990</v>
      </c>
    </row>
    <row r="129" spans="1:18" ht="409.6" x14ac:dyDescent="0.3">
      <c r="A129" s="15" t="s">
        <v>1345</v>
      </c>
      <c r="B129" s="16" t="s">
        <v>415</v>
      </c>
      <c r="C129" s="16" t="s">
        <v>24</v>
      </c>
      <c r="D129" s="16" t="s">
        <v>197</v>
      </c>
      <c r="E129" s="16" t="s">
        <v>416</v>
      </c>
      <c r="F129" s="16" t="s">
        <v>45</v>
      </c>
      <c r="G129" s="16" t="s">
        <v>46</v>
      </c>
      <c r="H129" s="16" t="s">
        <v>1188</v>
      </c>
      <c r="I129" s="16" t="s">
        <v>373</v>
      </c>
      <c r="J129" s="16" t="s">
        <v>1346</v>
      </c>
      <c r="K129" s="16" t="s">
        <v>1190</v>
      </c>
      <c r="L129" s="16" t="s">
        <v>1133</v>
      </c>
      <c r="M129" s="16" t="s">
        <v>1134</v>
      </c>
      <c r="N129" s="16" t="s">
        <v>417</v>
      </c>
      <c r="O129" s="16" t="s">
        <v>959</v>
      </c>
      <c r="P129" s="16"/>
      <c r="Q129" s="16"/>
      <c r="R129" s="17" t="s">
        <v>990</v>
      </c>
    </row>
    <row r="130" spans="1:18" ht="409.6" x14ac:dyDescent="0.3">
      <c r="A130" s="12" t="s">
        <v>1347</v>
      </c>
      <c r="B130" s="13" t="s">
        <v>418</v>
      </c>
      <c r="C130" s="13" t="s">
        <v>24</v>
      </c>
      <c r="D130" s="13" t="s">
        <v>197</v>
      </c>
      <c r="E130" s="13" t="s">
        <v>419</v>
      </c>
      <c r="F130" s="13" t="s">
        <v>45</v>
      </c>
      <c r="G130" s="13" t="s">
        <v>46</v>
      </c>
      <c r="H130" s="13" t="s">
        <v>1192</v>
      </c>
      <c r="I130" s="13" t="s">
        <v>373</v>
      </c>
      <c r="J130" s="13" t="s">
        <v>1348</v>
      </c>
      <c r="K130" s="13" t="s">
        <v>1194</v>
      </c>
      <c r="L130" s="13" t="s">
        <v>1133</v>
      </c>
      <c r="M130" s="13" t="s">
        <v>1134</v>
      </c>
      <c r="N130" s="13" t="s">
        <v>420</v>
      </c>
      <c r="O130" s="13" t="s">
        <v>959</v>
      </c>
      <c r="P130" s="13"/>
      <c r="Q130" s="13"/>
      <c r="R130" s="14" t="s">
        <v>990</v>
      </c>
    </row>
    <row r="131" spans="1:18" ht="409.6" x14ac:dyDescent="0.3">
      <c r="A131" s="15" t="s">
        <v>1349</v>
      </c>
      <c r="B131" s="16" t="s">
        <v>421</v>
      </c>
      <c r="C131" s="16" t="s">
        <v>24</v>
      </c>
      <c r="D131" s="16" t="s">
        <v>197</v>
      </c>
      <c r="E131" s="16" t="s">
        <v>422</v>
      </c>
      <c r="F131" s="16" t="s">
        <v>45</v>
      </c>
      <c r="G131" s="16" t="s">
        <v>46</v>
      </c>
      <c r="H131" s="16" t="s">
        <v>1196</v>
      </c>
      <c r="I131" s="16" t="s">
        <v>373</v>
      </c>
      <c r="J131" s="16" t="s">
        <v>1350</v>
      </c>
      <c r="K131" s="16" t="s">
        <v>1198</v>
      </c>
      <c r="L131" s="16" t="s">
        <v>1133</v>
      </c>
      <c r="M131" s="16" t="s">
        <v>1134</v>
      </c>
      <c r="N131" s="16" t="s">
        <v>423</v>
      </c>
      <c r="O131" s="16" t="s">
        <v>959</v>
      </c>
      <c r="P131" s="16"/>
      <c r="Q131" s="16"/>
      <c r="R131" s="17" t="s">
        <v>990</v>
      </c>
    </row>
    <row r="132" spans="1:18" ht="409.6" x14ac:dyDescent="0.3">
      <c r="A132" s="12" t="s">
        <v>1351</v>
      </c>
      <c r="B132" s="13" t="s">
        <v>424</v>
      </c>
      <c r="C132" s="13" t="s">
        <v>24</v>
      </c>
      <c r="D132" s="13" t="s">
        <v>197</v>
      </c>
      <c r="E132" s="13" t="s">
        <v>425</v>
      </c>
      <c r="F132" s="13" t="s">
        <v>45</v>
      </c>
      <c r="G132" s="13" t="s">
        <v>46</v>
      </c>
      <c r="H132" s="13" t="s">
        <v>1200</v>
      </c>
      <c r="I132" s="13" t="s">
        <v>373</v>
      </c>
      <c r="J132" s="13" t="s">
        <v>1352</v>
      </c>
      <c r="K132" s="13" t="s">
        <v>1202</v>
      </c>
      <c r="L132" s="13" t="s">
        <v>1133</v>
      </c>
      <c r="M132" s="13" t="s">
        <v>1134</v>
      </c>
      <c r="N132" s="13" t="s">
        <v>426</v>
      </c>
      <c r="O132" s="13" t="s">
        <v>959</v>
      </c>
      <c r="P132" s="13"/>
      <c r="Q132" s="13"/>
      <c r="R132" s="14" t="s">
        <v>990</v>
      </c>
    </row>
    <row r="133" spans="1:18" ht="409.6" x14ac:dyDescent="0.3">
      <c r="A133" s="15" t="s">
        <v>1353</v>
      </c>
      <c r="B133" s="16" t="s">
        <v>427</v>
      </c>
      <c r="C133" s="16" t="s">
        <v>24</v>
      </c>
      <c r="D133" s="16" t="s">
        <v>197</v>
      </c>
      <c r="E133" s="16" t="s">
        <v>428</v>
      </c>
      <c r="F133" s="16" t="s">
        <v>45</v>
      </c>
      <c r="G133" s="16" t="s">
        <v>46</v>
      </c>
      <c r="H133" s="16" t="s">
        <v>1204</v>
      </c>
      <c r="I133" s="16" t="s">
        <v>373</v>
      </c>
      <c r="J133" s="16" t="s">
        <v>1354</v>
      </c>
      <c r="K133" s="16" t="s">
        <v>1206</v>
      </c>
      <c r="L133" s="16" t="s">
        <v>1133</v>
      </c>
      <c r="M133" s="16" t="s">
        <v>1134</v>
      </c>
      <c r="N133" s="16" t="s">
        <v>429</v>
      </c>
      <c r="O133" s="16" t="s">
        <v>959</v>
      </c>
      <c r="P133" s="16"/>
      <c r="Q133" s="16"/>
      <c r="R133" s="17" t="s">
        <v>990</v>
      </c>
    </row>
    <row r="134" spans="1:18" ht="409.6" x14ac:dyDescent="0.3">
      <c r="A134" s="12" t="s">
        <v>1355</v>
      </c>
      <c r="B134" s="13" t="s">
        <v>430</v>
      </c>
      <c r="C134" s="13" t="s">
        <v>24</v>
      </c>
      <c r="D134" s="13" t="s">
        <v>197</v>
      </c>
      <c r="E134" s="13" t="s">
        <v>431</v>
      </c>
      <c r="F134" s="13" t="s">
        <v>45</v>
      </c>
      <c r="G134" s="13" t="s">
        <v>46</v>
      </c>
      <c r="H134" s="13" t="s">
        <v>1208</v>
      </c>
      <c r="I134" s="13" t="s">
        <v>373</v>
      </c>
      <c r="J134" s="13" t="s">
        <v>1356</v>
      </c>
      <c r="K134" s="13" t="s">
        <v>1210</v>
      </c>
      <c r="L134" s="13" t="s">
        <v>1133</v>
      </c>
      <c r="M134" s="13" t="s">
        <v>1134</v>
      </c>
      <c r="N134" s="13" t="s">
        <v>432</v>
      </c>
      <c r="O134" s="13" t="s">
        <v>959</v>
      </c>
      <c r="P134" s="13"/>
      <c r="Q134" s="13"/>
      <c r="R134" s="14" t="s">
        <v>990</v>
      </c>
    </row>
    <row r="135" spans="1:18" ht="409.6" x14ac:dyDescent="0.3">
      <c r="A135" s="15" t="s">
        <v>1357</v>
      </c>
      <c r="B135" s="16" t="s">
        <v>433</v>
      </c>
      <c r="C135" s="16" t="s">
        <v>24</v>
      </c>
      <c r="D135" s="16" t="s">
        <v>197</v>
      </c>
      <c r="E135" s="16" t="s">
        <v>434</v>
      </c>
      <c r="F135" s="16" t="s">
        <v>45</v>
      </c>
      <c r="G135" s="16" t="s">
        <v>46</v>
      </c>
      <c r="H135" s="16" t="s">
        <v>1212</v>
      </c>
      <c r="I135" s="16" t="s">
        <v>373</v>
      </c>
      <c r="J135" s="16" t="s">
        <v>1358</v>
      </c>
      <c r="K135" s="16" t="s">
        <v>1214</v>
      </c>
      <c r="L135" s="16" t="s">
        <v>1133</v>
      </c>
      <c r="M135" s="16" t="s">
        <v>1134</v>
      </c>
      <c r="N135" s="16" t="s">
        <v>435</v>
      </c>
      <c r="O135" s="16" t="s">
        <v>959</v>
      </c>
      <c r="P135" s="16"/>
      <c r="Q135" s="16"/>
      <c r="R135" s="17" t="s">
        <v>990</v>
      </c>
    </row>
    <row r="136" spans="1:18" ht="409.6" x14ac:dyDescent="0.3">
      <c r="A136" s="12" t="s">
        <v>1359</v>
      </c>
      <c r="B136" s="13" t="s">
        <v>436</v>
      </c>
      <c r="C136" s="13" t="s">
        <v>24</v>
      </c>
      <c r="D136" s="13" t="s">
        <v>197</v>
      </c>
      <c r="E136" s="13" t="s">
        <v>437</v>
      </c>
      <c r="F136" s="13" t="s">
        <v>45</v>
      </c>
      <c r="G136" s="13" t="s">
        <v>46</v>
      </c>
      <c r="H136" s="13" t="s">
        <v>1216</v>
      </c>
      <c r="I136" s="13" t="s">
        <v>373</v>
      </c>
      <c r="J136" s="13" t="s">
        <v>1360</v>
      </c>
      <c r="K136" s="13" t="s">
        <v>1218</v>
      </c>
      <c r="L136" s="13" t="s">
        <v>1133</v>
      </c>
      <c r="M136" s="13" t="s">
        <v>1134</v>
      </c>
      <c r="N136" s="13" t="s">
        <v>438</v>
      </c>
      <c r="O136" s="13" t="s">
        <v>959</v>
      </c>
      <c r="P136" s="13"/>
      <c r="Q136" s="13"/>
      <c r="R136" s="14" t="s">
        <v>990</v>
      </c>
    </row>
    <row r="137" spans="1:18" ht="409.6" x14ac:dyDescent="0.3">
      <c r="A137" s="15" t="s">
        <v>1361</v>
      </c>
      <c r="B137" s="16" t="s">
        <v>439</v>
      </c>
      <c r="C137" s="16" t="s">
        <v>24</v>
      </c>
      <c r="D137" s="16" t="s">
        <v>197</v>
      </c>
      <c r="E137" s="16" t="s">
        <v>440</v>
      </c>
      <c r="F137" s="16" t="s">
        <v>45</v>
      </c>
      <c r="G137" s="16" t="s">
        <v>46</v>
      </c>
      <c r="H137" s="16" t="s">
        <v>1220</v>
      </c>
      <c r="I137" s="16" t="s">
        <v>373</v>
      </c>
      <c r="J137" s="16" t="s">
        <v>1362</v>
      </c>
      <c r="K137" s="16" t="s">
        <v>1222</v>
      </c>
      <c r="L137" s="16" t="s">
        <v>1133</v>
      </c>
      <c r="M137" s="16" t="s">
        <v>1134</v>
      </c>
      <c r="N137" s="16" t="s">
        <v>441</v>
      </c>
      <c r="O137" s="16" t="s">
        <v>959</v>
      </c>
      <c r="P137" s="16"/>
      <c r="Q137" s="16"/>
      <c r="R137" s="17" t="s">
        <v>990</v>
      </c>
    </row>
    <row r="138" spans="1:18" ht="409.6" x14ac:dyDescent="0.3">
      <c r="A138" s="12" t="s">
        <v>1363</v>
      </c>
      <c r="B138" s="13" t="s">
        <v>442</v>
      </c>
      <c r="C138" s="13" t="s">
        <v>24</v>
      </c>
      <c r="D138" s="13" t="s">
        <v>197</v>
      </c>
      <c r="E138" s="13" t="s">
        <v>443</v>
      </c>
      <c r="F138" s="13" t="s">
        <v>45</v>
      </c>
      <c r="G138" s="13" t="s">
        <v>46</v>
      </c>
      <c r="H138" s="13" t="s">
        <v>1224</v>
      </c>
      <c r="I138" s="13" t="s">
        <v>373</v>
      </c>
      <c r="J138" s="13" t="s">
        <v>1364</v>
      </c>
      <c r="K138" s="13" t="s">
        <v>1226</v>
      </c>
      <c r="L138" s="13" t="s">
        <v>1133</v>
      </c>
      <c r="M138" s="13" t="s">
        <v>1134</v>
      </c>
      <c r="N138" s="13" t="s">
        <v>444</v>
      </c>
      <c r="O138" s="13" t="s">
        <v>959</v>
      </c>
      <c r="P138" s="13"/>
      <c r="Q138" s="13"/>
      <c r="R138" s="14" t="s">
        <v>990</v>
      </c>
    </row>
    <row r="139" spans="1:18" ht="409.6" x14ac:dyDescent="0.3">
      <c r="A139" s="15" t="s">
        <v>1365</v>
      </c>
      <c r="B139" s="16" t="s">
        <v>445</v>
      </c>
      <c r="C139" s="16" t="s">
        <v>24</v>
      </c>
      <c r="D139" s="16" t="s">
        <v>197</v>
      </c>
      <c r="E139" s="16" t="s">
        <v>446</v>
      </c>
      <c r="F139" s="16" t="s">
        <v>45</v>
      </c>
      <c r="G139" s="16" t="s">
        <v>46</v>
      </c>
      <c r="H139" s="16" t="s">
        <v>1228</v>
      </c>
      <c r="I139" s="16" t="s">
        <v>373</v>
      </c>
      <c r="J139" s="16" t="s">
        <v>1366</v>
      </c>
      <c r="K139" s="16" t="s">
        <v>1230</v>
      </c>
      <c r="L139" s="16" t="s">
        <v>1133</v>
      </c>
      <c r="M139" s="16" t="s">
        <v>1134</v>
      </c>
      <c r="N139" s="16" t="s">
        <v>447</v>
      </c>
      <c r="O139" s="16" t="s">
        <v>959</v>
      </c>
      <c r="P139" s="16"/>
      <c r="Q139" s="16"/>
      <c r="R139" s="17" t="s">
        <v>990</v>
      </c>
    </row>
    <row r="140" spans="1:18" ht="409.6" x14ac:dyDescent="0.3">
      <c r="A140" s="12" t="s">
        <v>1367</v>
      </c>
      <c r="B140" s="13" t="s">
        <v>448</v>
      </c>
      <c r="C140" s="13" t="s">
        <v>24</v>
      </c>
      <c r="D140" s="13" t="s">
        <v>197</v>
      </c>
      <c r="E140" s="13" t="s">
        <v>449</v>
      </c>
      <c r="F140" s="13" t="s">
        <v>45</v>
      </c>
      <c r="G140" s="13" t="s">
        <v>53</v>
      </c>
      <c r="H140" s="13" t="s">
        <v>1232</v>
      </c>
      <c r="I140" s="13" t="s">
        <v>373</v>
      </c>
      <c r="J140" s="13" t="s">
        <v>1368</v>
      </c>
      <c r="K140" s="13" t="s">
        <v>1234</v>
      </c>
      <c r="L140" s="13" t="s">
        <v>1133</v>
      </c>
      <c r="M140" s="13" t="s">
        <v>1134</v>
      </c>
      <c r="N140" s="13" t="s">
        <v>450</v>
      </c>
      <c r="O140" s="13" t="s">
        <v>959</v>
      </c>
      <c r="P140" s="13"/>
      <c r="Q140" s="13"/>
      <c r="R140" s="14" t="s">
        <v>990</v>
      </c>
    </row>
    <row r="141" spans="1:18" ht="409.6" x14ac:dyDescent="0.3">
      <c r="A141" s="15" t="s">
        <v>1369</v>
      </c>
      <c r="B141" s="16" t="s">
        <v>451</v>
      </c>
      <c r="C141" s="16" t="s">
        <v>24</v>
      </c>
      <c r="D141" s="16" t="s">
        <v>197</v>
      </c>
      <c r="E141" s="16" t="s">
        <v>452</v>
      </c>
      <c r="F141" s="16" t="s">
        <v>45</v>
      </c>
      <c r="G141" s="16" t="s">
        <v>46</v>
      </c>
      <c r="H141" s="16" t="s">
        <v>1236</v>
      </c>
      <c r="I141" s="16" t="s">
        <v>373</v>
      </c>
      <c r="J141" s="16" t="s">
        <v>1370</v>
      </c>
      <c r="K141" s="16" t="s">
        <v>1238</v>
      </c>
      <c r="L141" s="16" t="s">
        <v>1133</v>
      </c>
      <c r="M141" s="16" t="s">
        <v>1134</v>
      </c>
      <c r="N141" s="16" t="s">
        <v>453</v>
      </c>
      <c r="O141" s="16" t="s">
        <v>959</v>
      </c>
      <c r="P141" s="16"/>
      <c r="Q141" s="16"/>
      <c r="R141" s="17" t="s">
        <v>990</v>
      </c>
    </row>
    <row r="142" spans="1:18" ht="409.6" x14ac:dyDescent="0.3">
      <c r="A142" s="12" t="s">
        <v>1371</v>
      </c>
      <c r="B142" s="13" t="s">
        <v>454</v>
      </c>
      <c r="C142" s="13" t="s">
        <v>24</v>
      </c>
      <c r="D142" s="13" t="s">
        <v>197</v>
      </c>
      <c r="E142" s="13" t="s">
        <v>455</v>
      </c>
      <c r="F142" s="13" t="s">
        <v>45</v>
      </c>
      <c r="G142" s="13" t="s">
        <v>46</v>
      </c>
      <c r="H142" s="13" t="s">
        <v>1240</v>
      </c>
      <c r="I142" s="13" t="s">
        <v>373</v>
      </c>
      <c r="J142" s="13" t="s">
        <v>1372</v>
      </c>
      <c r="K142" s="13" t="s">
        <v>1242</v>
      </c>
      <c r="L142" s="13" t="s">
        <v>1133</v>
      </c>
      <c r="M142" s="13" t="s">
        <v>1134</v>
      </c>
      <c r="N142" s="13" t="s">
        <v>456</v>
      </c>
      <c r="O142" s="13" t="s">
        <v>959</v>
      </c>
      <c r="P142" s="13"/>
      <c r="Q142" s="13"/>
      <c r="R142" s="14" t="s">
        <v>990</v>
      </c>
    </row>
    <row r="143" spans="1:18" ht="400.2" x14ac:dyDescent="0.3">
      <c r="A143" s="15" t="s">
        <v>1373</v>
      </c>
      <c r="B143" s="16" t="s">
        <v>457</v>
      </c>
      <c r="C143" s="16" t="s">
        <v>24</v>
      </c>
      <c r="D143" s="16" t="s">
        <v>197</v>
      </c>
      <c r="E143" s="16" t="s">
        <v>458</v>
      </c>
      <c r="F143" s="16" t="s">
        <v>45</v>
      </c>
      <c r="G143" s="16" t="s">
        <v>46</v>
      </c>
      <c r="H143" s="16" t="s">
        <v>1244</v>
      </c>
      <c r="I143" s="16" t="s">
        <v>373</v>
      </c>
      <c r="J143" s="16" t="s">
        <v>1374</v>
      </c>
      <c r="K143" s="16" t="s">
        <v>1246</v>
      </c>
      <c r="L143" s="16" t="s">
        <v>1133</v>
      </c>
      <c r="M143" s="16" t="s">
        <v>1134</v>
      </c>
      <c r="N143" s="16" t="s">
        <v>459</v>
      </c>
      <c r="O143" s="16" t="s">
        <v>959</v>
      </c>
      <c r="P143" s="16"/>
      <c r="Q143" s="16"/>
      <c r="R143" s="17" t="s">
        <v>990</v>
      </c>
    </row>
    <row r="144" spans="1:18" ht="409.6" x14ac:dyDescent="0.3">
      <c r="A144" s="12" t="s">
        <v>1375</v>
      </c>
      <c r="B144" s="13" t="s">
        <v>460</v>
      </c>
      <c r="C144" s="13" t="s">
        <v>24</v>
      </c>
      <c r="D144" s="13" t="s">
        <v>197</v>
      </c>
      <c r="E144" s="13" t="s">
        <v>461</v>
      </c>
      <c r="F144" s="13" t="s">
        <v>45</v>
      </c>
      <c r="G144" s="13" t="s">
        <v>46</v>
      </c>
      <c r="H144" s="13" t="s">
        <v>1248</v>
      </c>
      <c r="I144" s="13" t="s">
        <v>373</v>
      </c>
      <c r="J144" s="13" t="s">
        <v>1376</v>
      </c>
      <c r="K144" s="13" t="s">
        <v>1250</v>
      </c>
      <c r="L144" s="13" t="s">
        <v>1133</v>
      </c>
      <c r="M144" s="13" t="s">
        <v>1134</v>
      </c>
      <c r="N144" s="13" t="s">
        <v>462</v>
      </c>
      <c r="O144" s="13" t="s">
        <v>959</v>
      </c>
      <c r="P144" s="13"/>
      <c r="Q144" s="13"/>
      <c r="R144" s="14" t="s">
        <v>990</v>
      </c>
    </row>
    <row r="145" spans="1:18" ht="400.2" x14ac:dyDescent="0.3">
      <c r="A145" s="15" t="s">
        <v>1377</v>
      </c>
      <c r="B145" s="16" t="s">
        <v>463</v>
      </c>
      <c r="C145" s="16" t="s">
        <v>24</v>
      </c>
      <c r="D145" s="16" t="s">
        <v>197</v>
      </c>
      <c r="E145" s="16" t="s">
        <v>464</v>
      </c>
      <c r="F145" s="16" t="s">
        <v>45</v>
      </c>
      <c r="G145" s="16" t="s">
        <v>46</v>
      </c>
      <c r="H145" s="16" t="s">
        <v>1252</v>
      </c>
      <c r="I145" s="16" t="s">
        <v>373</v>
      </c>
      <c r="J145" s="16" t="s">
        <v>1378</v>
      </c>
      <c r="K145" s="16" t="s">
        <v>1254</v>
      </c>
      <c r="L145" s="16" t="s">
        <v>1133</v>
      </c>
      <c r="M145" s="16" t="s">
        <v>1134</v>
      </c>
      <c r="N145" s="16" t="s">
        <v>465</v>
      </c>
      <c r="O145" s="16" t="s">
        <v>959</v>
      </c>
      <c r="P145" s="16"/>
      <c r="Q145" s="16"/>
      <c r="R145" s="17" t="s">
        <v>990</v>
      </c>
    </row>
    <row r="146" spans="1:18" ht="409.6" x14ac:dyDescent="0.3">
      <c r="A146" s="12" t="s">
        <v>1379</v>
      </c>
      <c r="B146" s="13" t="s">
        <v>466</v>
      </c>
      <c r="C146" s="13" t="s">
        <v>24</v>
      </c>
      <c r="D146" s="13" t="s">
        <v>197</v>
      </c>
      <c r="E146" s="13" t="s">
        <v>467</v>
      </c>
      <c r="F146" s="13" t="s">
        <v>45</v>
      </c>
      <c r="G146" s="13" t="s">
        <v>46</v>
      </c>
      <c r="H146" s="13" t="s">
        <v>1256</v>
      </c>
      <c r="I146" s="13" t="s">
        <v>373</v>
      </c>
      <c r="J146" s="13" t="s">
        <v>1380</v>
      </c>
      <c r="K146" s="13" t="s">
        <v>1258</v>
      </c>
      <c r="L146" s="13" t="s">
        <v>1133</v>
      </c>
      <c r="M146" s="13" t="s">
        <v>1134</v>
      </c>
      <c r="N146" s="13" t="s">
        <v>468</v>
      </c>
      <c r="O146" s="13" t="s">
        <v>959</v>
      </c>
      <c r="P146" s="13"/>
      <c r="Q146" s="13"/>
      <c r="R146" s="14" t="s">
        <v>990</v>
      </c>
    </row>
    <row r="147" spans="1:18" ht="409.6" x14ac:dyDescent="0.3">
      <c r="A147" s="15" t="s">
        <v>1381</v>
      </c>
      <c r="B147" s="16" t="s">
        <v>469</v>
      </c>
      <c r="C147" s="16" t="s">
        <v>24</v>
      </c>
      <c r="D147" s="16" t="s">
        <v>197</v>
      </c>
      <c r="E147" s="16" t="s">
        <v>470</v>
      </c>
      <c r="F147" s="16" t="s">
        <v>45</v>
      </c>
      <c r="G147" s="16" t="s">
        <v>53</v>
      </c>
      <c r="H147" s="16" t="s">
        <v>1260</v>
      </c>
      <c r="I147" s="16" t="s">
        <v>373</v>
      </c>
      <c r="J147" s="16" t="s">
        <v>1382</v>
      </c>
      <c r="K147" s="16" t="s">
        <v>1262</v>
      </c>
      <c r="L147" s="16" t="s">
        <v>1133</v>
      </c>
      <c r="M147" s="16" t="s">
        <v>1134</v>
      </c>
      <c r="N147" s="16" t="s">
        <v>471</v>
      </c>
      <c r="O147" s="16" t="s">
        <v>959</v>
      </c>
      <c r="P147" s="16"/>
      <c r="Q147" s="16"/>
      <c r="R147" s="17" t="s">
        <v>990</v>
      </c>
    </row>
    <row r="148" spans="1:18" ht="409.6" x14ac:dyDescent="0.3">
      <c r="A148" s="12" t="s">
        <v>1383</v>
      </c>
      <c r="B148" s="13" t="s">
        <v>472</v>
      </c>
      <c r="C148" s="13" t="s">
        <v>24</v>
      </c>
      <c r="D148" s="13" t="s">
        <v>197</v>
      </c>
      <c r="E148" s="13" t="s">
        <v>473</v>
      </c>
      <c r="F148" s="13" t="s">
        <v>45</v>
      </c>
      <c r="G148" s="13" t="s">
        <v>53</v>
      </c>
      <c r="H148" s="13" t="s">
        <v>1264</v>
      </c>
      <c r="I148" s="13" t="s">
        <v>373</v>
      </c>
      <c r="J148" s="13" t="s">
        <v>1384</v>
      </c>
      <c r="K148" s="13" t="s">
        <v>1266</v>
      </c>
      <c r="L148" s="13" t="s">
        <v>1133</v>
      </c>
      <c r="M148" s="13" t="s">
        <v>1134</v>
      </c>
      <c r="N148" s="13" t="s">
        <v>474</v>
      </c>
      <c r="O148" s="13" t="s">
        <v>959</v>
      </c>
      <c r="P148" s="13"/>
      <c r="Q148" s="13"/>
      <c r="R148" s="14" t="s">
        <v>990</v>
      </c>
    </row>
    <row r="149" spans="1:18" ht="409.6" x14ac:dyDescent="0.3">
      <c r="A149" s="15" t="s">
        <v>1385</v>
      </c>
      <c r="B149" s="16" t="s">
        <v>475</v>
      </c>
      <c r="C149" s="16" t="s">
        <v>24</v>
      </c>
      <c r="D149" s="16" t="s">
        <v>197</v>
      </c>
      <c r="E149" s="16" t="s">
        <v>476</v>
      </c>
      <c r="F149" s="16" t="s">
        <v>45</v>
      </c>
      <c r="G149" s="16" t="s">
        <v>53</v>
      </c>
      <c r="H149" s="16" t="s">
        <v>1268</v>
      </c>
      <c r="I149" s="16" t="s">
        <v>373</v>
      </c>
      <c r="J149" s="16" t="s">
        <v>1386</v>
      </c>
      <c r="K149" s="16" t="s">
        <v>1270</v>
      </c>
      <c r="L149" s="16" t="s">
        <v>1133</v>
      </c>
      <c r="M149" s="16" t="s">
        <v>1134</v>
      </c>
      <c r="N149" s="16" t="s">
        <v>477</v>
      </c>
      <c r="O149" s="16" t="s">
        <v>959</v>
      </c>
      <c r="P149" s="16"/>
      <c r="Q149" s="16"/>
      <c r="R149" s="17" t="s">
        <v>990</v>
      </c>
    </row>
    <row r="150" spans="1:18" ht="409.6" x14ac:dyDescent="0.3">
      <c r="A150" s="12" t="s">
        <v>1387</v>
      </c>
      <c r="B150" s="13" t="s">
        <v>478</v>
      </c>
      <c r="C150" s="13" t="s">
        <v>24</v>
      </c>
      <c r="D150" s="13" t="s">
        <v>197</v>
      </c>
      <c r="E150" s="13" t="s">
        <v>479</v>
      </c>
      <c r="F150" s="13" t="s">
        <v>339</v>
      </c>
      <c r="G150" s="13" t="s">
        <v>53</v>
      </c>
      <c r="H150" s="13" t="s">
        <v>1272</v>
      </c>
      <c r="I150" s="13" t="s">
        <v>373</v>
      </c>
      <c r="J150" s="13" t="s">
        <v>1388</v>
      </c>
      <c r="K150" s="13" t="s">
        <v>1274</v>
      </c>
      <c r="L150" s="13" t="s">
        <v>1133</v>
      </c>
      <c r="M150" s="13" t="s">
        <v>1134</v>
      </c>
      <c r="N150" s="13" t="s">
        <v>480</v>
      </c>
      <c r="O150" s="13" t="s">
        <v>959</v>
      </c>
      <c r="P150" s="13"/>
      <c r="Q150" s="13"/>
      <c r="R150" s="14" t="s">
        <v>990</v>
      </c>
    </row>
    <row r="151" spans="1:18" ht="409.6" x14ac:dyDescent="0.3">
      <c r="A151" s="15" t="s">
        <v>1389</v>
      </c>
      <c r="B151" s="16" t="s">
        <v>481</v>
      </c>
      <c r="C151" s="16" t="s">
        <v>24</v>
      </c>
      <c r="D151" s="16" t="s">
        <v>197</v>
      </c>
      <c r="E151" s="16" t="s">
        <v>482</v>
      </c>
      <c r="F151" s="16" t="s">
        <v>45</v>
      </c>
      <c r="G151" s="16" t="s">
        <v>53</v>
      </c>
      <c r="H151" s="16" t="s">
        <v>1276</v>
      </c>
      <c r="I151" s="16" t="s">
        <v>373</v>
      </c>
      <c r="J151" s="16" t="s">
        <v>1390</v>
      </c>
      <c r="K151" s="16" t="s">
        <v>1278</v>
      </c>
      <c r="L151" s="16" t="s">
        <v>1133</v>
      </c>
      <c r="M151" s="16" t="s">
        <v>1134</v>
      </c>
      <c r="N151" s="16" t="s">
        <v>483</v>
      </c>
      <c r="O151" s="16" t="s">
        <v>959</v>
      </c>
      <c r="P151" s="16"/>
      <c r="Q151" s="16"/>
      <c r="R151" s="17" t="s">
        <v>990</v>
      </c>
    </row>
    <row r="152" spans="1:18" ht="409.6" x14ac:dyDescent="0.3">
      <c r="A152" s="12" t="s">
        <v>1391</v>
      </c>
      <c r="B152" s="13" t="s">
        <v>484</v>
      </c>
      <c r="C152" s="13" t="s">
        <v>24</v>
      </c>
      <c r="D152" s="13" t="s">
        <v>197</v>
      </c>
      <c r="E152" s="13" t="s">
        <v>485</v>
      </c>
      <c r="F152" s="13" t="s">
        <v>45</v>
      </c>
      <c r="G152" s="13" t="s">
        <v>53</v>
      </c>
      <c r="H152" s="13" t="s">
        <v>1280</v>
      </c>
      <c r="I152" s="13" t="s">
        <v>373</v>
      </c>
      <c r="J152" s="13" t="s">
        <v>1392</v>
      </c>
      <c r="K152" s="13" t="s">
        <v>1282</v>
      </c>
      <c r="L152" s="13" t="s">
        <v>1133</v>
      </c>
      <c r="M152" s="13" t="s">
        <v>1134</v>
      </c>
      <c r="N152" s="13" t="s">
        <v>486</v>
      </c>
      <c r="O152" s="13" t="s">
        <v>959</v>
      </c>
      <c r="P152" s="13"/>
      <c r="Q152" s="13"/>
      <c r="R152" s="14" t="s">
        <v>990</v>
      </c>
    </row>
    <row r="153" spans="1:18" ht="409.6" x14ac:dyDescent="0.3">
      <c r="A153" s="15" t="s">
        <v>1393</v>
      </c>
      <c r="B153" s="16" t="s">
        <v>487</v>
      </c>
      <c r="C153" s="16" t="s">
        <v>24</v>
      </c>
      <c r="D153" s="16" t="s">
        <v>197</v>
      </c>
      <c r="E153" s="16" t="s">
        <v>488</v>
      </c>
      <c r="F153" s="16" t="s">
        <v>45</v>
      </c>
      <c r="G153" s="16" t="s">
        <v>46</v>
      </c>
      <c r="H153" s="16" t="s">
        <v>1284</v>
      </c>
      <c r="I153" s="16" t="s">
        <v>373</v>
      </c>
      <c r="J153" s="16" t="s">
        <v>1394</v>
      </c>
      <c r="K153" s="16" t="s">
        <v>1286</v>
      </c>
      <c r="L153" s="16" t="s">
        <v>1133</v>
      </c>
      <c r="M153" s="16" t="s">
        <v>1134</v>
      </c>
      <c r="N153" s="16" t="s">
        <v>489</v>
      </c>
      <c r="O153" s="16" t="s">
        <v>959</v>
      </c>
      <c r="P153" s="16"/>
      <c r="Q153" s="16"/>
      <c r="R153" s="17" t="s">
        <v>990</v>
      </c>
    </row>
    <row r="154" spans="1:18" ht="409.6" x14ac:dyDescent="0.3">
      <c r="A154" s="12" t="s">
        <v>1395</v>
      </c>
      <c r="B154" s="13" t="s">
        <v>490</v>
      </c>
      <c r="C154" s="13" t="s">
        <v>24</v>
      </c>
      <c r="D154" s="13" t="s">
        <v>197</v>
      </c>
      <c r="E154" s="13" t="s">
        <v>491</v>
      </c>
      <c r="F154" s="13" t="s">
        <v>45</v>
      </c>
      <c r="G154" s="13" t="s">
        <v>46</v>
      </c>
      <c r="H154" s="13" t="s">
        <v>1288</v>
      </c>
      <c r="I154" s="13" t="s">
        <v>373</v>
      </c>
      <c r="J154" s="13" t="s">
        <v>1396</v>
      </c>
      <c r="K154" s="13" t="s">
        <v>1290</v>
      </c>
      <c r="L154" s="13" t="s">
        <v>1133</v>
      </c>
      <c r="M154" s="13" t="s">
        <v>1134</v>
      </c>
      <c r="N154" s="13" t="s">
        <v>492</v>
      </c>
      <c r="O154" s="13" t="s">
        <v>959</v>
      </c>
      <c r="P154" s="13"/>
      <c r="Q154" s="13"/>
      <c r="R154" s="14" t="s">
        <v>990</v>
      </c>
    </row>
    <row r="155" spans="1:18" ht="409.6" x14ac:dyDescent="0.3">
      <c r="A155" s="15" t="s">
        <v>1397</v>
      </c>
      <c r="B155" s="16" t="s">
        <v>493</v>
      </c>
      <c r="C155" s="16" t="s">
        <v>24</v>
      </c>
      <c r="D155" s="16" t="s">
        <v>197</v>
      </c>
      <c r="E155" s="16" t="s">
        <v>494</v>
      </c>
      <c r="F155" s="16" t="s">
        <v>45</v>
      </c>
      <c r="G155" s="16" t="s">
        <v>46</v>
      </c>
      <c r="H155" s="16" t="s">
        <v>1292</v>
      </c>
      <c r="I155" s="16" t="s">
        <v>373</v>
      </c>
      <c r="J155" s="16" t="s">
        <v>1398</v>
      </c>
      <c r="K155" s="16" t="s">
        <v>1294</v>
      </c>
      <c r="L155" s="16" t="s">
        <v>1133</v>
      </c>
      <c r="M155" s="16" t="s">
        <v>1134</v>
      </c>
      <c r="N155" s="16" t="s">
        <v>495</v>
      </c>
      <c r="O155" s="16" t="s">
        <v>959</v>
      </c>
      <c r="P155" s="16"/>
      <c r="Q155" s="16"/>
      <c r="R155" s="17" t="s">
        <v>990</v>
      </c>
    </row>
    <row r="156" spans="1:18" ht="386.4" x14ac:dyDescent="0.3">
      <c r="A156" s="12" t="s">
        <v>1399</v>
      </c>
      <c r="B156" s="13" t="s">
        <v>496</v>
      </c>
      <c r="C156" s="13" t="s">
        <v>24</v>
      </c>
      <c r="D156" s="13" t="s">
        <v>197</v>
      </c>
      <c r="E156" s="13" t="s">
        <v>497</v>
      </c>
      <c r="F156" s="13" t="s">
        <v>45</v>
      </c>
      <c r="G156" s="13" t="s">
        <v>46</v>
      </c>
      <c r="H156" s="13" t="s">
        <v>1296</v>
      </c>
      <c r="I156" s="13" t="s">
        <v>373</v>
      </c>
      <c r="J156" s="13" t="s">
        <v>1400</v>
      </c>
      <c r="K156" s="13" t="s">
        <v>1298</v>
      </c>
      <c r="L156" s="13" t="s">
        <v>1133</v>
      </c>
      <c r="M156" s="13" t="s">
        <v>1134</v>
      </c>
      <c r="N156" s="13" t="s">
        <v>498</v>
      </c>
      <c r="O156" s="13" t="s">
        <v>959</v>
      </c>
      <c r="P156" s="13"/>
      <c r="Q156" s="13"/>
      <c r="R156" s="14" t="s">
        <v>990</v>
      </c>
    </row>
    <row r="157" spans="1:18" ht="409.6" x14ac:dyDescent="0.3">
      <c r="A157" s="15" t="s">
        <v>1401</v>
      </c>
      <c r="B157" s="16" t="s">
        <v>499</v>
      </c>
      <c r="C157" s="16" t="s">
        <v>24</v>
      </c>
      <c r="D157" s="16" t="s">
        <v>197</v>
      </c>
      <c r="E157" s="16" t="s">
        <v>500</v>
      </c>
      <c r="F157" s="16" t="s">
        <v>45</v>
      </c>
      <c r="G157" s="16" t="s">
        <v>53</v>
      </c>
      <c r="H157" s="16" t="s">
        <v>1300</v>
      </c>
      <c r="I157" s="16" t="s">
        <v>373</v>
      </c>
      <c r="J157" s="16" t="s">
        <v>1402</v>
      </c>
      <c r="K157" s="16" t="s">
        <v>1302</v>
      </c>
      <c r="L157" s="16" t="s">
        <v>1133</v>
      </c>
      <c r="M157" s="16" t="s">
        <v>1134</v>
      </c>
      <c r="N157" s="16" t="s">
        <v>501</v>
      </c>
      <c r="O157" s="16" t="s">
        <v>959</v>
      </c>
      <c r="P157" s="16"/>
      <c r="Q157" s="16"/>
      <c r="R157" s="17" t="s">
        <v>990</v>
      </c>
    </row>
    <row r="158" spans="1:18" ht="303.60000000000002" x14ac:dyDescent="0.3">
      <c r="A158" s="12" t="s">
        <v>1403</v>
      </c>
      <c r="B158" s="13" t="s">
        <v>502</v>
      </c>
      <c r="C158" s="13" t="s">
        <v>24</v>
      </c>
      <c r="D158" s="13" t="s">
        <v>197</v>
      </c>
      <c r="E158" s="13" t="s">
        <v>1404</v>
      </c>
      <c r="F158" s="13" t="s">
        <v>953</v>
      </c>
      <c r="G158" s="13" t="s">
        <v>53</v>
      </c>
      <c r="H158" s="13" t="s">
        <v>1305</v>
      </c>
      <c r="I158" s="13" t="s">
        <v>373</v>
      </c>
      <c r="J158" s="13" t="s">
        <v>1000</v>
      </c>
      <c r="K158" s="13" t="s">
        <v>1001</v>
      </c>
      <c r="L158" s="13" t="s">
        <v>1133</v>
      </c>
      <c r="M158" s="13" t="s">
        <v>1134</v>
      </c>
      <c r="N158" s="13" t="s">
        <v>375</v>
      </c>
      <c r="O158" s="13" t="s">
        <v>959</v>
      </c>
      <c r="P158" s="13"/>
      <c r="Q158" s="13"/>
      <c r="R158" s="14"/>
    </row>
    <row r="159" spans="1:18" ht="409.6" x14ac:dyDescent="0.3">
      <c r="A159" s="15" t="s">
        <v>1405</v>
      </c>
      <c r="B159" s="16" t="s">
        <v>502</v>
      </c>
      <c r="C159" s="16" t="s">
        <v>24</v>
      </c>
      <c r="D159" s="16" t="s">
        <v>197</v>
      </c>
      <c r="E159" s="16" t="s">
        <v>1406</v>
      </c>
      <c r="F159" s="16" t="s">
        <v>339</v>
      </c>
      <c r="G159" s="16" t="s">
        <v>53</v>
      </c>
      <c r="H159" s="16" t="s">
        <v>1308</v>
      </c>
      <c r="I159" s="16" t="s">
        <v>373</v>
      </c>
      <c r="J159" s="16" t="s">
        <v>1005</v>
      </c>
      <c r="K159" s="16" t="s">
        <v>1006</v>
      </c>
      <c r="L159" s="16" t="s">
        <v>1133</v>
      </c>
      <c r="M159" s="16" t="s">
        <v>1134</v>
      </c>
      <c r="N159" s="16" t="s">
        <v>375</v>
      </c>
      <c r="O159" s="16" t="s">
        <v>959</v>
      </c>
      <c r="P159" s="16"/>
      <c r="Q159" s="16"/>
      <c r="R159" s="17"/>
    </row>
    <row r="160" spans="1:18" ht="409.6" x14ac:dyDescent="0.3">
      <c r="A160" s="12" t="s">
        <v>1407</v>
      </c>
      <c r="B160" s="13" t="s">
        <v>504</v>
      </c>
      <c r="C160" s="13" t="s">
        <v>25</v>
      </c>
      <c r="D160" s="13" t="s">
        <v>505</v>
      </c>
      <c r="E160" s="13" t="s">
        <v>1408</v>
      </c>
      <c r="F160" s="13" t="s">
        <v>953</v>
      </c>
      <c r="G160" s="13" t="s">
        <v>46</v>
      </c>
      <c r="H160" s="13" t="s">
        <v>1409</v>
      </c>
      <c r="I160" s="13" t="s">
        <v>1410</v>
      </c>
      <c r="J160" s="13" t="s">
        <v>1411</v>
      </c>
      <c r="K160" s="13" t="s">
        <v>1412</v>
      </c>
      <c r="L160" s="13" t="s">
        <v>1413</v>
      </c>
      <c r="M160" s="13" t="s">
        <v>1414</v>
      </c>
      <c r="N160" s="13" t="s">
        <v>509</v>
      </c>
      <c r="O160" s="13" t="s">
        <v>959</v>
      </c>
      <c r="P160" s="13"/>
      <c r="Q160" s="13"/>
      <c r="R160" s="14"/>
    </row>
    <row r="161" spans="1:18" ht="409.6" x14ac:dyDescent="0.3">
      <c r="A161" s="15" t="s">
        <v>1415</v>
      </c>
      <c r="B161" s="16" t="s">
        <v>504</v>
      </c>
      <c r="C161" s="16" t="s">
        <v>25</v>
      </c>
      <c r="D161" s="16" t="s">
        <v>505</v>
      </c>
      <c r="E161" s="16" t="s">
        <v>1416</v>
      </c>
      <c r="F161" s="16" t="s">
        <v>339</v>
      </c>
      <c r="G161" s="16" t="s">
        <v>53</v>
      </c>
      <c r="H161" s="16" t="s">
        <v>1417</v>
      </c>
      <c r="I161" s="16" t="s">
        <v>1410</v>
      </c>
      <c r="J161" s="16" t="s">
        <v>1418</v>
      </c>
      <c r="K161" s="16" t="s">
        <v>964</v>
      </c>
      <c r="L161" s="16" t="s">
        <v>1413</v>
      </c>
      <c r="M161" s="16" t="s">
        <v>1414</v>
      </c>
      <c r="N161" s="16" t="s">
        <v>509</v>
      </c>
      <c r="O161" s="16" t="s">
        <v>959</v>
      </c>
      <c r="P161" s="16"/>
      <c r="Q161" s="16"/>
      <c r="R161" s="17"/>
    </row>
    <row r="162" spans="1:18" ht="409.6" x14ac:dyDescent="0.3">
      <c r="A162" s="12" t="s">
        <v>1419</v>
      </c>
      <c r="B162" s="13" t="s">
        <v>510</v>
      </c>
      <c r="C162" s="13" t="s">
        <v>25</v>
      </c>
      <c r="D162" s="13" t="s">
        <v>505</v>
      </c>
      <c r="E162" s="13" t="s">
        <v>1420</v>
      </c>
      <c r="F162" s="13" t="s">
        <v>52</v>
      </c>
      <c r="G162" s="13" t="s">
        <v>53</v>
      </c>
      <c r="H162" s="13" t="s">
        <v>1421</v>
      </c>
      <c r="I162" s="13" t="s">
        <v>1410</v>
      </c>
      <c r="J162" s="13" t="s">
        <v>968</v>
      </c>
      <c r="K162" s="13" t="s">
        <v>969</v>
      </c>
      <c r="L162" s="13" t="s">
        <v>1413</v>
      </c>
      <c r="M162" s="13" t="s">
        <v>1414</v>
      </c>
      <c r="N162" s="13" t="s">
        <v>509</v>
      </c>
      <c r="O162" s="13" t="s">
        <v>959</v>
      </c>
      <c r="P162" s="13"/>
      <c r="Q162" s="13"/>
      <c r="R162" s="14"/>
    </row>
    <row r="163" spans="1:18" ht="409.6" x14ac:dyDescent="0.3">
      <c r="A163" s="15" t="s">
        <v>1422</v>
      </c>
      <c r="B163" s="16" t="s">
        <v>510</v>
      </c>
      <c r="C163" s="16" t="s">
        <v>25</v>
      </c>
      <c r="D163" s="16" t="s">
        <v>505</v>
      </c>
      <c r="E163" s="16" t="s">
        <v>1423</v>
      </c>
      <c r="F163" s="16" t="s">
        <v>972</v>
      </c>
      <c r="G163" s="16" t="s">
        <v>53</v>
      </c>
      <c r="H163" s="16" t="s">
        <v>1424</v>
      </c>
      <c r="I163" s="16" t="s">
        <v>1410</v>
      </c>
      <c r="J163" s="16" t="s">
        <v>974</v>
      </c>
      <c r="K163" s="16" t="s">
        <v>975</v>
      </c>
      <c r="L163" s="16" t="s">
        <v>1413</v>
      </c>
      <c r="M163" s="16" t="s">
        <v>1414</v>
      </c>
      <c r="N163" s="16" t="s">
        <v>509</v>
      </c>
      <c r="O163" s="16" t="s">
        <v>959</v>
      </c>
      <c r="P163" s="16"/>
      <c r="Q163" s="16"/>
      <c r="R163" s="17"/>
    </row>
    <row r="164" spans="1:18" ht="409.6" x14ac:dyDescent="0.3">
      <c r="A164" s="12" t="s">
        <v>1425</v>
      </c>
      <c r="B164" s="13" t="s">
        <v>513</v>
      </c>
      <c r="C164" s="13" t="s">
        <v>25</v>
      </c>
      <c r="D164" s="13" t="s">
        <v>505</v>
      </c>
      <c r="E164" s="13" t="s">
        <v>514</v>
      </c>
      <c r="F164" s="13" t="s">
        <v>57</v>
      </c>
      <c r="G164" s="13" t="s">
        <v>46</v>
      </c>
      <c r="H164" s="13" t="s">
        <v>977</v>
      </c>
      <c r="I164" s="13" t="s">
        <v>1410</v>
      </c>
      <c r="J164" s="13" t="s">
        <v>1426</v>
      </c>
      <c r="K164" s="13" t="s">
        <v>1427</v>
      </c>
      <c r="L164" s="13" t="s">
        <v>1413</v>
      </c>
      <c r="M164" s="13" t="s">
        <v>1414</v>
      </c>
      <c r="N164" s="13" t="s">
        <v>516</v>
      </c>
      <c r="O164" s="13" t="s">
        <v>959</v>
      </c>
      <c r="P164" s="13"/>
      <c r="Q164" s="13"/>
      <c r="R164" s="14"/>
    </row>
    <row r="165" spans="1:18" ht="409.6" x14ac:dyDescent="0.3">
      <c r="A165" s="15" t="s">
        <v>1428</v>
      </c>
      <c r="B165" s="16" t="s">
        <v>517</v>
      </c>
      <c r="C165" s="16" t="s">
        <v>25</v>
      </c>
      <c r="D165" s="16" t="s">
        <v>505</v>
      </c>
      <c r="E165" s="16" t="s">
        <v>518</v>
      </c>
      <c r="F165" s="16" t="s">
        <v>57</v>
      </c>
      <c r="G165" s="16" t="s">
        <v>46</v>
      </c>
      <c r="H165" s="16" t="s">
        <v>1429</v>
      </c>
      <c r="I165" s="16" t="s">
        <v>1410</v>
      </c>
      <c r="J165" s="16" t="s">
        <v>1430</v>
      </c>
      <c r="K165" s="16" t="s">
        <v>1431</v>
      </c>
      <c r="L165" s="16" t="s">
        <v>1413</v>
      </c>
      <c r="M165" s="16" t="s">
        <v>1414</v>
      </c>
      <c r="N165" s="16" t="s">
        <v>520</v>
      </c>
      <c r="O165" s="16" t="s">
        <v>959</v>
      </c>
      <c r="P165" s="16"/>
      <c r="Q165" s="16"/>
      <c r="R165" s="17" t="s">
        <v>990</v>
      </c>
    </row>
    <row r="166" spans="1:18" ht="409.6" x14ac:dyDescent="0.3">
      <c r="A166" s="12" t="s">
        <v>1432</v>
      </c>
      <c r="B166" s="13" t="s">
        <v>521</v>
      </c>
      <c r="C166" s="13" t="s">
        <v>25</v>
      </c>
      <c r="D166" s="13" t="s">
        <v>505</v>
      </c>
      <c r="E166" s="13" t="s">
        <v>522</v>
      </c>
      <c r="F166" s="13" t="s">
        <v>57</v>
      </c>
      <c r="G166" s="13" t="s">
        <v>53</v>
      </c>
      <c r="H166" s="13" t="s">
        <v>977</v>
      </c>
      <c r="I166" s="13" t="s">
        <v>1410</v>
      </c>
      <c r="J166" s="13" t="s">
        <v>1433</v>
      </c>
      <c r="K166" s="13" t="s">
        <v>1434</v>
      </c>
      <c r="L166" s="13" t="s">
        <v>1413</v>
      </c>
      <c r="M166" s="13" t="s">
        <v>1414</v>
      </c>
      <c r="N166" s="13" t="s">
        <v>524</v>
      </c>
      <c r="O166" s="13" t="s">
        <v>959</v>
      </c>
      <c r="P166" s="13"/>
      <c r="Q166" s="13"/>
      <c r="R166" s="14"/>
    </row>
    <row r="167" spans="1:18" ht="409.6" x14ac:dyDescent="0.3">
      <c r="A167" s="15" t="s">
        <v>1435</v>
      </c>
      <c r="B167" s="16" t="s">
        <v>525</v>
      </c>
      <c r="C167" s="16" t="s">
        <v>25</v>
      </c>
      <c r="D167" s="16" t="s">
        <v>505</v>
      </c>
      <c r="E167" s="16" t="s">
        <v>526</v>
      </c>
      <c r="F167" s="16" t="s">
        <v>57</v>
      </c>
      <c r="G167" s="16" t="s">
        <v>53</v>
      </c>
      <c r="H167" s="16" t="s">
        <v>977</v>
      </c>
      <c r="I167" s="16" t="s">
        <v>1410</v>
      </c>
      <c r="J167" s="16" t="s">
        <v>1436</v>
      </c>
      <c r="K167" s="16" t="s">
        <v>1437</v>
      </c>
      <c r="L167" s="16" t="s">
        <v>1413</v>
      </c>
      <c r="M167" s="16" t="s">
        <v>1414</v>
      </c>
      <c r="N167" s="16" t="s">
        <v>528</v>
      </c>
      <c r="O167" s="16" t="s">
        <v>959</v>
      </c>
      <c r="P167" s="16"/>
      <c r="Q167" s="16"/>
      <c r="R167" s="17"/>
    </row>
    <row r="168" spans="1:18" ht="409.6" x14ac:dyDescent="0.3">
      <c r="A168" s="12" t="s">
        <v>1438</v>
      </c>
      <c r="B168" s="13" t="s">
        <v>529</v>
      </c>
      <c r="C168" s="13" t="s">
        <v>25</v>
      </c>
      <c r="D168" s="13" t="s">
        <v>505</v>
      </c>
      <c r="E168" s="13" t="s">
        <v>530</v>
      </c>
      <c r="F168" s="13" t="s">
        <v>45</v>
      </c>
      <c r="G168" s="13" t="s">
        <v>46</v>
      </c>
      <c r="H168" s="13" t="s">
        <v>977</v>
      </c>
      <c r="I168" s="13" t="s">
        <v>1410</v>
      </c>
      <c r="J168" s="13" t="s">
        <v>1439</v>
      </c>
      <c r="K168" s="13" t="s">
        <v>1440</v>
      </c>
      <c r="L168" s="13" t="s">
        <v>1413</v>
      </c>
      <c r="M168" s="13" t="s">
        <v>1414</v>
      </c>
      <c r="N168" s="13" t="s">
        <v>532</v>
      </c>
      <c r="O168" s="13" t="s">
        <v>959</v>
      </c>
      <c r="P168" s="13"/>
      <c r="Q168" s="13"/>
      <c r="R168" s="14"/>
    </row>
    <row r="169" spans="1:18" ht="409.6" x14ac:dyDescent="0.3">
      <c r="A169" s="15" t="s">
        <v>1441</v>
      </c>
      <c r="B169" s="16" t="s">
        <v>533</v>
      </c>
      <c r="C169" s="16" t="s">
        <v>25</v>
      </c>
      <c r="D169" s="16" t="s">
        <v>505</v>
      </c>
      <c r="E169" s="16" t="s">
        <v>534</v>
      </c>
      <c r="F169" s="16" t="s">
        <v>57</v>
      </c>
      <c r="G169" s="16" t="s">
        <v>46</v>
      </c>
      <c r="H169" s="16" t="s">
        <v>1442</v>
      </c>
      <c r="I169" s="16" t="s">
        <v>1410</v>
      </c>
      <c r="J169" s="16" t="s">
        <v>1443</v>
      </c>
      <c r="K169" s="16" t="s">
        <v>1444</v>
      </c>
      <c r="L169" s="16" t="s">
        <v>1413</v>
      </c>
      <c r="M169" s="16" t="s">
        <v>1414</v>
      </c>
      <c r="N169" s="16" t="s">
        <v>536</v>
      </c>
      <c r="O169" s="16" t="s">
        <v>959</v>
      </c>
      <c r="P169" s="16"/>
      <c r="Q169" s="16"/>
      <c r="R169" s="17" t="s">
        <v>990</v>
      </c>
    </row>
    <row r="170" spans="1:18" ht="409.6" x14ac:dyDescent="0.3">
      <c r="A170" s="12" t="s">
        <v>1445</v>
      </c>
      <c r="B170" s="13" t="s">
        <v>537</v>
      </c>
      <c r="C170" s="13" t="s">
        <v>25</v>
      </c>
      <c r="D170" s="13" t="s">
        <v>505</v>
      </c>
      <c r="E170" s="13" t="s">
        <v>538</v>
      </c>
      <c r="F170" s="13" t="s">
        <v>45</v>
      </c>
      <c r="G170" s="13" t="s">
        <v>53</v>
      </c>
      <c r="H170" s="13" t="s">
        <v>977</v>
      </c>
      <c r="I170" s="13" t="s">
        <v>1410</v>
      </c>
      <c r="J170" s="13" t="s">
        <v>1446</v>
      </c>
      <c r="K170" s="13" t="s">
        <v>1447</v>
      </c>
      <c r="L170" s="13" t="s">
        <v>1413</v>
      </c>
      <c r="M170" s="13" t="s">
        <v>1414</v>
      </c>
      <c r="N170" s="13" t="s">
        <v>540</v>
      </c>
      <c r="O170" s="13" t="s">
        <v>959</v>
      </c>
      <c r="P170" s="13"/>
      <c r="Q170" s="13"/>
      <c r="R170" s="14"/>
    </row>
    <row r="171" spans="1:18" ht="409.6" x14ac:dyDescent="0.3">
      <c r="A171" s="15" t="s">
        <v>1448</v>
      </c>
      <c r="B171" s="16" t="s">
        <v>541</v>
      </c>
      <c r="C171" s="16" t="s">
        <v>25</v>
      </c>
      <c r="D171" s="16" t="s">
        <v>505</v>
      </c>
      <c r="E171" s="16" t="s">
        <v>542</v>
      </c>
      <c r="F171" s="16" t="s">
        <v>57</v>
      </c>
      <c r="G171" s="16" t="s">
        <v>46</v>
      </c>
      <c r="H171" s="16" t="s">
        <v>1449</v>
      </c>
      <c r="I171" s="16" t="s">
        <v>1410</v>
      </c>
      <c r="J171" s="16" t="s">
        <v>1450</v>
      </c>
      <c r="K171" s="16" t="s">
        <v>1451</v>
      </c>
      <c r="L171" s="16" t="s">
        <v>1413</v>
      </c>
      <c r="M171" s="16" t="s">
        <v>1414</v>
      </c>
      <c r="N171" s="16" t="s">
        <v>544</v>
      </c>
      <c r="O171" s="16" t="s">
        <v>959</v>
      </c>
      <c r="P171" s="16"/>
      <c r="Q171" s="16"/>
      <c r="R171" s="17" t="s">
        <v>990</v>
      </c>
    </row>
    <row r="172" spans="1:18" ht="409.6" x14ac:dyDescent="0.3">
      <c r="A172" s="12" t="s">
        <v>1452</v>
      </c>
      <c r="B172" s="13" t="s">
        <v>545</v>
      </c>
      <c r="C172" s="13" t="s">
        <v>25</v>
      </c>
      <c r="D172" s="13" t="s">
        <v>505</v>
      </c>
      <c r="E172" s="13" t="s">
        <v>546</v>
      </c>
      <c r="F172" s="13" t="s">
        <v>339</v>
      </c>
      <c r="G172" s="13" t="s">
        <v>53</v>
      </c>
      <c r="H172" s="13" t="s">
        <v>1453</v>
      </c>
      <c r="I172" s="13" t="s">
        <v>1410</v>
      </c>
      <c r="J172" s="13" t="s">
        <v>1454</v>
      </c>
      <c r="K172" s="13" t="s">
        <v>1455</v>
      </c>
      <c r="L172" s="13" t="s">
        <v>1413</v>
      </c>
      <c r="M172" s="13" t="s">
        <v>1414</v>
      </c>
      <c r="N172" s="13" t="s">
        <v>548</v>
      </c>
      <c r="O172" s="13" t="s">
        <v>959</v>
      </c>
      <c r="P172" s="13"/>
      <c r="Q172" s="13"/>
      <c r="R172" s="14" t="s">
        <v>990</v>
      </c>
    </row>
    <row r="173" spans="1:18" ht="409.6" x14ac:dyDescent="0.3">
      <c r="A173" s="15" t="s">
        <v>1456</v>
      </c>
      <c r="B173" s="16" t="s">
        <v>549</v>
      </c>
      <c r="C173" s="16" t="s">
        <v>25</v>
      </c>
      <c r="D173" s="16" t="s">
        <v>505</v>
      </c>
      <c r="E173" s="16" t="s">
        <v>550</v>
      </c>
      <c r="F173" s="16" t="s">
        <v>339</v>
      </c>
      <c r="G173" s="16" t="s">
        <v>46</v>
      </c>
      <c r="H173" s="16" t="s">
        <v>1457</v>
      </c>
      <c r="I173" s="16" t="s">
        <v>1410</v>
      </c>
      <c r="J173" s="16" t="s">
        <v>1458</v>
      </c>
      <c r="K173" s="16" t="s">
        <v>1459</v>
      </c>
      <c r="L173" s="16" t="s">
        <v>1413</v>
      </c>
      <c r="M173" s="16" t="s">
        <v>1414</v>
      </c>
      <c r="N173" s="16" t="s">
        <v>552</v>
      </c>
      <c r="O173" s="16" t="s">
        <v>959</v>
      </c>
      <c r="P173" s="16"/>
      <c r="Q173" s="16"/>
      <c r="R173" s="17" t="s">
        <v>990</v>
      </c>
    </row>
    <row r="174" spans="1:18" ht="409.6" x14ac:dyDescent="0.3">
      <c r="A174" s="12" t="s">
        <v>1460</v>
      </c>
      <c r="B174" s="13" t="s">
        <v>553</v>
      </c>
      <c r="C174" s="13" t="s">
        <v>25</v>
      </c>
      <c r="D174" s="13" t="s">
        <v>505</v>
      </c>
      <c r="E174" s="13" t="s">
        <v>554</v>
      </c>
      <c r="F174" s="13" t="s">
        <v>57</v>
      </c>
      <c r="G174" s="13" t="s">
        <v>46</v>
      </c>
      <c r="H174" s="13" t="s">
        <v>1461</v>
      </c>
      <c r="I174" s="13" t="s">
        <v>1410</v>
      </c>
      <c r="J174" s="13" t="s">
        <v>1462</v>
      </c>
      <c r="K174" s="13" t="s">
        <v>1463</v>
      </c>
      <c r="L174" s="13" t="s">
        <v>1413</v>
      </c>
      <c r="M174" s="13" t="s">
        <v>1414</v>
      </c>
      <c r="N174" s="13" t="s">
        <v>556</v>
      </c>
      <c r="O174" s="13" t="s">
        <v>959</v>
      </c>
      <c r="P174" s="13"/>
      <c r="Q174" s="13"/>
      <c r="R174" s="14" t="s">
        <v>990</v>
      </c>
    </row>
    <row r="175" spans="1:18" ht="409.6" x14ac:dyDescent="0.3">
      <c r="A175" s="15" t="s">
        <v>1464</v>
      </c>
      <c r="B175" s="16" t="s">
        <v>557</v>
      </c>
      <c r="C175" s="16" t="s">
        <v>25</v>
      </c>
      <c r="D175" s="16" t="s">
        <v>505</v>
      </c>
      <c r="E175" s="16" t="s">
        <v>558</v>
      </c>
      <c r="F175" s="16" t="s">
        <v>57</v>
      </c>
      <c r="G175" s="16" t="s">
        <v>46</v>
      </c>
      <c r="H175" s="16" t="s">
        <v>1465</v>
      </c>
      <c r="I175" s="16" t="s">
        <v>1410</v>
      </c>
      <c r="J175" s="16" t="s">
        <v>1466</v>
      </c>
      <c r="K175" s="16" t="s">
        <v>1467</v>
      </c>
      <c r="L175" s="16" t="s">
        <v>1413</v>
      </c>
      <c r="M175" s="16" t="s">
        <v>1414</v>
      </c>
      <c r="N175" s="16" t="s">
        <v>560</v>
      </c>
      <c r="O175" s="16" t="s">
        <v>959</v>
      </c>
      <c r="P175" s="16"/>
      <c r="Q175" s="16"/>
      <c r="R175" s="17" t="s">
        <v>990</v>
      </c>
    </row>
    <row r="176" spans="1:18" ht="409.6" x14ac:dyDescent="0.3">
      <c r="A176" s="12" t="s">
        <v>1468</v>
      </c>
      <c r="B176" s="13" t="s">
        <v>561</v>
      </c>
      <c r="C176" s="13" t="s">
        <v>25</v>
      </c>
      <c r="D176" s="13" t="s">
        <v>505</v>
      </c>
      <c r="E176" s="13" t="s">
        <v>562</v>
      </c>
      <c r="F176" s="13" t="s">
        <v>52</v>
      </c>
      <c r="G176" s="13" t="s">
        <v>53</v>
      </c>
      <c r="H176" s="13" t="s">
        <v>977</v>
      </c>
      <c r="I176" s="13" t="s">
        <v>1410</v>
      </c>
      <c r="J176" s="13" t="s">
        <v>1469</v>
      </c>
      <c r="K176" s="13" t="s">
        <v>1470</v>
      </c>
      <c r="L176" s="13" t="s">
        <v>1413</v>
      </c>
      <c r="M176" s="13" t="s">
        <v>1414</v>
      </c>
      <c r="N176" s="13" t="s">
        <v>564</v>
      </c>
      <c r="O176" s="13" t="s">
        <v>959</v>
      </c>
      <c r="P176" s="13"/>
      <c r="Q176" s="13"/>
      <c r="R176" s="14"/>
    </row>
    <row r="177" spans="1:18" ht="409.6" x14ac:dyDescent="0.3">
      <c r="A177" s="15" t="s">
        <v>1471</v>
      </c>
      <c r="B177" s="16" t="s">
        <v>565</v>
      </c>
      <c r="C177" s="16" t="s">
        <v>25</v>
      </c>
      <c r="D177" s="16" t="s">
        <v>505</v>
      </c>
      <c r="E177" s="16" t="s">
        <v>1472</v>
      </c>
      <c r="F177" s="16" t="s">
        <v>953</v>
      </c>
      <c r="G177" s="16" t="s">
        <v>53</v>
      </c>
      <c r="H177" s="16" t="s">
        <v>1473</v>
      </c>
      <c r="I177" s="16" t="s">
        <v>1410</v>
      </c>
      <c r="J177" s="16" t="s">
        <v>1000</v>
      </c>
      <c r="K177" s="16" t="s">
        <v>1001</v>
      </c>
      <c r="L177" s="16" t="s">
        <v>1413</v>
      </c>
      <c r="M177" s="16" t="s">
        <v>1414</v>
      </c>
      <c r="N177" s="16" t="s">
        <v>509</v>
      </c>
      <c r="O177" s="16" t="s">
        <v>959</v>
      </c>
      <c r="P177" s="16"/>
      <c r="Q177" s="16"/>
      <c r="R177" s="17"/>
    </row>
    <row r="178" spans="1:18" ht="409.6" x14ac:dyDescent="0.3">
      <c r="A178" s="12" t="s">
        <v>1474</v>
      </c>
      <c r="B178" s="13" t="s">
        <v>565</v>
      </c>
      <c r="C178" s="13" t="s">
        <v>25</v>
      </c>
      <c r="D178" s="13" t="s">
        <v>505</v>
      </c>
      <c r="E178" s="13" t="s">
        <v>1475</v>
      </c>
      <c r="F178" s="13" t="s">
        <v>339</v>
      </c>
      <c r="G178" s="13" t="s">
        <v>53</v>
      </c>
      <c r="H178" s="13" t="s">
        <v>1476</v>
      </c>
      <c r="I178" s="13" t="s">
        <v>1410</v>
      </c>
      <c r="J178" s="13" t="s">
        <v>1005</v>
      </c>
      <c r="K178" s="13" t="s">
        <v>1006</v>
      </c>
      <c r="L178" s="13" t="s">
        <v>1413</v>
      </c>
      <c r="M178" s="13" t="s">
        <v>1414</v>
      </c>
      <c r="N178" s="13" t="s">
        <v>509</v>
      </c>
      <c r="O178" s="13" t="s">
        <v>959</v>
      </c>
      <c r="P178" s="13"/>
      <c r="Q178" s="13"/>
      <c r="R178" s="14"/>
    </row>
    <row r="179" spans="1:18" ht="345" x14ac:dyDescent="0.3">
      <c r="A179" s="15" t="s">
        <v>1477</v>
      </c>
      <c r="B179" s="16" t="s">
        <v>568</v>
      </c>
      <c r="C179" s="16" t="s">
        <v>25</v>
      </c>
      <c r="D179" s="16" t="s">
        <v>505</v>
      </c>
      <c r="E179" s="16" t="s">
        <v>1478</v>
      </c>
      <c r="F179" s="16" t="s">
        <v>953</v>
      </c>
      <c r="G179" s="16" t="s">
        <v>46</v>
      </c>
      <c r="H179" s="16" t="s">
        <v>1479</v>
      </c>
      <c r="I179" s="16" t="s">
        <v>1480</v>
      </c>
      <c r="J179" s="16" t="s">
        <v>1481</v>
      </c>
      <c r="K179" s="16" t="s">
        <v>1412</v>
      </c>
      <c r="L179" s="16" t="s">
        <v>1482</v>
      </c>
      <c r="M179" s="16" t="s">
        <v>1483</v>
      </c>
      <c r="N179" s="16" t="s">
        <v>571</v>
      </c>
      <c r="O179" s="16" t="s">
        <v>959</v>
      </c>
      <c r="P179" s="16"/>
      <c r="Q179" s="16"/>
      <c r="R179" s="17"/>
    </row>
    <row r="180" spans="1:18" ht="409.6" x14ac:dyDescent="0.3">
      <c r="A180" s="12" t="s">
        <v>1484</v>
      </c>
      <c r="B180" s="13" t="s">
        <v>568</v>
      </c>
      <c r="C180" s="13" t="s">
        <v>25</v>
      </c>
      <c r="D180" s="13" t="s">
        <v>505</v>
      </c>
      <c r="E180" s="13" t="s">
        <v>1485</v>
      </c>
      <c r="F180" s="13" t="s">
        <v>339</v>
      </c>
      <c r="G180" s="13" t="s">
        <v>53</v>
      </c>
      <c r="H180" s="13" t="s">
        <v>1486</v>
      </c>
      <c r="I180" s="13" t="s">
        <v>1480</v>
      </c>
      <c r="J180" s="13" t="s">
        <v>1487</v>
      </c>
      <c r="K180" s="13" t="s">
        <v>964</v>
      </c>
      <c r="L180" s="13" t="s">
        <v>1482</v>
      </c>
      <c r="M180" s="13" t="s">
        <v>1483</v>
      </c>
      <c r="N180" s="13" t="s">
        <v>571</v>
      </c>
      <c r="O180" s="13" t="s">
        <v>959</v>
      </c>
      <c r="P180" s="13"/>
      <c r="Q180" s="13"/>
      <c r="R180" s="14"/>
    </row>
    <row r="181" spans="1:18" ht="262.2" x14ac:dyDescent="0.3">
      <c r="A181" s="15" t="s">
        <v>1488</v>
      </c>
      <c r="B181" s="16" t="s">
        <v>572</v>
      </c>
      <c r="C181" s="16" t="s">
        <v>25</v>
      </c>
      <c r="D181" s="16" t="s">
        <v>505</v>
      </c>
      <c r="E181" s="16" t="s">
        <v>1489</v>
      </c>
      <c r="F181" s="16" t="s">
        <v>52</v>
      </c>
      <c r="G181" s="16" t="s">
        <v>53</v>
      </c>
      <c r="H181" s="16" t="s">
        <v>1490</v>
      </c>
      <c r="I181" s="16" t="s">
        <v>1480</v>
      </c>
      <c r="J181" s="16" t="s">
        <v>968</v>
      </c>
      <c r="K181" s="16" t="s">
        <v>969</v>
      </c>
      <c r="L181" s="16" t="s">
        <v>1482</v>
      </c>
      <c r="M181" s="16" t="s">
        <v>1483</v>
      </c>
      <c r="N181" s="16" t="s">
        <v>571</v>
      </c>
      <c r="O181" s="16" t="s">
        <v>959</v>
      </c>
      <c r="P181" s="16"/>
      <c r="Q181" s="16"/>
      <c r="R181" s="17"/>
    </row>
    <row r="182" spans="1:18" ht="303.60000000000002" x14ac:dyDescent="0.3">
      <c r="A182" s="12" t="s">
        <v>1491</v>
      </c>
      <c r="B182" s="13" t="s">
        <v>572</v>
      </c>
      <c r="C182" s="13" t="s">
        <v>25</v>
      </c>
      <c r="D182" s="13" t="s">
        <v>505</v>
      </c>
      <c r="E182" s="13" t="s">
        <v>1492</v>
      </c>
      <c r="F182" s="13" t="s">
        <v>972</v>
      </c>
      <c r="G182" s="13" t="s">
        <v>53</v>
      </c>
      <c r="H182" s="13" t="s">
        <v>1493</v>
      </c>
      <c r="I182" s="13" t="s">
        <v>1480</v>
      </c>
      <c r="J182" s="13" t="s">
        <v>974</v>
      </c>
      <c r="K182" s="13" t="s">
        <v>975</v>
      </c>
      <c r="L182" s="13" t="s">
        <v>1482</v>
      </c>
      <c r="M182" s="13" t="s">
        <v>1483</v>
      </c>
      <c r="N182" s="13" t="s">
        <v>571</v>
      </c>
      <c r="O182" s="13" t="s">
        <v>959</v>
      </c>
      <c r="P182" s="13"/>
      <c r="Q182" s="13"/>
      <c r="R182" s="14"/>
    </row>
    <row r="183" spans="1:18" ht="409.6" x14ac:dyDescent="0.3">
      <c r="A183" s="15" t="s">
        <v>1494</v>
      </c>
      <c r="B183" s="16" t="s">
        <v>574</v>
      </c>
      <c r="C183" s="16" t="s">
        <v>25</v>
      </c>
      <c r="D183" s="16" t="s">
        <v>505</v>
      </c>
      <c r="E183" s="16" t="s">
        <v>575</v>
      </c>
      <c r="F183" s="16" t="s">
        <v>57</v>
      </c>
      <c r="G183" s="16" t="s">
        <v>46</v>
      </c>
      <c r="H183" s="16" t="s">
        <v>977</v>
      </c>
      <c r="I183" s="16" t="s">
        <v>1480</v>
      </c>
      <c r="J183" s="16" t="s">
        <v>1495</v>
      </c>
      <c r="K183" s="16" t="s">
        <v>1427</v>
      </c>
      <c r="L183" s="16" t="s">
        <v>1482</v>
      </c>
      <c r="M183" s="16" t="s">
        <v>1483</v>
      </c>
      <c r="N183" s="16" t="s">
        <v>576</v>
      </c>
      <c r="O183" s="16" t="s">
        <v>959</v>
      </c>
      <c r="P183" s="16"/>
      <c r="Q183" s="16"/>
      <c r="R183" s="17"/>
    </row>
    <row r="184" spans="1:18" ht="409.6" x14ac:dyDescent="0.3">
      <c r="A184" s="12" t="s">
        <v>1496</v>
      </c>
      <c r="B184" s="13" t="s">
        <v>577</v>
      </c>
      <c r="C184" s="13" t="s">
        <v>25</v>
      </c>
      <c r="D184" s="13" t="s">
        <v>505</v>
      </c>
      <c r="E184" s="13" t="s">
        <v>578</v>
      </c>
      <c r="F184" s="13" t="s">
        <v>45</v>
      </c>
      <c r="G184" s="13" t="s">
        <v>46</v>
      </c>
      <c r="H184" s="13" t="s">
        <v>977</v>
      </c>
      <c r="I184" s="13" t="s">
        <v>1480</v>
      </c>
      <c r="J184" s="13" t="s">
        <v>1497</v>
      </c>
      <c r="K184" s="13" t="s">
        <v>1498</v>
      </c>
      <c r="L184" s="13" t="s">
        <v>1482</v>
      </c>
      <c r="M184" s="13" t="s">
        <v>1483</v>
      </c>
      <c r="N184" s="13" t="s">
        <v>580</v>
      </c>
      <c r="O184" s="13" t="s">
        <v>959</v>
      </c>
      <c r="P184" s="13"/>
      <c r="Q184" s="13"/>
      <c r="R184" s="14"/>
    </row>
    <row r="185" spans="1:18" ht="409.6" x14ac:dyDescent="0.3">
      <c r="A185" s="15" t="s">
        <v>1499</v>
      </c>
      <c r="B185" s="16" t="s">
        <v>581</v>
      </c>
      <c r="C185" s="16" t="s">
        <v>25</v>
      </c>
      <c r="D185" s="16" t="s">
        <v>505</v>
      </c>
      <c r="E185" s="16" t="s">
        <v>582</v>
      </c>
      <c r="F185" s="16" t="s">
        <v>52</v>
      </c>
      <c r="G185" s="16" t="s">
        <v>53</v>
      </c>
      <c r="H185" s="16" t="s">
        <v>977</v>
      </c>
      <c r="I185" s="16" t="s">
        <v>1480</v>
      </c>
      <c r="J185" s="16" t="s">
        <v>1500</v>
      </c>
      <c r="K185" s="16" t="s">
        <v>1501</v>
      </c>
      <c r="L185" s="16" t="s">
        <v>1482</v>
      </c>
      <c r="M185" s="16" t="s">
        <v>1483</v>
      </c>
      <c r="N185" s="16" t="s">
        <v>584</v>
      </c>
      <c r="O185" s="16" t="s">
        <v>959</v>
      </c>
      <c r="P185" s="16"/>
      <c r="Q185" s="16"/>
      <c r="R185" s="17"/>
    </row>
    <row r="186" spans="1:18" ht="409.6" x14ac:dyDescent="0.3">
      <c r="A186" s="12" t="s">
        <v>1502</v>
      </c>
      <c r="B186" s="13" t="s">
        <v>585</v>
      </c>
      <c r="C186" s="13" t="s">
        <v>25</v>
      </c>
      <c r="D186" s="13" t="s">
        <v>505</v>
      </c>
      <c r="E186" s="13" t="s">
        <v>586</v>
      </c>
      <c r="F186" s="13" t="s">
        <v>57</v>
      </c>
      <c r="G186" s="13" t="s">
        <v>46</v>
      </c>
      <c r="H186" s="13" t="s">
        <v>977</v>
      </c>
      <c r="I186" s="13" t="s">
        <v>1480</v>
      </c>
      <c r="J186" s="13" t="s">
        <v>1503</v>
      </c>
      <c r="K186" s="13" t="s">
        <v>1504</v>
      </c>
      <c r="L186" s="13" t="s">
        <v>1482</v>
      </c>
      <c r="M186" s="13" t="s">
        <v>1483</v>
      </c>
      <c r="N186" s="13" t="s">
        <v>588</v>
      </c>
      <c r="O186" s="13" t="s">
        <v>959</v>
      </c>
      <c r="P186" s="13"/>
      <c r="Q186" s="13"/>
      <c r="R186" s="14"/>
    </row>
    <row r="187" spans="1:18" ht="409.6" x14ac:dyDescent="0.3">
      <c r="A187" s="15" t="s">
        <v>1505</v>
      </c>
      <c r="B187" s="16" t="s">
        <v>589</v>
      </c>
      <c r="C187" s="16" t="s">
        <v>25</v>
      </c>
      <c r="D187" s="16" t="s">
        <v>505</v>
      </c>
      <c r="E187" s="16" t="s">
        <v>590</v>
      </c>
      <c r="F187" s="16" t="s">
        <v>57</v>
      </c>
      <c r="G187" s="16" t="s">
        <v>46</v>
      </c>
      <c r="H187" s="16" t="s">
        <v>977</v>
      </c>
      <c r="I187" s="16" t="s">
        <v>1480</v>
      </c>
      <c r="J187" s="16" t="s">
        <v>1506</v>
      </c>
      <c r="K187" s="16" t="s">
        <v>1507</v>
      </c>
      <c r="L187" s="16" t="s">
        <v>1482</v>
      </c>
      <c r="M187" s="16" t="s">
        <v>1483</v>
      </c>
      <c r="N187" s="16" t="s">
        <v>592</v>
      </c>
      <c r="O187" s="16" t="s">
        <v>959</v>
      </c>
      <c r="P187" s="16"/>
      <c r="Q187" s="16"/>
      <c r="R187" s="17"/>
    </row>
    <row r="188" spans="1:18" ht="409.6" x14ac:dyDescent="0.3">
      <c r="A188" s="12" t="s">
        <v>1508</v>
      </c>
      <c r="B188" s="13" t="s">
        <v>593</v>
      </c>
      <c r="C188" s="13" t="s">
        <v>25</v>
      </c>
      <c r="D188" s="13" t="s">
        <v>505</v>
      </c>
      <c r="E188" s="13" t="s">
        <v>594</v>
      </c>
      <c r="F188" s="13" t="s">
        <v>45</v>
      </c>
      <c r="G188" s="13" t="s">
        <v>46</v>
      </c>
      <c r="H188" s="13" t="s">
        <v>1509</v>
      </c>
      <c r="I188" s="13" t="s">
        <v>1480</v>
      </c>
      <c r="J188" s="13" t="s">
        <v>1510</v>
      </c>
      <c r="K188" s="13" t="s">
        <v>1511</v>
      </c>
      <c r="L188" s="13" t="s">
        <v>1482</v>
      </c>
      <c r="M188" s="13" t="s">
        <v>1483</v>
      </c>
      <c r="N188" s="13" t="s">
        <v>596</v>
      </c>
      <c r="O188" s="13" t="s">
        <v>959</v>
      </c>
      <c r="P188" s="13"/>
      <c r="Q188" s="13"/>
      <c r="R188" s="14" t="s">
        <v>990</v>
      </c>
    </row>
    <row r="189" spans="1:18" ht="409.6" x14ac:dyDescent="0.3">
      <c r="A189" s="15" t="s">
        <v>1512</v>
      </c>
      <c r="B189" s="16" t="s">
        <v>597</v>
      </c>
      <c r="C189" s="16" t="s">
        <v>25</v>
      </c>
      <c r="D189" s="16" t="s">
        <v>505</v>
      </c>
      <c r="E189" s="16" t="s">
        <v>598</v>
      </c>
      <c r="F189" s="16" t="s">
        <v>45</v>
      </c>
      <c r="G189" s="16" t="s">
        <v>46</v>
      </c>
      <c r="H189" s="16" t="s">
        <v>1513</v>
      </c>
      <c r="I189" s="16" t="s">
        <v>1480</v>
      </c>
      <c r="J189" s="16" t="s">
        <v>1514</v>
      </c>
      <c r="K189" s="16" t="s">
        <v>1515</v>
      </c>
      <c r="L189" s="16" t="s">
        <v>1482</v>
      </c>
      <c r="M189" s="16" t="s">
        <v>1483</v>
      </c>
      <c r="N189" s="16" t="s">
        <v>600</v>
      </c>
      <c r="O189" s="16" t="s">
        <v>959</v>
      </c>
      <c r="P189" s="16"/>
      <c r="Q189" s="16"/>
      <c r="R189" s="17" t="s">
        <v>990</v>
      </c>
    </row>
    <row r="190" spans="1:18" ht="409.6" x14ac:dyDescent="0.3">
      <c r="A190" s="12" t="s">
        <v>1516</v>
      </c>
      <c r="B190" s="13" t="s">
        <v>601</v>
      </c>
      <c r="C190" s="13" t="s">
        <v>25</v>
      </c>
      <c r="D190" s="13" t="s">
        <v>505</v>
      </c>
      <c r="E190" s="13" t="s">
        <v>602</v>
      </c>
      <c r="F190" s="13" t="s">
        <v>45</v>
      </c>
      <c r="G190" s="13" t="s">
        <v>53</v>
      </c>
      <c r="H190" s="13" t="s">
        <v>977</v>
      </c>
      <c r="I190" s="13" t="s">
        <v>1480</v>
      </c>
      <c r="J190" s="13" t="s">
        <v>1517</v>
      </c>
      <c r="K190" s="13" t="s">
        <v>1518</v>
      </c>
      <c r="L190" s="13" t="s">
        <v>1482</v>
      </c>
      <c r="M190" s="13" t="s">
        <v>1483</v>
      </c>
      <c r="N190" s="13" t="s">
        <v>604</v>
      </c>
      <c r="O190" s="13" t="s">
        <v>959</v>
      </c>
      <c r="P190" s="13"/>
      <c r="Q190" s="13"/>
      <c r="R190" s="14"/>
    </row>
    <row r="191" spans="1:18" ht="289.8" x14ac:dyDescent="0.3">
      <c r="A191" s="15" t="s">
        <v>1519</v>
      </c>
      <c r="B191" s="16" t="s">
        <v>605</v>
      </c>
      <c r="C191" s="16" t="s">
        <v>25</v>
      </c>
      <c r="D191" s="16" t="s">
        <v>505</v>
      </c>
      <c r="E191" s="16" t="s">
        <v>1520</v>
      </c>
      <c r="F191" s="16" t="s">
        <v>953</v>
      </c>
      <c r="G191" s="16" t="s">
        <v>53</v>
      </c>
      <c r="H191" s="16" t="s">
        <v>1521</v>
      </c>
      <c r="I191" s="16" t="s">
        <v>1480</v>
      </c>
      <c r="J191" s="16" t="s">
        <v>1000</v>
      </c>
      <c r="K191" s="16" t="s">
        <v>1001</v>
      </c>
      <c r="L191" s="16" t="s">
        <v>1482</v>
      </c>
      <c r="M191" s="16" t="s">
        <v>1483</v>
      </c>
      <c r="N191" s="16" t="s">
        <v>571</v>
      </c>
      <c r="O191" s="16" t="s">
        <v>959</v>
      </c>
      <c r="P191" s="16"/>
      <c r="Q191" s="16"/>
      <c r="R191" s="17"/>
    </row>
    <row r="192" spans="1:18" ht="345" x14ac:dyDescent="0.3">
      <c r="A192" s="12" t="s">
        <v>1522</v>
      </c>
      <c r="B192" s="13" t="s">
        <v>605</v>
      </c>
      <c r="C192" s="13" t="s">
        <v>25</v>
      </c>
      <c r="D192" s="13" t="s">
        <v>505</v>
      </c>
      <c r="E192" s="13" t="s">
        <v>1523</v>
      </c>
      <c r="F192" s="13" t="s">
        <v>339</v>
      </c>
      <c r="G192" s="13" t="s">
        <v>53</v>
      </c>
      <c r="H192" s="13" t="s">
        <v>1524</v>
      </c>
      <c r="I192" s="13" t="s">
        <v>1480</v>
      </c>
      <c r="J192" s="13" t="s">
        <v>1005</v>
      </c>
      <c r="K192" s="13" t="s">
        <v>1006</v>
      </c>
      <c r="L192" s="13" t="s">
        <v>1482</v>
      </c>
      <c r="M192" s="13" t="s">
        <v>1483</v>
      </c>
      <c r="N192" s="13" t="s">
        <v>571</v>
      </c>
      <c r="O192" s="13" t="s">
        <v>959</v>
      </c>
      <c r="P192" s="13"/>
      <c r="Q192" s="13"/>
      <c r="R192" s="14"/>
    </row>
    <row r="193" spans="1:18" ht="345" x14ac:dyDescent="0.3">
      <c r="A193" s="15" t="s">
        <v>1525</v>
      </c>
      <c r="B193" s="16" t="s">
        <v>607</v>
      </c>
      <c r="C193" s="16" t="s">
        <v>25</v>
      </c>
      <c r="D193" s="16" t="s">
        <v>505</v>
      </c>
      <c r="E193" s="16" t="s">
        <v>1526</v>
      </c>
      <c r="F193" s="16" t="s">
        <v>953</v>
      </c>
      <c r="G193" s="16" t="s">
        <v>46</v>
      </c>
      <c r="H193" s="16" t="s">
        <v>1527</v>
      </c>
      <c r="I193" s="16" t="s">
        <v>1528</v>
      </c>
      <c r="J193" s="16" t="s">
        <v>1529</v>
      </c>
      <c r="K193" s="16" t="s">
        <v>1412</v>
      </c>
      <c r="L193" s="16" t="s">
        <v>1530</v>
      </c>
      <c r="M193" s="16" t="s">
        <v>1483</v>
      </c>
      <c r="N193" s="16" t="s">
        <v>610</v>
      </c>
      <c r="O193" s="16" t="s">
        <v>959</v>
      </c>
      <c r="P193" s="16"/>
      <c r="Q193" s="16"/>
      <c r="R193" s="17"/>
    </row>
    <row r="194" spans="1:18" ht="409.6" x14ac:dyDescent="0.3">
      <c r="A194" s="12" t="s">
        <v>1531</v>
      </c>
      <c r="B194" s="13" t="s">
        <v>607</v>
      </c>
      <c r="C194" s="13" t="s">
        <v>25</v>
      </c>
      <c r="D194" s="13" t="s">
        <v>505</v>
      </c>
      <c r="E194" s="13" t="s">
        <v>1532</v>
      </c>
      <c r="F194" s="13" t="s">
        <v>339</v>
      </c>
      <c r="G194" s="13" t="s">
        <v>53</v>
      </c>
      <c r="H194" s="13" t="s">
        <v>1533</v>
      </c>
      <c r="I194" s="13" t="s">
        <v>1528</v>
      </c>
      <c r="J194" s="13" t="s">
        <v>1534</v>
      </c>
      <c r="K194" s="13" t="s">
        <v>964</v>
      </c>
      <c r="L194" s="13" t="s">
        <v>1530</v>
      </c>
      <c r="M194" s="13" t="s">
        <v>1483</v>
      </c>
      <c r="N194" s="13" t="s">
        <v>610</v>
      </c>
      <c r="O194" s="13" t="s">
        <v>959</v>
      </c>
      <c r="P194" s="13"/>
      <c r="Q194" s="13"/>
      <c r="R194" s="14"/>
    </row>
    <row r="195" spans="1:18" ht="345" x14ac:dyDescent="0.3">
      <c r="A195" s="15" t="s">
        <v>1535</v>
      </c>
      <c r="B195" s="16" t="s">
        <v>611</v>
      </c>
      <c r="C195" s="16" t="s">
        <v>25</v>
      </c>
      <c r="D195" s="16" t="s">
        <v>505</v>
      </c>
      <c r="E195" s="16" t="s">
        <v>1536</v>
      </c>
      <c r="F195" s="16" t="s">
        <v>52</v>
      </c>
      <c r="G195" s="16" t="s">
        <v>53</v>
      </c>
      <c r="H195" s="16" t="s">
        <v>1537</v>
      </c>
      <c r="I195" s="16" t="s">
        <v>1528</v>
      </c>
      <c r="J195" s="16" t="s">
        <v>968</v>
      </c>
      <c r="K195" s="16" t="s">
        <v>969</v>
      </c>
      <c r="L195" s="16" t="s">
        <v>1530</v>
      </c>
      <c r="M195" s="16" t="s">
        <v>1483</v>
      </c>
      <c r="N195" s="16" t="s">
        <v>610</v>
      </c>
      <c r="O195" s="16" t="s">
        <v>959</v>
      </c>
      <c r="P195" s="16"/>
      <c r="Q195" s="16"/>
      <c r="R195" s="17"/>
    </row>
    <row r="196" spans="1:18" ht="345" x14ac:dyDescent="0.3">
      <c r="A196" s="12" t="s">
        <v>1538</v>
      </c>
      <c r="B196" s="13" t="s">
        <v>611</v>
      </c>
      <c r="C196" s="13" t="s">
        <v>25</v>
      </c>
      <c r="D196" s="13" t="s">
        <v>505</v>
      </c>
      <c r="E196" s="13" t="s">
        <v>1539</v>
      </c>
      <c r="F196" s="13" t="s">
        <v>972</v>
      </c>
      <c r="G196" s="13" t="s">
        <v>53</v>
      </c>
      <c r="H196" s="13" t="s">
        <v>1540</v>
      </c>
      <c r="I196" s="13" t="s">
        <v>1528</v>
      </c>
      <c r="J196" s="13" t="s">
        <v>974</v>
      </c>
      <c r="K196" s="13" t="s">
        <v>975</v>
      </c>
      <c r="L196" s="13" t="s">
        <v>1530</v>
      </c>
      <c r="M196" s="13" t="s">
        <v>1483</v>
      </c>
      <c r="N196" s="13" t="s">
        <v>610</v>
      </c>
      <c r="O196" s="13" t="s">
        <v>959</v>
      </c>
      <c r="P196" s="13"/>
      <c r="Q196" s="13"/>
      <c r="R196" s="14"/>
    </row>
    <row r="197" spans="1:18" ht="409.6" x14ac:dyDescent="0.3">
      <c r="A197" s="15" t="s">
        <v>1541</v>
      </c>
      <c r="B197" s="16" t="s">
        <v>613</v>
      </c>
      <c r="C197" s="16" t="s">
        <v>25</v>
      </c>
      <c r="D197" s="16" t="s">
        <v>505</v>
      </c>
      <c r="E197" s="16" t="s">
        <v>614</v>
      </c>
      <c r="F197" s="16" t="s">
        <v>57</v>
      </c>
      <c r="G197" s="16" t="s">
        <v>46</v>
      </c>
      <c r="H197" s="16" t="s">
        <v>977</v>
      </c>
      <c r="I197" s="16" t="s">
        <v>1528</v>
      </c>
      <c r="J197" s="16" t="s">
        <v>1542</v>
      </c>
      <c r="K197" s="16" t="s">
        <v>1427</v>
      </c>
      <c r="L197" s="16" t="s">
        <v>1530</v>
      </c>
      <c r="M197" s="16" t="s">
        <v>1483</v>
      </c>
      <c r="N197" s="16" t="s">
        <v>615</v>
      </c>
      <c r="O197" s="16" t="s">
        <v>959</v>
      </c>
      <c r="P197" s="16"/>
      <c r="Q197" s="16"/>
      <c r="R197" s="17"/>
    </row>
    <row r="198" spans="1:18" ht="409.6" x14ac:dyDescent="0.3">
      <c r="A198" s="12" t="s">
        <v>1543</v>
      </c>
      <c r="B198" s="13" t="s">
        <v>616</v>
      </c>
      <c r="C198" s="13" t="s">
        <v>25</v>
      </c>
      <c r="D198" s="13" t="s">
        <v>505</v>
      </c>
      <c r="E198" s="13" t="s">
        <v>617</v>
      </c>
      <c r="F198" s="13" t="s">
        <v>45</v>
      </c>
      <c r="G198" s="13" t="s">
        <v>46</v>
      </c>
      <c r="H198" s="13" t="s">
        <v>977</v>
      </c>
      <c r="I198" s="13" t="s">
        <v>1528</v>
      </c>
      <c r="J198" s="13" t="s">
        <v>1544</v>
      </c>
      <c r="K198" s="13" t="s">
        <v>1545</v>
      </c>
      <c r="L198" s="13" t="s">
        <v>1530</v>
      </c>
      <c r="M198" s="13" t="s">
        <v>1483</v>
      </c>
      <c r="N198" s="13" t="s">
        <v>619</v>
      </c>
      <c r="O198" s="13" t="s">
        <v>959</v>
      </c>
      <c r="P198" s="13"/>
      <c r="Q198" s="13"/>
      <c r="R198" s="14"/>
    </row>
    <row r="199" spans="1:18" ht="409.6" x14ac:dyDescent="0.3">
      <c r="A199" s="15" t="s">
        <v>1546</v>
      </c>
      <c r="B199" s="16" t="s">
        <v>620</v>
      </c>
      <c r="C199" s="16" t="s">
        <v>25</v>
      </c>
      <c r="D199" s="16" t="s">
        <v>505</v>
      </c>
      <c r="E199" s="16" t="s">
        <v>621</v>
      </c>
      <c r="F199" s="16" t="s">
        <v>57</v>
      </c>
      <c r="G199" s="16" t="s">
        <v>46</v>
      </c>
      <c r="H199" s="16" t="s">
        <v>977</v>
      </c>
      <c r="I199" s="16" t="s">
        <v>1528</v>
      </c>
      <c r="J199" s="16" t="s">
        <v>1547</v>
      </c>
      <c r="K199" s="16" t="s">
        <v>1548</v>
      </c>
      <c r="L199" s="16" t="s">
        <v>1530</v>
      </c>
      <c r="M199" s="16" t="s">
        <v>1483</v>
      </c>
      <c r="N199" s="16" t="s">
        <v>623</v>
      </c>
      <c r="O199" s="16" t="s">
        <v>959</v>
      </c>
      <c r="P199" s="16"/>
      <c r="Q199" s="16"/>
      <c r="R199" s="17"/>
    </row>
    <row r="200" spans="1:18" ht="409.6" x14ac:dyDescent="0.3">
      <c r="A200" s="12" t="s">
        <v>1549</v>
      </c>
      <c r="B200" s="13" t="s">
        <v>624</v>
      </c>
      <c r="C200" s="13" t="s">
        <v>25</v>
      </c>
      <c r="D200" s="13" t="s">
        <v>505</v>
      </c>
      <c r="E200" s="13" t="s">
        <v>625</v>
      </c>
      <c r="F200" s="13" t="s">
        <v>57</v>
      </c>
      <c r="G200" s="13" t="s">
        <v>46</v>
      </c>
      <c r="H200" s="13" t="s">
        <v>977</v>
      </c>
      <c r="I200" s="13" t="s">
        <v>1528</v>
      </c>
      <c r="J200" s="13" t="s">
        <v>1550</v>
      </c>
      <c r="K200" s="13" t="s">
        <v>1504</v>
      </c>
      <c r="L200" s="13" t="s">
        <v>1530</v>
      </c>
      <c r="M200" s="13" t="s">
        <v>1483</v>
      </c>
      <c r="N200" s="13" t="s">
        <v>626</v>
      </c>
      <c r="O200" s="13" t="s">
        <v>959</v>
      </c>
      <c r="P200" s="13"/>
      <c r="Q200" s="13"/>
      <c r="R200" s="14"/>
    </row>
    <row r="201" spans="1:18" ht="409.6" x14ac:dyDescent="0.3">
      <c r="A201" s="15" t="s">
        <v>1551</v>
      </c>
      <c r="B201" s="16" t="s">
        <v>627</v>
      </c>
      <c r="C201" s="16" t="s">
        <v>25</v>
      </c>
      <c r="D201" s="16" t="s">
        <v>505</v>
      </c>
      <c r="E201" s="16" t="s">
        <v>628</v>
      </c>
      <c r="F201" s="16" t="s">
        <v>57</v>
      </c>
      <c r="G201" s="16" t="s">
        <v>46</v>
      </c>
      <c r="H201" s="16" t="s">
        <v>977</v>
      </c>
      <c r="I201" s="16" t="s">
        <v>1528</v>
      </c>
      <c r="J201" s="16" t="s">
        <v>1552</v>
      </c>
      <c r="K201" s="16" t="s">
        <v>1507</v>
      </c>
      <c r="L201" s="16" t="s">
        <v>1530</v>
      </c>
      <c r="M201" s="16" t="s">
        <v>1483</v>
      </c>
      <c r="N201" s="16" t="s">
        <v>629</v>
      </c>
      <c r="O201" s="16" t="s">
        <v>959</v>
      </c>
      <c r="P201" s="16"/>
      <c r="Q201" s="16"/>
      <c r="R201" s="17"/>
    </row>
    <row r="202" spans="1:18" ht="409.6" x14ac:dyDescent="0.3">
      <c r="A202" s="12" t="s">
        <v>1553</v>
      </c>
      <c r="B202" s="13" t="s">
        <v>630</v>
      </c>
      <c r="C202" s="13" t="s">
        <v>25</v>
      </c>
      <c r="D202" s="13" t="s">
        <v>505</v>
      </c>
      <c r="E202" s="13" t="s">
        <v>631</v>
      </c>
      <c r="F202" s="13" t="s">
        <v>45</v>
      </c>
      <c r="G202" s="13" t="s">
        <v>46</v>
      </c>
      <c r="H202" s="13" t="s">
        <v>1554</v>
      </c>
      <c r="I202" s="13" t="s">
        <v>1528</v>
      </c>
      <c r="J202" s="13" t="s">
        <v>1555</v>
      </c>
      <c r="K202" s="13" t="s">
        <v>1556</v>
      </c>
      <c r="L202" s="13" t="s">
        <v>1530</v>
      </c>
      <c r="M202" s="13" t="s">
        <v>1483</v>
      </c>
      <c r="N202" s="13" t="s">
        <v>633</v>
      </c>
      <c r="O202" s="13" t="s">
        <v>959</v>
      </c>
      <c r="P202" s="13"/>
      <c r="Q202" s="13"/>
      <c r="R202" s="14" t="s">
        <v>990</v>
      </c>
    </row>
    <row r="203" spans="1:18" ht="409.6" x14ac:dyDescent="0.3">
      <c r="A203" s="15" t="s">
        <v>1557</v>
      </c>
      <c r="B203" s="16" t="s">
        <v>634</v>
      </c>
      <c r="C203" s="16" t="s">
        <v>25</v>
      </c>
      <c r="D203" s="16" t="s">
        <v>505</v>
      </c>
      <c r="E203" s="16" t="s">
        <v>635</v>
      </c>
      <c r="F203" s="16" t="s">
        <v>45</v>
      </c>
      <c r="G203" s="16" t="s">
        <v>46</v>
      </c>
      <c r="H203" s="16" t="s">
        <v>1513</v>
      </c>
      <c r="I203" s="16" t="s">
        <v>1528</v>
      </c>
      <c r="J203" s="16" t="s">
        <v>1558</v>
      </c>
      <c r="K203" s="16" t="s">
        <v>1515</v>
      </c>
      <c r="L203" s="16" t="s">
        <v>1530</v>
      </c>
      <c r="M203" s="16" t="s">
        <v>1483</v>
      </c>
      <c r="N203" s="16" t="s">
        <v>636</v>
      </c>
      <c r="O203" s="16" t="s">
        <v>959</v>
      </c>
      <c r="P203" s="16"/>
      <c r="Q203" s="16"/>
      <c r="R203" s="17" t="s">
        <v>990</v>
      </c>
    </row>
    <row r="204" spans="1:18" ht="409.6" x14ac:dyDescent="0.3">
      <c r="A204" s="12" t="s">
        <v>1559</v>
      </c>
      <c r="B204" s="13" t="s">
        <v>637</v>
      </c>
      <c r="C204" s="13" t="s">
        <v>25</v>
      </c>
      <c r="D204" s="13" t="s">
        <v>505</v>
      </c>
      <c r="E204" s="13" t="s">
        <v>638</v>
      </c>
      <c r="F204" s="13" t="s">
        <v>45</v>
      </c>
      <c r="G204" s="13" t="s">
        <v>46</v>
      </c>
      <c r="H204" s="13" t="s">
        <v>977</v>
      </c>
      <c r="I204" s="13" t="s">
        <v>1528</v>
      </c>
      <c r="J204" s="13" t="s">
        <v>1560</v>
      </c>
      <c r="K204" s="13" t="s">
        <v>1561</v>
      </c>
      <c r="L204" s="13" t="s">
        <v>1530</v>
      </c>
      <c r="M204" s="13" t="s">
        <v>1483</v>
      </c>
      <c r="N204" s="13" t="s">
        <v>640</v>
      </c>
      <c r="O204" s="13" t="s">
        <v>959</v>
      </c>
      <c r="P204" s="13"/>
      <c r="Q204" s="13"/>
      <c r="R204" s="14"/>
    </row>
    <row r="205" spans="1:18" ht="345" x14ac:dyDescent="0.3">
      <c r="A205" s="15" t="s">
        <v>1562</v>
      </c>
      <c r="B205" s="16" t="s">
        <v>641</v>
      </c>
      <c r="C205" s="16" t="s">
        <v>25</v>
      </c>
      <c r="D205" s="16" t="s">
        <v>505</v>
      </c>
      <c r="E205" s="16" t="s">
        <v>1563</v>
      </c>
      <c r="F205" s="16" t="s">
        <v>953</v>
      </c>
      <c r="G205" s="16" t="s">
        <v>53</v>
      </c>
      <c r="H205" s="16" t="s">
        <v>1521</v>
      </c>
      <c r="I205" s="16" t="s">
        <v>1528</v>
      </c>
      <c r="J205" s="16" t="s">
        <v>1000</v>
      </c>
      <c r="K205" s="16" t="s">
        <v>1001</v>
      </c>
      <c r="L205" s="16" t="s">
        <v>1530</v>
      </c>
      <c r="M205" s="16" t="s">
        <v>1483</v>
      </c>
      <c r="N205" s="16" t="s">
        <v>610</v>
      </c>
      <c r="O205" s="16" t="s">
        <v>959</v>
      </c>
      <c r="P205" s="16"/>
      <c r="Q205" s="16"/>
      <c r="R205" s="17"/>
    </row>
    <row r="206" spans="1:18" ht="345" x14ac:dyDescent="0.3">
      <c r="A206" s="12" t="s">
        <v>1564</v>
      </c>
      <c r="B206" s="13" t="s">
        <v>641</v>
      </c>
      <c r="C206" s="13" t="s">
        <v>25</v>
      </c>
      <c r="D206" s="13" t="s">
        <v>505</v>
      </c>
      <c r="E206" s="13" t="s">
        <v>1565</v>
      </c>
      <c r="F206" s="13" t="s">
        <v>339</v>
      </c>
      <c r="G206" s="13" t="s">
        <v>53</v>
      </c>
      <c r="H206" s="13" t="s">
        <v>1524</v>
      </c>
      <c r="I206" s="13" t="s">
        <v>1528</v>
      </c>
      <c r="J206" s="13" t="s">
        <v>1005</v>
      </c>
      <c r="K206" s="13" t="s">
        <v>1006</v>
      </c>
      <c r="L206" s="13" t="s">
        <v>1530</v>
      </c>
      <c r="M206" s="13" t="s">
        <v>1483</v>
      </c>
      <c r="N206" s="13" t="s">
        <v>610</v>
      </c>
      <c r="O206" s="13" t="s">
        <v>959</v>
      </c>
      <c r="P206" s="13"/>
      <c r="Q206" s="13"/>
      <c r="R206" s="14"/>
    </row>
    <row r="207" spans="1:18" ht="400.2" x14ac:dyDescent="0.3">
      <c r="A207" s="15" t="s">
        <v>1566</v>
      </c>
      <c r="B207" s="16" t="s">
        <v>643</v>
      </c>
      <c r="C207" s="16" t="s">
        <v>25</v>
      </c>
      <c r="D207" s="16" t="s">
        <v>505</v>
      </c>
      <c r="E207" s="16" t="s">
        <v>1567</v>
      </c>
      <c r="F207" s="16" t="s">
        <v>953</v>
      </c>
      <c r="G207" s="16" t="s">
        <v>46</v>
      </c>
      <c r="H207" s="16" t="s">
        <v>1527</v>
      </c>
      <c r="I207" s="16" t="s">
        <v>1568</v>
      </c>
      <c r="J207" s="16" t="s">
        <v>1569</v>
      </c>
      <c r="K207" s="16" t="s">
        <v>1412</v>
      </c>
      <c r="L207" s="16" t="s">
        <v>1530</v>
      </c>
      <c r="M207" s="16" t="s">
        <v>1570</v>
      </c>
      <c r="N207" s="16" t="s">
        <v>646</v>
      </c>
      <c r="O207" s="16" t="s">
        <v>959</v>
      </c>
      <c r="P207" s="16"/>
      <c r="Q207" s="16"/>
      <c r="R207" s="17"/>
    </row>
    <row r="208" spans="1:18" ht="409.6" x14ac:dyDescent="0.3">
      <c r="A208" s="12" t="s">
        <v>1571</v>
      </c>
      <c r="B208" s="13" t="s">
        <v>643</v>
      </c>
      <c r="C208" s="13" t="s">
        <v>25</v>
      </c>
      <c r="D208" s="13" t="s">
        <v>505</v>
      </c>
      <c r="E208" s="13" t="s">
        <v>1572</v>
      </c>
      <c r="F208" s="13" t="s">
        <v>339</v>
      </c>
      <c r="G208" s="13" t="s">
        <v>53</v>
      </c>
      <c r="H208" s="13" t="s">
        <v>1533</v>
      </c>
      <c r="I208" s="13" t="s">
        <v>1568</v>
      </c>
      <c r="J208" s="13" t="s">
        <v>1573</v>
      </c>
      <c r="K208" s="13" t="s">
        <v>964</v>
      </c>
      <c r="L208" s="13" t="s">
        <v>1530</v>
      </c>
      <c r="M208" s="13" t="s">
        <v>1570</v>
      </c>
      <c r="N208" s="13" t="s">
        <v>646</v>
      </c>
      <c r="O208" s="13" t="s">
        <v>959</v>
      </c>
      <c r="P208" s="13"/>
      <c r="Q208" s="13"/>
      <c r="R208" s="14"/>
    </row>
    <row r="209" spans="1:18" ht="372.6" x14ac:dyDescent="0.3">
      <c r="A209" s="15" t="s">
        <v>1574</v>
      </c>
      <c r="B209" s="16" t="s">
        <v>647</v>
      </c>
      <c r="C209" s="16" t="s">
        <v>25</v>
      </c>
      <c r="D209" s="16" t="s">
        <v>505</v>
      </c>
      <c r="E209" s="16" t="s">
        <v>1575</v>
      </c>
      <c r="F209" s="16" t="s">
        <v>52</v>
      </c>
      <c r="G209" s="16" t="s">
        <v>53</v>
      </c>
      <c r="H209" s="16" t="s">
        <v>1537</v>
      </c>
      <c r="I209" s="16" t="s">
        <v>1568</v>
      </c>
      <c r="J209" s="16" t="s">
        <v>968</v>
      </c>
      <c r="K209" s="16" t="s">
        <v>969</v>
      </c>
      <c r="L209" s="16" t="s">
        <v>1530</v>
      </c>
      <c r="M209" s="16" t="s">
        <v>1570</v>
      </c>
      <c r="N209" s="16" t="s">
        <v>646</v>
      </c>
      <c r="O209" s="16" t="s">
        <v>959</v>
      </c>
      <c r="P209" s="16"/>
      <c r="Q209" s="16"/>
      <c r="R209" s="17"/>
    </row>
    <row r="210" spans="1:18" ht="372.6" x14ac:dyDescent="0.3">
      <c r="A210" s="12" t="s">
        <v>1576</v>
      </c>
      <c r="B210" s="13" t="s">
        <v>647</v>
      </c>
      <c r="C210" s="13" t="s">
        <v>25</v>
      </c>
      <c r="D210" s="13" t="s">
        <v>505</v>
      </c>
      <c r="E210" s="13" t="s">
        <v>1577</v>
      </c>
      <c r="F210" s="13" t="s">
        <v>972</v>
      </c>
      <c r="G210" s="13" t="s">
        <v>53</v>
      </c>
      <c r="H210" s="13" t="s">
        <v>1540</v>
      </c>
      <c r="I210" s="13" t="s">
        <v>1568</v>
      </c>
      <c r="J210" s="13" t="s">
        <v>974</v>
      </c>
      <c r="K210" s="13" t="s">
        <v>975</v>
      </c>
      <c r="L210" s="13" t="s">
        <v>1530</v>
      </c>
      <c r="M210" s="13" t="s">
        <v>1570</v>
      </c>
      <c r="N210" s="13" t="s">
        <v>646</v>
      </c>
      <c r="O210" s="13" t="s">
        <v>959</v>
      </c>
      <c r="P210" s="13"/>
      <c r="Q210" s="13"/>
      <c r="R210" s="14"/>
    </row>
    <row r="211" spans="1:18" ht="409.6" x14ac:dyDescent="0.3">
      <c r="A211" s="15" t="s">
        <v>1578</v>
      </c>
      <c r="B211" s="16" t="s">
        <v>649</v>
      </c>
      <c r="C211" s="16" t="s">
        <v>25</v>
      </c>
      <c r="D211" s="16" t="s">
        <v>505</v>
      </c>
      <c r="E211" s="16" t="s">
        <v>650</v>
      </c>
      <c r="F211" s="16" t="s">
        <v>57</v>
      </c>
      <c r="G211" s="16" t="s">
        <v>46</v>
      </c>
      <c r="H211" s="16" t="s">
        <v>977</v>
      </c>
      <c r="I211" s="16" t="s">
        <v>1568</v>
      </c>
      <c r="J211" s="16" t="s">
        <v>1579</v>
      </c>
      <c r="K211" s="16" t="s">
        <v>1427</v>
      </c>
      <c r="L211" s="16" t="s">
        <v>1530</v>
      </c>
      <c r="M211" s="16" t="s">
        <v>1570</v>
      </c>
      <c r="N211" s="16" t="s">
        <v>651</v>
      </c>
      <c r="O211" s="16" t="s">
        <v>959</v>
      </c>
      <c r="P211" s="16"/>
      <c r="Q211" s="16"/>
      <c r="R211" s="17"/>
    </row>
    <row r="212" spans="1:18" ht="409.6" x14ac:dyDescent="0.3">
      <c r="A212" s="12" t="s">
        <v>1580</v>
      </c>
      <c r="B212" s="13" t="s">
        <v>652</v>
      </c>
      <c r="C212" s="13" t="s">
        <v>25</v>
      </c>
      <c r="D212" s="13" t="s">
        <v>505</v>
      </c>
      <c r="E212" s="13" t="s">
        <v>653</v>
      </c>
      <c r="F212" s="13" t="s">
        <v>45</v>
      </c>
      <c r="G212" s="13" t="s">
        <v>46</v>
      </c>
      <c r="H212" s="13" t="s">
        <v>977</v>
      </c>
      <c r="I212" s="13" t="s">
        <v>1568</v>
      </c>
      <c r="J212" s="13" t="s">
        <v>1581</v>
      </c>
      <c r="K212" s="13" t="s">
        <v>1582</v>
      </c>
      <c r="L212" s="13" t="s">
        <v>1530</v>
      </c>
      <c r="M212" s="13" t="s">
        <v>1570</v>
      </c>
      <c r="N212" s="13" t="s">
        <v>655</v>
      </c>
      <c r="O212" s="13" t="s">
        <v>959</v>
      </c>
      <c r="P212" s="13"/>
      <c r="Q212" s="13"/>
      <c r="R212" s="14"/>
    </row>
    <row r="213" spans="1:18" ht="409.6" x14ac:dyDescent="0.3">
      <c r="A213" s="15" t="s">
        <v>1583</v>
      </c>
      <c r="B213" s="16" t="s">
        <v>656</v>
      </c>
      <c r="C213" s="16" t="s">
        <v>25</v>
      </c>
      <c r="D213" s="16" t="s">
        <v>505</v>
      </c>
      <c r="E213" s="16" t="s">
        <v>657</v>
      </c>
      <c r="F213" s="16" t="s">
        <v>339</v>
      </c>
      <c r="G213" s="16" t="s">
        <v>53</v>
      </c>
      <c r="H213" s="16" t="s">
        <v>977</v>
      </c>
      <c r="I213" s="16" t="s">
        <v>1568</v>
      </c>
      <c r="J213" s="16" t="s">
        <v>1584</v>
      </c>
      <c r="K213" s="16" t="s">
        <v>1585</v>
      </c>
      <c r="L213" s="16" t="s">
        <v>1530</v>
      </c>
      <c r="M213" s="16" t="s">
        <v>1570</v>
      </c>
      <c r="N213" s="16" t="s">
        <v>659</v>
      </c>
      <c r="O213" s="16" t="s">
        <v>959</v>
      </c>
      <c r="P213" s="16"/>
      <c r="Q213" s="16"/>
      <c r="R213" s="17"/>
    </row>
    <row r="214" spans="1:18" ht="409.6" x14ac:dyDescent="0.3">
      <c r="A214" s="12" t="s">
        <v>1586</v>
      </c>
      <c r="B214" s="13" t="s">
        <v>660</v>
      </c>
      <c r="C214" s="13" t="s">
        <v>25</v>
      </c>
      <c r="D214" s="13" t="s">
        <v>505</v>
      </c>
      <c r="E214" s="13" t="s">
        <v>661</v>
      </c>
      <c r="F214" s="13" t="s">
        <v>57</v>
      </c>
      <c r="G214" s="13" t="s">
        <v>46</v>
      </c>
      <c r="H214" s="13" t="s">
        <v>977</v>
      </c>
      <c r="I214" s="13" t="s">
        <v>1568</v>
      </c>
      <c r="J214" s="13" t="s">
        <v>1587</v>
      </c>
      <c r="K214" s="13" t="s">
        <v>1504</v>
      </c>
      <c r="L214" s="13" t="s">
        <v>1530</v>
      </c>
      <c r="M214" s="13" t="s">
        <v>1570</v>
      </c>
      <c r="N214" s="13" t="s">
        <v>662</v>
      </c>
      <c r="O214" s="13" t="s">
        <v>959</v>
      </c>
      <c r="P214" s="13"/>
      <c r="Q214" s="13"/>
      <c r="R214" s="14"/>
    </row>
    <row r="215" spans="1:18" ht="409.6" x14ac:dyDescent="0.3">
      <c r="A215" s="15" t="s">
        <v>1588</v>
      </c>
      <c r="B215" s="16" t="s">
        <v>663</v>
      </c>
      <c r="C215" s="16" t="s">
        <v>25</v>
      </c>
      <c r="D215" s="16" t="s">
        <v>505</v>
      </c>
      <c r="E215" s="16" t="s">
        <v>664</v>
      </c>
      <c r="F215" s="16" t="s">
        <v>57</v>
      </c>
      <c r="G215" s="16" t="s">
        <v>46</v>
      </c>
      <c r="H215" s="16" t="s">
        <v>977</v>
      </c>
      <c r="I215" s="16" t="s">
        <v>1568</v>
      </c>
      <c r="J215" s="16" t="s">
        <v>1589</v>
      </c>
      <c r="K215" s="16" t="s">
        <v>1507</v>
      </c>
      <c r="L215" s="16" t="s">
        <v>1530</v>
      </c>
      <c r="M215" s="16" t="s">
        <v>1570</v>
      </c>
      <c r="N215" s="16" t="s">
        <v>665</v>
      </c>
      <c r="O215" s="16" t="s">
        <v>959</v>
      </c>
      <c r="P215" s="16"/>
      <c r="Q215" s="16"/>
      <c r="R215" s="17"/>
    </row>
    <row r="216" spans="1:18" ht="409.6" x14ac:dyDescent="0.3">
      <c r="A216" s="12" t="s">
        <v>1590</v>
      </c>
      <c r="B216" s="13" t="s">
        <v>666</v>
      </c>
      <c r="C216" s="13" t="s">
        <v>25</v>
      </c>
      <c r="D216" s="13" t="s">
        <v>505</v>
      </c>
      <c r="E216" s="13" t="s">
        <v>667</v>
      </c>
      <c r="F216" s="13" t="s">
        <v>45</v>
      </c>
      <c r="G216" s="13" t="s">
        <v>46</v>
      </c>
      <c r="H216" s="13" t="s">
        <v>1591</v>
      </c>
      <c r="I216" s="13" t="s">
        <v>1568</v>
      </c>
      <c r="J216" s="13" t="s">
        <v>1592</v>
      </c>
      <c r="K216" s="13" t="s">
        <v>1593</v>
      </c>
      <c r="L216" s="13" t="s">
        <v>1530</v>
      </c>
      <c r="M216" s="13" t="s">
        <v>1570</v>
      </c>
      <c r="N216" s="13" t="s">
        <v>669</v>
      </c>
      <c r="O216" s="13" t="s">
        <v>959</v>
      </c>
      <c r="P216" s="13"/>
      <c r="Q216" s="13"/>
      <c r="R216" s="14" t="s">
        <v>990</v>
      </c>
    </row>
    <row r="217" spans="1:18" ht="409.6" x14ac:dyDescent="0.3">
      <c r="A217" s="15" t="s">
        <v>1594</v>
      </c>
      <c r="B217" s="16" t="s">
        <v>670</v>
      </c>
      <c r="C217" s="16" t="s">
        <v>25</v>
      </c>
      <c r="D217" s="16" t="s">
        <v>505</v>
      </c>
      <c r="E217" s="16" t="s">
        <v>671</v>
      </c>
      <c r="F217" s="16" t="s">
        <v>45</v>
      </c>
      <c r="G217" s="16" t="s">
        <v>46</v>
      </c>
      <c r="H217" s="16" t="s">
        <v>1513</v>
      </c>
      <c r="I217" s="16" t="s">
        <v>1568</v>
      </c>
      <c r="J217" s="16" t="s">
        <v>1595</v>
      </c>
      <c r="K217" s="16" t="s">
        <v>1515</v>
      </c>
      <c r="L217" s="16" t="s">
        <v>1530</v>
      </c>
      <c r="M217" s="16" t="s">
        <v>1570</v>
      </c>
      <c r="N217" s="16" t="s">
        <v>672</v>
      </c>
      <c r="O217" s="16" t="s">
        <v>959</v>
      </c>
      <c r="P217" s="16"/>
      <c r="Q217" s="16"/>
      <c r="R217" s="17" t="s">
        <v>990</v>
      </c>
    </row>
    <row r="218" spans="1:18" ht="409.6" x14ac:dyDescent="0.3">
      <c r="A218" s="12" t="s">
        <v>1596</v>
      </c>
      <c r="B218" s="13" t="s">
        <v>673</v>
      </c>
      <c r="C218" s="13" t="s">
        <v>25</v>
      </c>
      <c r="D218" s="13" t="s">
        <v>505</v>
      </c>
      <c r="E218" s="13" t="s">
        <v>674</v>
      </c>
      <c r="F218" s="13" t="s">
        <v>45</v>
      </c>
      <c r="G218" s="13" t="s">
        <v>46</v>
      </c>
      <c r="H218" s="13" t="s">
        <v>977</v>
      </c>
      <c r="I218" s="13" t="s">
        <v>1568</v>
      </c>
      <c r="J218" s="13" t="s">
        <v>1597</v>
      </c>
      <c r="K218" s="13" t="s">
        <v>1561</v>
      </c>
      <c r="L218" s="13" t="s">
        <v>1530</v>
      </c>
      <c r="M218" s="13" t="s">
        <v>1570</v>
      </c>
      <c r="N218" s="13" t="s">
        <v>675</v>
      </c>
      <c r="O218" s="13" t="s">
        <v>959</v>
      </c>
      <c r="P218" s="13"/>
      <c r="Q218" s="13"/>
      <c r="R218" s="14"/>
    </row>
    <row r="219" spans="1:18" ht="372.6" x14ac:dyDescent="0.3">
      <c r="A219" s="15" t="s">
        <v>1598</v>
      </c>
      <c r="B219" s="16" t="s">
        <v>676</v>
      </c>
      <c r="C219" s="16" t="s">
        <v>25</v>
      </c>
      <c r="D219" s="16" t="s">
        <v>505</v>
      </c>
      <c r="E219" s="16" t="s">
        <v>1599</v>
      </c>
      <c r="F219" s="16" t="s">
        <v>953</v>
      </c>
      <c r="G219" s="16" t="s">
        <v>53</v>
      </c>
      <c r="H219" s="16" t="s">
        <v>1600</v>
      </c>
      <c r="I219" s="16" t="s">
        <v>1568</v>
      </c>
      <c r="J219" s="16" t="s">
        <v>1000</v>
      </c>
      <c r="K219" s="16" t="s">
        <v>1001</v>
      </c>
      <c r="L219" s="16" t="s">
        <v>1530</v>
      </c>
      <c r="M219" s="16" t="s">
        <v>1570</v>
      </c>
      <c r="N219" s="16" t="s">
        <v>646</v>
      </c>
      <c r="O219" s="16" t="s">
        <v>959</v>
      </c>
      <c r="P219" s="16"/>
      <c r="Q219" s="16"/>
      <c r="R219" s="17"/>
    </row>
    <row r="220" spans="1:18" ht="400.2" x14ac:dyDescent="0.3">
      <c r="A220" s="12" t="s">
        <v>1601</v>
      </c>
      <c r="B220" s="13" t="s">
        <v>676</v>
      </c>
      <c r="C220" s="13" t="s">
        <v>25</v>
      </c>
      <c r="D220" s="13" t="s">
        <v>505</v>
      </c>
      <c r="E220" s="13" t="s">
        <v>1602</v>
      </c>
      <c r="F220" s="13" t="s">
        <v>339</v>
      </c>
      <c r="G220" s="13" t="s">
        <v>53</v>
      </c>
      <c r="H220" s="13" t="s">
        <v>1603</v>
      </c>
      <c r="I220" s="13" t="s">
        <v>1568</v>
      </c>
      <c r="J220" s="13" t="s">
        <v>1005</v>
      </c>
      <c r="K220" s="13" t="s">
        <v>1006</v>
      </c>
      <c r="L220" s="13" t="s">
        <v>1530</v>
      </c>
      <c r="M220" s="13" t="s">
        <v>1570</v>
      </c>
      <c r="N220" s="13" t="s">
        <v>646</v>
      </c>
      <c r="O220" s="13" t="s">
        <v>959</v>
      </c>
      <c r="P220" s="13"/>
      <c r="Q220" s="13"/>
      <c r="R220" s="14"/>
    </row>
    <row r="221" spans="1:18" ht="372.6" x14ac:dyDescent="0.3">
      <c r="A221" s="15" t="s">
        <v>1604</v>
      </c>
      <c r="B221" s="16" t="s">
        <v>678</v>
      </c>
      <c r="C221" s="16" t="s">
        <v>25</v>
      </c>
      <c r="D221" s="16" t="s">
        <v>505</v>
      </c>
      <c r="E221" s="16" t="s">
        <v>1605</v>
      </c>
      <c r="F221" s="16" t="s">
        <v>953</v>
      </c>
      <c r="G221" s="16" t="s">
        <v>46</v>
      </c>
      <c r="H221" s="16" t="s">
        <v>1527</v>
      </c>
      <c r="I221" s="16" t="s">
        <v>1606</v>
      </c>
      <c r="J221" s="16" t="s">
        <v>1607</v>
      </c>
      <c r="K221" s="16" t="s">
        <v>1412</v>
      </c>
      <c r="L221" s="16" t="s">
        <v>1530</v>
      </c>
      <c r="M221" s="16" t="s">
        <v>1570</v>
      </c>
      <c r="N221" s="16" t="s">
        <v>681</v>
      </c>
      <c r="O221" s="16" t="s">
        <v>959</v>
      </c>
      <c r="P221" s="16"/>
      <c r="Q221" s="16"/>
      <c r="R221" s="17"/>
    </row>
    <row r="222" spans="1:18" ht="409.6" x14ac:dyDescent="0.3">
      <c r="A222" s="12" t="s">
        <v>1608</v>
      </c>
      <c r="B222" s="13" t="s">
        <v>678</v>
      </c>
      <c r="C222" s="13" t="s">
        <v>25</v>
      </c>
      <c r="D222" s="13" t="s">
        <v>505</v>
      </c>
      <c r="E222" s="13" t="s">
        <v>1609</v>
      </c>
      <c r="F222" s="13" t="s">
        <v>339</v>
      </c>
      <c r="G222" s="13" t="s">
        <v>53</v>
      </c>
      <c r="H222" s="13" t="s">
        <v>1533</v>
      </c>
      <c r="I222" s="13" t="s">
        <v>1606</v>
      </c>
      <c r="J222" s="13" t="s">
        <v>1610</v>
      </c>
      <c r="K222" s="13" t="s">
        <v>964</v>
      </c>
      <c r="L222" s="13" t="s">
        <v>1530</v>
      </c>
      <c r="M222" s="13" t="s">
        <v>1570</v>
      </c>
      <c r="N222" s="13" t="s">
        <v>681</v>
      </c>
      <c r="O222" s="13" t="s">
        <v>959</v>
      </c>
      <c r="P222" s="13"/>
      <c r="Q222" s="13"/>
      <c r="R222" s="14"/>
    </row>
    <row r="223" spans="1:18" ht="317.39999999999998" x14ac:dyDescent="0.3">
      <c r="A223" s="15" t="s">
        <v>1611</v>
      </c>
      <c r="B223" s="16" t="s">
        <v>682</v>
      </c>
      <c r="C223" s="16" t="s">
        <v>25</v>
      </c>
      <c r="D223" s="16" t="s">
        <v>505</v>
      </c>
      <c r="E223" s="16" t="s">
        <v>1612</v>
      </c>
      <c r="F223" s="16" t="s">
        <v>52</v>
      </c>
      <c r="G223" s="16" t="s">
        <v>53</v>
      </c>
      <c r="H223" s="16" t="s">
        <v>1537</v>
      </c>
      <c r="I223" s="16" t="s">
        <v>1606</v>
      </c>
      <c r="J223" s="16" t="s">
        <v>968</v>
      </c>
      <c r="K223" s="16" t="s">
        <v>969</v>
      </c>
      <c r="L223" s="16" t="s">
        <v>1530</v>
      </c>
      <c r="M223" s="16" t="s">
        <v>1570</v>
      </c>
      <c r="N223" s="16" t="s">
        <v>681</v>
      </c>
      <c r="O223" s="16" t="s">
        <v>959</v>
      </c>
      <c r="P223" s="16"/>
      <c r="Q223" s="16"/>
      <c r="R223" s="17"/>
    </row>
    <row r="224" spans="1:18" ht="317.39999999999998" x14ac:dyDescent="0.3">
      <c r="A224" s="12" t="s">
        <v>1613</v>
      </c>
      <c r="B224" s="13" t="s">
        <v>682</v>
      </c>
      <c r="C224" s="13" t="s">
        <v>25</v>
      </c>
      <c r="D224" s="13" t="s">
        <v>505</v>
      </c>
      <c r="E224" s="13" t="s">
        <v>1614</v>
      </c>
      <c r="F224" s="13" t="s">
        <v>972</v>
      </c>
      <c r="G224" s="13" t="s">
        <v>53</v>
      </c>
      <c r="H224" s="13" t="s">
        <v>1540</v>
      </c>
      <c r="I224" s="13" t="s">
        <v>1606</v>
      </c>
      <c r="J224" s="13" t="s">
        <v>974</v>
      </c>
      <c r="K224" s="13" t="s">
        <v>975</v>
      </c>
      <c r="L224" s="13" t="s">
        <v>1530</v>
      </c>
      <c r="M224" s="13" t="s">
        <v>1570</v>
      </c>
      <c r="N224" s="13" t="s">
        <v>681</v>
      </c>
      <c r="O224" s="13" t="s">
        <v>959</v>
      </c>
      <c r="P224" s="13"/>
      <c r="Q224" s="13"/>
      <c r="R224" s="14"/>
    </row>
    <row r="225" spans="1:18" ht="409.6" x14ac:dyDescent="0.3">
      <c r="A225" s="15" t="s">
        <v>1615</v>
      </c>
      <c r="B225" s="16" t="s">
        <v>684</v>
      </c>
      <c r="C225" s="16" t="s">
        <v>25</v>
      </c>
      <c r="D225" s="16" t="s">
        <v>505</v>
      </c>
      <c r="E225" s="16" t="s">
        <v>685</v>
      </c>
      <c r="F225" s="16" t="s">
        <v>57</v>
      </c>
      <c r="G225" s="16" t="s">
        <v>46</v>
      </c>
      <c r="H225" s="16" t="s">
        <v>977</v>
      </c>
      <c r="I225" s="16" t="s">
        <v>1606</v>
      </c>
      <c r="J225" s="16" t="s">
        <v>1616</v>
      </c>
      <c r="K225" s="16" t="s">
        <v>1427</v>
      </c>
      <c r="L225" s="16" t="s">
        <v>1530</v>
      </c>
      <c r="M225" s="16" t="s">
        <v>1570</v>
      </c>
      <c r="N225" s="16" t="s">
        <v>686</v>
      </c>
      <c r="O225" s="16" t="s">
        <v>959</v>
      </c>
      <c r="P225" s="16"/>
      <c r="Q225" s="16"/>
      <c r="R225" s="17"/>
    </row>
    <row r="226" spans="1:18" ht="409.6" x14ac:dyDescent="0.3">
      <c r="A226" s="12" t="s">
        <v>1617</v>
      </c>
      <c r="B226" s="13" t="s">
        <v>687</v>
      </c>
      <c r="C226" s="13" t="s">
        <v>25</v>
      </c>
      <c r="D226" s="13" t="s">
        <v>505</v>
      </c>
      <c r="E226" s="13" t="s">
        <v>688</v>
      </c>
      <c r="F226" s="13" t="s">
        <v>45</v>
      </c>
      <c r="G226" s="13" t="s">
        <v>46</v>
      </c>
      <c r="H226" s="13" t="s">
        <v>977</v>
      </c>
      <c r="I226" s="13" t="s">
        <v>1606</v>
      </c>
      <c r="J226" s="13" t="s">
        <v>1618</v>
      </c>
      <c r="K226" s="13" t="s">
        <v>1619</v>
      </c>
      <c r="L226" s="13" t="s">
        <v>1530</v>
      </c>
      <c r="M226" s="13" t="s">
        <v>1570</v>
      </c>
      <c r="N226" s="13" t="s">
        <v>690</v>
      </c>
      <c r="O226" s="13" t="s">
        <v>959</v>
      </c>
      <c r="P226" s="13"/>
      <c r="Q226" s="13"/>
      <c r="R226" s="14"/>
    </row>
    <row r="227" spans="1:18" ht="409.6" x14ac:dyDescent="0.3">
      <c r="A227" s="15" t="s">
        <v>1620</v>
      </c>
      <c r="B227" s="16" t="s">
        <v>691</v>
      </c>
      <c r="C227" s="16" t="s">
        <v>25</v>
      </c>
      <c r="D227" s="16" t="s">
        <v>505</v>
      </c>
      <c r="E227" s="16" t="s">
        <v>692</v>
      </c>
      <c r="F227" s="16" t="s">
        <v>45</v>
      </c>
      <c r="G227" s="16" t="s">
        <v>46</v>
      </c>
      <c r="H227" s="16" t="s">
        <v>977</v>
      </c>
      <c r="I227" s="16" t="s">
        <v>1606</v>
      </c>
      <c r="J227" s="16" t="s">
        <v>1621</v>
      </c>
      <c r="K227" s="16" t="s">
        <v>1622</v>
      </c>
      <c r="L227" s="16" t="s">
        <v>1530</v>
      </c>
      <c r="M227" s="16" t="s">
        <v>1570</v>
      </c>
      <c r="N227" s="16" t="s">
        <v>694</v>
      </c>
      <c r="O227" s="16" t="s">
        <v>959</v>
      </c>
      <c r="P227" s="16"/>
      <c r="Q227" s="16"/>
      <c r="R227" s="17"/>
    </row>
    <row r="228" spans="1:18" ht="409.6" x14ac:dyDescent="0.3">
      <c r="A228" s="12" t="s">
        <v>1623</v>
      </c>
      <c r="B228" s="13" t="s">
        <v>695</v>
      </c>
      <c r="C228" s="13" t="s">
        <v>25</v>
      </c>
      <c r="D228" s="13" t="s">
        <v>505</v>
      </c>
      <c r="E228" s="13" t="s">
        <v>696</v>
      </c>
      <c r="F228" s="13" t="s">
        <v>339</v>
      </c>
      <c r="G228" s="13" t="s">
        <v>53</v>
      </c>
      <c r="H228" s="13" t="s">
        <v>977</v>
      </c>
      <c r="I228" s="13" t="s">
        <v>1606</v>
      </c>
      <c r="J228" s="13" t="s">
        <v>1624</v>
      </c>
      <c r="K228" s="13" t="s">
        <v>1625</v>
      </c>
      <c r="L228" s="13" t="s">
        <v>1530</v>
      </c>
      <c r="M228" s="13" t="s">
        <v>1570</v>
      </c>
      <c r="N228" s="13" t="s">
        <v>698</v>
      </c>
      <c r="O228" s="13" t="s">
        <v>959</v>
      </c>
      <c r="P228" s="13"/>
      <c r="Q228" s="13"/>
      <c r="R228" s="14"/>
    </row>
    <row r="229" spans="1:18" ht="409.6" x14ac:dyDescent="0.3">
      <c r="A229" s="15" t="s">
        <v>1626</v>
      </c>
      <c r="B229" s="16" t="s">
        <v>699</v>
      </c>
      <c r="C229" s="16" t="s">
        <v>25</v>
      </c>
      <c r="D229" s="16" t="s">
        <v>505</v>
      </c>
      <c r="E229" s="16" t="s">
        <v>700</v>
      </c>
      <c r="F229" s="16" t="s">
        <v>57</v>
      </c>
      <c r="G229" s="16" t="s">
        <v>46</v>
      </c>
      <c r="H229" s="16" t="s">
        <v>977</v>
      </c>
      <c r="I229" s="16" t="s">
        <v>1606</v>
      </c>
      <c r="J229" s="16" t="s">
        <v>1627</v>
      </c>
      <c r="K229" s="16" t="s">
        <v>1504</v>
      </c>
      <c r="L229" s="16" t="s">
        <v>1530</v>
      </c>
      <c r="M229" s="16" t="s">
        <v>1570</v>
      </c>
      <c r="N229" s="16" t="s">
        <v>701</v>
      </c>
      <c r="O229" s="16" t="s">
        <v>959</v>
      </c>
      <c r="P229" s="16"/>
      <c r="Q229" s="16"/>
      <c r="R229" s="17"/>
    </row>
    <row r="230" spans="1:18" ht="409.6" x14ac:dyDescent="0.3">
      <c r="A230" s="12" t="s">
        <v>1628</v>
      </c>
      <c r="B230" s="13" t="s">
        <v>702</v>
      </c>
      <c r="C230" s="13" t="s">
        <v>25</v>
      </c>
      <c r="D230" s="13" t="s">
        <v>505</v>
      </c>
      <c r="E230" s="13" t="s">
        <v>703</v>
      </c>
      <c r="F230" s="13" t="s">
        <v>57</v>
      </c>
      <c r="G230" s="13" t="s">
        <v>46</v>
      </c>
      <c r="H230" s="13" t="s">
        <v>977</v>
      </c>
      <c r="I230" s="13" t="s">
        <v>1606</v>
      </c>
      <c r="J230" s="13" t="s">
        <v>1629</v>
      </c>
      <c r="K230" s="13" t="s">
        <v>1507</v>
      </c>
      <c r="L230" s="13" t="s">
        <v>1530</v>
      </c>
      <c r="M230" s="13" t="s">
        <v>1570</v>
      </c>
      <c r="N230" s="13" t="s">
        <v>704</v>
      </c>
      <c r="O230" s="13" t="s">
        <v>959</v>
      </c>
      <c r="P230" s="13"/>
      <c r="Q230" s="13"/>
      <c r="R230" s="14"/>
    </row>
    <row r="231" spans="1:18" ht="409.6" x14ac:dyDescent="0.3">
      <c r="A231" s="15" t="s">
        <v>1630</v>
      </c>
      <c r="B231" s="16" t="s">
        <v>705</v>
      </c>
      <c r="C231" s="16" t="s">
        <v>25</v>
      </c>
      <c r="D231" s="16" t="s">
        <v>505</v>
      </c>
      <c r="E231" s="16" t="s">
        <v>706</v>
      </c>
      <c r="F231" s="16" t="s">
        <v>45</v>
      </c>
      <c r="G231" s="16" t="s">
        <v>46</v>
      </c>
      <c r="H231" s="16" t="s">
        <v>1631</v>
      </c>
      <c r="I231" s="16" t="s">
        <v>1606</v>
      </c>
      <c r="J231" s="16" t="s">
        <v>1632</v>
      </c>
      <c r="K231" s="16" t="s">
        <v>1633</v>
      </c>
      <c r="L231" s="16" t="s">
        <v>1530</v>
      </c>
      <c r="M231" s="16" t="s">
        <v>1570</v>
      </c>
      <c r="N231" s="16" t="s">
        <v>708</v>
      </c>
      <c r="O231" s="16" t="s">
        <v>959</v>
      </c>
      <c r="P231" s="16"/>
      <c r="Q231" s="16"/>
      <c r="R231" s="17" t="s">
        <v>990</v>
      </c>
    </row>
    <row r="232" spans="1:18" ht="409.6" x14ac:dyDescent="0.3">
      <c r="A232" s="12" t="s">
        <v>1634</v>
      </c>
      <c r="B232" s="13" t="s">
        <v>709</v>
      </c>
      <c r="C232" s="13" t="s">
        <v>25</v>
      </c>
      <c r="D232" s="13" t="s">
        <v>505</v>
      </c>
      <c r="E232" s="13" t="s">
        <v>710</v>
      </c>
      <c r="F232" s="13" t="s">
        <v>45</v>
      </c>
      <c r="G232" s="13" t="s">
        <v>46</v>
      </c>
      <c r="H232" s="13" t="s">
        <v>1513</v>
      </c>
      <c r="I232" s="13" t="s">
        <v>1606</v>
      </c>
      <c r="J232" s="13" t="s">
        <v>1635</v>
      </c>
      <c r="K232" s="13" t="s">
        <v>1515</v>
      </c>
      <c r="L232" s="13" t="s">
        <v>1530</v>
      </c>
      <c r="M232" s="13" t="s">
        <v>1570</v>
      </c>
      <c r="N232" s="13" t="s">
        <v>711</v>
      </c>
      <c r="O232" s="13" t="s">
        <v>959</v>
      </c>
      <c r="P232" s="13"/>
      <c r="Q232" s="13"/>
      <c r="R232" s="14" t="s">
        <v>990</v>
      </c>
    </row>
    <row r="233" spans="1:18" ht="409.6" x14ac:dyDescent="0.3">
      <c r="A233" s="15" t="s">
        <v>1636</v>
      </c>
      <c r="B233" s="16" t="s">
        <v>712</v>
      </c>
      <c r="C233" s="16" t="s">
        <v>25</v>
      </c>
      <c r="D233" s="16" t="s">
        <v>505</v>
      </c>
      <c r="E233" s="16" t="s">
        <v>713</v>
      </c>
      <c r="F233" s="16" t="s">
        <v>45</v>
      </c>
      <c r="G233" s="16" t="s">
        <v>46</v>
      </c>
      <c r="H233" s="16" t="s">
        <v>977</v>
      </c>
      <c r="I233" s="16" t="s">
        <v>1606</v>
      </c>
      <c r="J233" s="16" t="s">
        <v>1637</v>
      </c>
      <c r="K233" s="16" t="s">
        <v>1561</v>
      </c>
      <c r="L233" s="16" t="s">
        <v>1530</v>
      </c>
      <c r="M233" s="16" t="s">
        <v>1570</v>
      </c>
      <c r="N233" s="16" t="s">
        <v>714</v>
      </c>
      <c r="O233" s="16" t="s">
        <v>959</v>
      </c>
      <c r="P233" s="16"/>
      <c r="Q233" s="16"/>
      <c r="R233" s="17"/>
    </row>
    <row r="234" spans="1:18" ht="317.39999999999998" x14ac:dyDescent="0.3">
      <c r="A234" s="12" t="s">
        <v>1638</v>
      </c>
      <c r="B234" s="13" t="s">
        <v>715</v>
      </c>
      <c r="C234" s="13" t="s">
        <v>25</v>
      </c>
      <c r="D234" s="13" t="s">
        <v>505</v>
      </c>
      <c r="E234" s="13" t="s">
        <v>1639</v>
      </c>
      <c r="F234" s="13" t="s">
        <v>953</v>
      </c>
      <c r="G234" s="13" t="s">
        <v>53</v>
      </c>
      <c r="H234" s="13" t="s">
        <v>1600</v>
      </c>
      <c r="I234" s="13" t="s">
        <v>1606</v>
      </c>
      <c r="J234" s="13" t="s">
        <v>1000</v>
      </c>
      <c r="K234" s="13" t="s">
        <v>1001</v>
      </c>
      <c r="L234" s="13" t="s">
        <v>1530</v>
      </c>
      <c r="M234" s="13" t="s">
        <v>1570</v>
      </c>
      <c r="N234" s="13" t="s">
        <v>681</v>
      </c>
      <c r="O234" s="13" t="s">
        <v>959</v>
      </c>
      <c r="P234" s="13"/>
      <c r="Q234" s="13"/>
      <c r="R234" s="14"/>
    </row>
    <row r="235" spans="1:18" ht="400.2" x14ac:dyDescent="0.3">
      <c r="A235" s="15" t="s">
        <v>1640</v>
      </c>
      <c r="B235" s="16" t="s">
        <v>715</v>
      </c>
      <c r="C235" s="16" t="s">
        <v>25</v>
      </c>
      <c r="D235" s="16" t="s">
        <v>505</v>
      </c>
      <c r="E235" s="16" t="s">
        <v>1641</v>
      </c>
      <c r="F235" s="16" t="s">
        <v>339</v>
      </c>
      <c r="G235" s="16" t="s">
        <v>53</v>
      </c>
      <c r="H235" s="16" t="s">
        <v>1603</v>
      </c>
      <c r="I235" s="16" t="s">
        <v>1606</v>
      </c>
      <c r="J235" s="16" t="s">
        <v>1005</v>
      </c>
      <c r="K235" s="16" t="s">
        <v>1006</v>
      </c>
      <c r="L235" s="16" t="s">
        <v>1530</v>
      </c>
      <c r="M235" s="16" t="s">
        <v>1570</v>
      </c>
      <c r="N235" s="16" t="s">
        <v>681</v>
      </c>
      <c r="O235" s="16" t="s">
        <v>959</v>
      </c>
      <c r="P235" s="16"/>
      <c r="Q235" s="16"/>
      <c r="R235" s="17"/>
    </row>
    <row r="236" spans="1:18" ht="409.6" x14ac:dyDescent="0.3">
      <c r="A236" s="12" t="s">
        <v>1642</v>
      </c>
      <c r="B236" s="13" t="s">
        <v>717</v>
      </c>
      <c r="C236" s="13" t="s">
        <v>25</v>
      </c>
      <c r="D236" s="13" t="s">
        <v>505</v>
      </c>
      <c r="E236" s="13" t="s">
        <v>1643</v>
      </c>
      <c r="F236" s="13" t="s">
        <v>953</v>
      </c>
      <c r="G236" s="13" t="s">
        <v>46</v>
      </c>
      <c r="H236" s="13" t="s">
        <v>1644</v>
      </c>
      <c r="I236" s="13" t="s">
        <v>1645</v>
      </c>
      <c r="J236" s="13" t="s">
        <v>1646</v>
      </c>
      <c r="K236" s="13" t="s">
        <v>1412</v>
      </c>
      <c r="L236" s="13" t="s">
        <v>1647</v>
      </c>
      <c r="M236" s="13" t="s">
        <v>1648</v>
      </c>
      <c r="N236" s="13" t="s">
        <v>720</v>
      </c>
      <c r="O236" s="13" t="s">
        <v>959</v>
      </c>
      <c r="P236" s="13"/>
      <c r="Q236" s="13"/>
      <c r="R236" s="14"/>
    </row>
    <row r="237" spans="1:18" ht="409.6" x14ac:dyDescent="0.3">
      <c r="A237" s="15" t="s">
        <v>1649</v>
      </c>
      <c r="B237" s="16" t="s">
        <v>717</v>
      </c>
      <c r="C237" s="16" t="s">
        <v>25</v>
      </c>
      <c r="D237" s="16" t="s">
        <v>505</v>
      </c>
      <c r="E237" s="16" t="s">
        <v>1650</v>
      </c>
      <c r="F237" s="16" t="s">
        <v>339</v>
      </c>
      <c r="G237" s="16" t="s">
        <v>53</v>
      </c>
      <c r="H237" s="16" t="s">
        <v>1651</v>
      </c>
      <c r="I237" s="16" t="s">
        <v>1645</v>
      </c>
      <c r="J237" s="16" t="s">
        <v>1652</v>
      </c>
      <c r="K237" s="16" t="s">
        <v>964</v>
      </c>
      <c r="L237" s="16" t="s">
        <v>1647</v>
      </c>
      <c r="M237" s="16" t="s">
        <v>1648</v>
      </c>
      <c r="N237" s="16" t="s">
        <v>720</v>
      </c>
      <c r="O237" s="16" t="s">
        <v>959</v>
      </c>
      <c r="P237" s="16"/>
      <c r="Q237" s="16"/>
      <c r="R237" s="17"/>
    </row>
    <row r="238" spans="1:18" ht="409.6" x14ac:dyDescent="0.3">
      <c r="A238" s="12" t="s">
        <v>1653</v>
      </c>
      <c r="B238" s="13" t="s">
        <v>721</v>
      </c>
      <c r="C238" s="13" t="s">
        <v>25</v>
      </c>
      <c r="D238" s="13" t="s">
        <v>505</v>
      </c>
      <c r="E238" s="13" t="s">
        <v>1654</v>
      </c>
      <c r="F238" s="13" t="s">
        <v>52</v>
      </c>
      <c r="G238" s="13" t="s">
        <v>53</v>
      </c>
      <c r="H238" s="13" t="s">
        <v>1655</v>
      </c>
      <c r="I238" s="13" t="s">
        <v>1645</v>
      </c>
      <c r="J238" s="13" t="s">
        <v>968</v>
      </c>
      <c r="K238" s="13" t="s">
        <v>969</v>
      </c>
      <c r="L238" s="13" t="s">
        <v>1647</v>
      </c>
      <c r="M238" s="13" t="s">
        <v>1648</v>
      </c>
      <c r="N238" s="13" t="s">
        <v>720</v>
      </c>
      <c r="O238" s="13" t="s">
        <v>959</v>
      </c>
      <c r="P238" s="13"/>
      <c r="Q238" s="13"/>
      <c r="R238" s="14"/>
    </row>
    <row r="239" spans="1:18" ht="409.6" x14ac:dyDescent="0.3">
      <c r="A239" s="15" t="s">
        <v>1656</v>
      </c>
      <c r="B239" s="16" t="s">
        <v>721</v>
      </c>
      <c r="C239" s="16" t="s">
        <v>25</v>
      </c>
      <c r="D239" s="16" t="s">
        <v>505</v>
      </c>
      <c r="E239" s="16" t="s">
        <v>1657</v>
      </c>
      <c r="F239" s="16" t="s">
        <v>972</v>
      </c>
      <c r="G239" s="16" t="s">
        <v>53</v>
      </c>
      <c r="H239" s="16" t="s">
        <v>1658</v>
      </c>
      <c r="I239" s="16" t="s">
        <v>1645</v>
      </c>
      <c r="J239" s="16" t="s">
        <v>974</v>
      </c>
      <c r="K239" s="16" t="s">
        <v>975</v>
      </c>
      <c r="L239" s="16" t="s">
        <v>1647</v>
      </c>
      <c r="M239" s="16" t="s">
        <v>1648</v>
      </c>
      <c r="N239" s="16" t="s">
        <v>720</v>
      </c>
      <c r="O239" s="16" t="s">
        <v>959</v>
      </c>
      <c r="P239" s="16"/>
      <c r="Q239" s="16"/>
      <c r="R239" s="17"/>
    </row>
    <row r="240" spans="1:18" ht="409.6" x14ac:dyDescent="0.3">
      <c r="A240" s="12" t="s">
        <v>1659</v>
      </c>
      <c r="B240" s="13" t="s">
        <v>723</v>
      </c>
      <c r="C240" s="13" t="s">
        <v>25</v>
      </c>
      <c r="D240" s="13" t="s">
        <v>505</v>
      </c>
      <c r="E240" s="13" t="s">
        <v>724</v>
      </c>
      <c r="F240" s="13" t="s">
        <v>57</v>
      </c>
      <c r="G240" s="13" t="s">
        <v>46</v>
      </c>
      <c r="H240" s="13" t="s">
        <v>977</v>
      </c>
      <c r="I240" s="13" t="s">
        <v>1645</v>
      </c>
      <c r="J240" s="13" t="s">
        <v>1660</v>
      </c>
      <c r="K240" s="13" t="s">
        <v>1427</v>
      </c>
      <c r="L240" s="13" t="s">
        <v>1647</v>
      </c>
      <c r="M240" s="13" t="s">
        <v>1648</v>
      </c>
      <c r="N240" s="13" t="s">
        <v>725</v>
      </c>
      <c r="O240" s="13" t="s">
        <v>959</v>
      </c>
      <c r="P240" s="13"/>
      <c r="Q240" s="13"/>
      <c r="R240" s="14"/>
    </row>
    <row r="241" spans="1:18" ht="409.6" x14ac:dyDescent="0.3">
      <c r="A241" s="15" t="s">
        <v>1661</v>
      </c>
      <c r="B241" s="16" t="s">
        <v>726</v>
      </c>
      <c r="C241" s="16" t="s">
        <v>25</v>
      </c>
      <c r="D241" s="16" t="s">
        <v>505</v>
      </c>
      <c r="E241" s="16" t="s">
        <v>727</v>
      </c>
      <c r="F241" s="16" t="s">
        <v>45</v>
      </c>
      <c r="G241" s="16" t="s">
        <v>46</v>
      </c>
      <c r="H241" s="16" t="s">
        <v>1662</v>
      </c>
      <c r="I241" s="16" t="s">
        <v>1645</v>
      </c>
      <c r="J241" s="16" t="s">
        <v>1663</v>
      </c>
      <c r="K241" s="16" t="s">
        <v>1664</v>
      </c>
      <c r="L241" s="16" t="s">
        <v>1647</v>
      </c>
      <c r="M241" s="16" t="s">
        <v>1648</v>
      </c>
      <c r="N241" s="16" t="s">
        <v>729</v>
      </c>
      <c r="O241" s="16" t="s">
        <v>959</v>
      </c>
      <c r="P241" s="16"/>
      <c r="Q241" s="16"/>
      <c r="R241" s="17" t="s">
        <v>990</v>
      </c>
    </row>
    <row r="242" spans="1:18" ht="409.6" x14ac:dyDescent="0.3">
      <c r="A242" s="12" t="s">
        <v>1665</v>
      </c>
      <c r="B242" s="13" t="s">
        <v>730</v>
      </c>
      <c r="C242" s="13" t="s">
        <v>25</v>
      </c>
      <c r="D242" s="13" t="s">
        <v>505</v>
      </c>
      <c r="E242" s="13" t="s">
        <v>731</v>
      </c>
      <c r="F242" s="13" t="s">
        <v>45</v>
      </c>
      <c r="G242" s="13" t="s">
        <v>46</v>
      </c>
      <c r="H242" s="13" t="s">
        <v>1666</v>
      </c>
      <c r="I242" s="13" t="s">
        <v>1645</v>
      </c>
      <c r="J242" s="13" t="s">
        <v>1667</v>
      </c>
      <c r="K242" s="13" t="s">
        <v>1668</v>
      </c>
      <c r="L242" s="13" t="s">
        <v>1647</v>
      </c>
      <c r="M242" s="13" t="s">
        <v>1648</v>
      </c>
      <c r="N242" s="13" t="s">
        <v>733</v>
      </c>
      <c r="O242" s="13" t="s">
        <v>959</v>
      </c>
      <c r="P242" s="13"/>
      <c r="Q242" s="13"/>
      <c r="R242" s="14" t="s">
        <v>990</v>
      </c>
    </row>
    <row r="243" spans="1:18" ht="409.6" x14ac:dyDescent="0.3">
      <c r="A243" s="15" t="s">
        <v>1669</v>
      </c>
      <c r="B243" s="16" t="s">
        <v>734</v>
      </c>
      <c r="C243" s="16" t="s">
        <v>25</v>
      </c>
      <c r="D243" s="16" t="s">
        <v>505</v>
      </c>
      <c r="E243" s="16" t="s">
        <v>735</v>
      </c>
      <c r="F243" s="16" t="s">
        <v>45</v>
      </c>
      <c r="G243" s="16" t="s">
        <v>46</v>
      </c>
      <c r="H243" s="16" t="s">
        <v>1670</v>
      </c>
      <c r="I243" s="16" t="s">
        <v>1645</v>
      </c>
      <c r="J243" s="16" t="s">
        <v>1671</v>
      </c>
      <c r="K243" s="16" t="s">
        <v>1672</v>
      </c>
      <c r="L243" s="16" t="s">
        <v>1647</v>
      </c>
      <c r="M243" s="16" t="s">
        <v>1648</v>
      </c>
      <c r="N243" s="16" t="s">
        <v>737</v>
      </c>
      <c r="O243" s="16" t="s">
        <v>959</v>
      </c>
      <c r="P243" s="16"/>
      <c r="Q243" s="16"/>
      <c r="R243" s="17" t="s">
        <v>990</v>
      </c>
    </row>
    <row r="244" spans="1:18" ht="409.6" x14ac:dyDescent="0.3">
      <c r="A244" s="12" t="s">
        <v>1673</v>
      </c>
      <c r="B244" s="13" t="s">
        <v>738</v>
      </c>
      <c r="C244" s="13" t="s">
        <v>25</v>
      </c>
      <c r="D244" s="13" t="s">
        <v>505</v>
      </c>
      <c r="E244" s="13" t="s">
        <v>739</v>
      </c>
      <c r="F244" s="13" t="s">
        <v>45</v>
      </c>
      <c r="G244" s="13" t="s">
        <v>53</v>
      </c>
      <c r="H244" s="13" t="s">
        <v>977</v>
      </c>
      <c r="I244" s="13" t="s">
        <v>1645</v>
      </c>
      <c r="J244" s="13" t="s">
        <v>1674</v>
      </c>
      <c r="K244" s="13" t="s">
        <v>1675</v>
      </c>
      <c r="L244" s="13" t="s">
        <v>1647</v>
      </c>
      <c r="M244" s="13" t="s">
        <v>1648</v>
      </c>
      <c r="N244" s="13" t="s">
        <v>741</v>
      </c>
      <c r="O244" s="13" t="s">
        <v>959</v>
      </c>
      <c r="P244" s="13"/>
      <c r="Q244" s="13"/>
      <c r="R244" s="14"/>
    </row>
    <row r="245" spans="1:18" ht="409.6" x14ac:dyDescent="0.3">
      <c r="A245" s="15" t="s">
        <v>1676</v>
      </c>
      <c r="B245" s="16" t="s">
        <v>742</v>
      </c>
      <c r="C245" s="16" t="s">
        <v>25</v>
      </c>
      <c r="D245" s="16" t="s">
        <v>505</v>
      </c>
      <c r="E245" s="16" t="s">
        <v>743</v>
      </c>
      <c r="F245" s="16" t="s">
        <v>57</v>
      </c>
      <c r="G245" s="16" t="s">
        <v>53</v>
      </c>
      <c r="H245" s="16" t="s">
        <v>1677</v>
      </c>
      <c r="I245" s="16" t="s">
        <v>1645</v>
      </c>
      <c r="J245" s="16" t="s">
        <v>1678</v>
      </c>
      <c r="K245" s="16" t="s">
        <v>1679</v>
      </c>
      <c r="L245" s="16" t="s">
        <v>1647</v>
      </c>
      <c r="M245" s="16" t="s">
        <v>1648</v>
      </c>
      <c r="N245" s="16" t="s">
        <v>745</v>
      </c>
      <c r="O245" s="16" t="s">
        <v>959</v>
      </c>
      <c r="P245" s="16"/>
      <c r="Q245" s="16"/>
      <c r="R245" s="17" t="s">
        <v>990</v>
      </c>
    </row>
    <row r="246" spans="1:18" ht="409.6" x14ac:dyDescent="0.3">
      <c r="A246" s="12" t="s">
        <v>1680</v>
      </c>
      <c r="B246" s="13" t="s">
        <v>746</v>
      </c>
      <c r="C246" s="13" t="s">
        <v>25</v>
      </c>
      <c r="D246" s="13" t="s">
        <v>505</v>
      </c>
      <c r="E246" s="13" t="s">
        <v>747</v>
      </c>
      <c r="F246" s="13" t="s">
        <v>57</v>
      </c>
      <c r="G246" s="13" t="s">
        <v>46</v>
      </c>
      <c r="H246" s="13" t="s">
        <v>1681</v>
      </c>
      <c r="I246" s="13" t="s">
        <v>1645</v>
      </c>
      <c r="J246" s="13" t="s">
        <v>1682</v>
      </c>
      <c r="K246" s="13" t="s">
        <v>1683</v>
      </c>
      <c r="L246" s="13" t="s">
        <v>1647</v>
      </c>
      <c r="M246" s="13" t="s">
        <v>1648</v>
      </c>
      <c r="N246" s="13" t="s">
        <v>749</v>
      </c>
      <c r="O246" s="13" t="s">
        <v>959</v>
      </c>
      <c r="P246" s="13"/>
      <c r="Q246" s="13"/>
      <c r="R246" s="14" t="s">
        <v>990</v>
      </c>
    </row>
    <row r="247" spans="1:18" ht="409.6" x14ac:dyDescent="0.3">
      <c r="A247" s="15" t="s">
        <v>1684</v>
      </c>
      <c r="B247" s="16" t="s">
        <v>750</v>
      </c>
      <c r="C247" s="16" t="s">
        <v>25</v>
      </c>
      <c r="D247" s="16" t="s">
        <v>505</v>
      </c>
      <c r="E247" s="16" t="s">
        <v>751</v>
      </c>
      <c r="F247" s="16" t="s">
        <v>57</v>
      </c>
      <c r="G247" s="16" t="s">
        <v>46</v>
      </c>
      <c r="H247" s="16" t="s">
        <v>977</v>
      </c>
      <c r="I247" s="16" t="s">
        <v>1645</v>
      </c>
      <c r="J247" s="16" t="s">
        <v>1685</v>
      </c>
      <c r="K247" s="16" t="s">
        <v>1686</v>
      </c>
      <c r="L247" s="16" t="s">
        <v>1647</v>
      </c>
      <c r="M247" s="16" t="s">
        <v>1648</v>
      </c>
      <c r="N247" s="16" t="s">
        <v>753</v>
      </c>
      <c r="O247" s="16" t="s">
        <v>959</v>
      </c>
      <c r="P247" s="16"/>
      <c r="Q247" s="16"/>
      <c r="R247" s="17"/>
    </row>
    <row r="248" spans="1:18" ht="409.6" x14ac:dyDescent="0.3">
      <c r="A248" s="12" t="s">
        <v>1687</v>
      </c>
      <c r="B248" s="13" t="s">
        <v>754</v>
      </c>
      <c r="C248" s="13" t="s">
        <v>25</v>
      </c>
      <c r="D248" s="13" t="s">
        <v>505</v>
      </c>
      <c r="E248" s="13" t="s">
        <v>755</v>
      </c>
      <c r="F248" s="13" t="s">
        <v>339</v>
      </c>
      <c r="G248" s="13" t="s">
        <v>53</v>
      </c>
      <c r="H248" s="13" t="s">
        <v>1688</v>
      </c>
      <c r="I248" s="13" t="s">
        <v>1645</v>
      </c>
      <c r="J248" s="13" t="s">
        <v>1689</v>
      </c>
      <c r="K248" s="13" t="s">
        <v>1690</v>
      </c>
      <c r="L248" s="13" t="s">
        <v>1647</v>
      </c>
      <c r="M248" s="13" t="s">
        <v>1648</v>
      </c>
      <c r="N248" s="13" t="s">
        <v>757</v>
      </c>
      <c r="O248" s="13" t="s">
        <v>959</v>
      </c>
      <c r="P248" s="13"/>
      <c r="Q248" s="13"/>
      <c r="R248" s="14" t="s">
        <v>990</v>
      </c>
    </row>
    <row r="249" spans="1:18" ht="409.6" x14ac:dyDescent="0.3">
      <c r="A249" s="15" t="s">
        <v>1691</v>
      </c>
      <c r="B249" s="16" t="s">
        <v>758</v>
      </c>
      <c r="C249" s="16" t="s">
        <v>25</v>
      </c>
      <c r="D249" s="16" t="s">
        <v>505</v>
      </c>
      <c r="E249" s="16" t="s">
        <v>759</v>
      </c>
      <c r="F249" s="16" t="s">
        <v>57</v>
      </c>
      <c r="G249" s="16" t="s">
        <v>46</v>
      </c>
      <c r="H249" s="16" t="s">
        <v>977</v>
      </c>
      <c r="I249" s="16" t="s">
        <v>1645</v>
      </c>
      <c r="J249" s="16" t="s">
        <v>1692</v>
      </c>
      <c r="K249" s="16" t="s">
        <v>1693</v>
      </c>
      <c r="L249" s="16" t="s">
        <v>1647</v>
      </c>
      <c r="M249" s="16" t="s">
        <v>1648</v>
      </c>
      <c r="N249" s="16" t="s">
        <v>761</v>
      </c>
      <c r="O249" s="16" t="s">
        <v>959</v>
      </c>
      <c r="P249" s="16"/>
      <c r="Q249" s="16"/>
      <c r="R249" s="17"/>
    </row>
    <row r="250" spans="1:18" ht="409.6" x14ac:dyDescent="0.3">
      <c r="A250" s="12" t="s">
        <v>1694</v>
      </c>
      <c r="B250" s="13" t="s">
        <v>762</v>
      </c>
      <c r="C250" s="13" t="s">
        <v>25</v>
      </c>
      <c r="D250" s="13" t="s">
        <v>505</v>
      </c>
      <c r="E250" s="13" t="s">
        <v>763</v>
      </c>
      <c r="F250" s="13" t="s">
        <v>45</v>
      </c>
      <c r="G250" s="13" t="s">
        <v>46</v>
      </c>
      <c r="H250" s="13" t="s">
        <v>977</v>
      </c>
      <c r="I250" s="13" t="s">
        <v>1645</v>
      </c>
      <c r="J250" s="13" t="s">
        <v>1695</v>
      </c>
      <c r="K250" s="13" t="s">
        <v>1696</v>
      </c>
      <c r="L250" s="13" t="s">
        <v>1647</v>
      </c>
      <c r="M250" s="13" t="s">
        <v>1648</v>
      </c>
      <c r="N250" s="13" t="s">
        <v>765</v>
      </c>
      <c r="O250" s="13" t="s">
        <v>959</v>
      </c>
      <c r="P250" s="13"/>
      <c r="Q250" s="13"/>
      <c r="R250" s="14"/>
    </row>
    <row r="251" spans="1:18" ht="409.6" x14ac:dyDescent="0.3">
      <c r="A251" s="15" t="s">
        <v>1697</v>
      </c>
      <c r="B251" s="16" t="s">
        <v>766</v>
      </c>
      <c r="C251" s="16" t="s">
        <v>25</v>
      </c>
      <c r="D251" s="16" t="s">
        <v>505</v>
      </c>
      <c r="E251" s="16" t="s">
        <v>767</v>
      </c>
      <c r="F251" s="16" t="s">
        <v>45</v>
      </c>
      <c r="G251" s="16" t="s">
        <v>46</v>
      </c>
      <c r="H251" s="16" t="s">
        <v>1513</v>
      </c>
      <c r="I251" s="16" t="s">
        <v>1645</v>
      </c>
      <c r="J251" s="16" t="s">
        <v>1698</v>
      </c>
      <c r="K251" s="16" t="s">
        <v>1515</v>
      </c>
      <c r="L251" s="16" t="s">
        <v>1647</v>
      </c>
      <c r="M251" s="16" t="s">
        <v>1648</v>
      </c>
      <c r="N251" s="16" t="s">
        <v>768</v>
      </c>
      <c r="O251" s="16" t="s">
        <v>959</v>
      </c>
      <c r="P251" s="16"/>
      <c r="Q251" s="16"/>
      <c r="R251" s="17" t="s">
        <v>990</v>
      </c>
    </row>
    <row r="252" spans="1:18" ht="409.6" x14ac:dyDescent="0.3">
      <c r="A252" s="12" t="s">
        <v>1699</v>
      </c>
      <c r="B252" s="13" t="s">
        <v>769</v>
      </c>
      <c r="C252" s="13" t="s">
        <v>25</v>
      </c>
      <c r="D252" s="13" t="s">
        <v>505</v>
      </c>
      <c r="E252" s="13" t="s">
        <v>770</v>
      </c>
      <c r="F252" s="13" t="s">
        <v>45</v>
      </c>
      <c r="G252" s="13" t="s">
        <v>53</v>
      </c>
      <c r="H252" s="13" t="s">
        <v>977</v>
      </c>
      <c r="I252" s="13" t="s">
        <v>1645</v>
      </c>
      <c r="J252" s="13" t="s">
        <v>1700</v>
      </c>
      <c r="K252" s="13" t="s">
        <v>1701</v>
      </c>
      <c r="L252" s="13" t="s">
        <v>1647</v>
      </c>
      <c r="M252" s="13" t="s">
        <v>1648</v>
      </c>
      <c r="N252" s="13" t="s">
        <v>772</v>
      </c>
      <c r="O252" s="13" t="s">
        <v>959</v>
      </c>
      <c r="P252" s="13"/>
      <c r="Q252" s="13"/>
      <c r="R252" s="14"/>
    </row>
    <row r="253" spans="1:18" ht="409.6" x14ac:dyDescent="0.3">
      <c r="A253" s="15" t="s">
        <v>1702</v>
      </c>
      <c r="B253" s="16" t="s">
        <v>773</v>
      </c>
      <c r="C253" s="16" t="s">
        <v>25</v>
      </c>
      <c r="D253" s="16" t="s">
        <v>505</v>
      </c>
      <c r="E253" s="16" t="s">
        <v>1703</v>
      </c>
      <c r="F253" s="16" t="s">
        <v>953</v>
      </c>
      <c r="G253" s="16" t="s">
        <v>53</v>
      </c>
      <c r="H253" s="16" t="s">
        <v>1704</v>
      </c>
      <c r="I253" s="16" t="s">
        <v>1645</v>
      </c>
      <c r="J253" s="16" t="s">
        <v>1000</v>
      </c>
      <c r="K253" s="16" t="s">
        <v>1001</v>
      </c>
      <c r="L253" s="16" t="s">
        <v>1647</v>
      </c>
      <c r="M253" s="16" t="s">
        <v>1648</v>
      </c>
      <c r="N253" s="16" t="s">
        <v>720</v>
      </c>
      <c r="O253" s="16" t="s">
        <v>959</v>
      </c>
      <c r="P253" s="16"/>
      <c r="Q253" s="16"/>
      <c r="R253" s="17"/>
    </row>
    <row r="254" spans="1:18" ht="409.6" x14ac:dyDescent="0.3">
      <c r="A254" s="12" t="s">
        <v>1705</v>
      </c>
      <c r="B254" s="13" t="s">
        <v>773</v>
      </c>
      <c r="C254" s="13" t="s">
        <v>25</v>
      </c>
      <c r="D254" s="13" t="s">
        <v>505</v>
      </c>
      <c r="E254" s="13" t="s">
        <v>1706</v>
      </c>
      <c r="F254" s="13" t="s">
        <v>339</v>
      </c>
      <c r="G254" s="13" t="s">
        <v>53</v>
      </c>
      <c r="H254" s="13" t="s">
        <v>1707</v>
      </c>
      <c r="I254" s="13" t="s">
        <v>1645</v>
      </c>
      <c r="J254" s="13" t="s">
        <v>1005</v>
      </c>
      <c r="K254" s="13" t="s">
        <v>1006</v>
      </c>
      <c r="L254" s="13" t="s">
        <v>1647</v>
      </c>
      <c r="M254" s="13" t="s">
        <v>1648</v>
      </c>
      <c r="N254" s="13" t="s">
        <v>720</v>
      </c>
      <c r="O254" s="13" t="s">
        <v>959</v>
      </c>
      <c r="P254" s="13"/>
      <c r="Q254" s="13"/>
      <c r="R254" s="14"/>
    </row>
    <row r="255" spans="1:18" ht="409.6" x14ac:dyDescent="0.3">
      <c r="A255" s="15" t="s">
        <v>1708</v>
      </c>
      <c r="B255" s="16" t="s">
        <v>775</v>
      </c>
      <c r="C255" s="16" t="s">
        <v>25</v>
      </c>
      <c r="D255" s="16" t="s">
        <v>505</v>
      </c>
      <c r="E255" s="16" t="s">
        <v>1709</v>
      </c>
      <c r="F255" s="16" t="s">
        <v>953</v>
      </c>
      <c r="G255" s="16" t="s">
        <v>46</v>
      </c>
      <c r="H255" s="16" t="s">
        <v>1644</v>
      </c>
      <c r="I255" s="16" t="s">
        <v>1710</v>
      </c>
      <c r="J255" s="16" t="s">
        <v>1711</v>
      </c>
      <c r="K255" s="16" t="s">
        <v>1412</v>
      </c>
      <c r="L255" s="16" t="s">
        <v>1712</v>
      </c>
      <c r="M255" s="16" t="s">
        <v>1713</v>
      </c>
      <c r="N255" s="16" t="s">
        <v>778</v>
      </c>
      <c r="O255" s="16" t="s">
        <v>959</v>
      </c>
      <c r="P255" s="16"/>
      <c r="Q255" s="16"/>
      <c r="R255" s="17"/>
    </row>
    <row r="256" spans="1:18" ht="409.6" x14ac:dyDescent="0.3">
      <c r="A256" s="12" t="s">
        <v>1714</v>
      </c>
      <c r="B256" s="13" t="s">
        <v>775</v>
      </c>
      <c r="C256" s="13" t="s">
        <v>25</v>
      </c>
      <c r="D256" s="13" t="s">
        <v>505</v>
      </c>
      <c r="E256" s="13" t="s">
        <v>1715</v>
      </c>
      <c r="F256" s="13" t="s">
        <v>339</v>
      </c>
      <c r="G256" s="13" t="s">
        <v>53</v>
      </c>
      <c r="H256" s="13" t="s">
        <v>1651</v>
      </c>
      <c r="I256" s="13" t="s">
        <v>1710</v>
      </c>
      <c r="J256" s="13" t="s">
        <v>1716</v>
      </c>
      <c r="K256" s="13" t="s">
        <v>964</v>
      </c>
      <c r="L256" s="13" t="s">
        <v>1712</v>
      </c>
      <c r="M256" s="13" t="s">
        <v>1713</v>
      </c>
      <c r="N256" s="13" t="s">
        <v>778</v>
      </c>
      <c r="O256" s="13" t="s">
        <v>959</v>
      </c>
      <c r="P256" s="13"/>
      <c r="Q256" s="13"/>
      <c r="R256" s="14"/>
    </row>
    <row r="257" spans="1:18" ht="409.6" x14ac:dyDescent="0.3">
      <c r="A257" s="15" t="s">
        <v>1717</v>
      </c>
      <c r="B257" s="16" t="s">
        <v>779</v>
      </c>
      <c r="C257" s="16" t="s">
        <v>25</v>
      </c>
      <c r="D257" s="16" t="s">
        <v>505</v>
      </c>
      <c r="E257" s="16" t="s">
        <v>1718</v>
      </c>
      <c r="F257" s="16" t="s">
        <v>52</v>
      </c>
      <c r="G257" s="16" t="s">
        <v>53</v>
      </c>
      <c r="H257" s="16" t="s">
        <v>1719</v>
      </c>
      <c r="I257" s="16" t="s">
        <v>1710</v>
      </c>
      <c r="J257" s="16" t="s">
        <v>968</v>
      </c>
      <c r="K257" s="16" t="s">
        <v>969</v>
      </c>
      <c r="L257" s="16" t="s">
        <v>1712</v>
      </c>
      <c r="M257" s="16" t="s">
        <v>1713</v>
      </c>
      <c r="N257" s="16" t="s">
        <v>778</v>
      </c>
      <c r="O257" s="16" t="s">
        <v>959</v>
      </c>
      <c r="P257" s="16"/>
      <c r="Q257" s="16"/>
      <c r="R257" s="17"/>
    </row>
    <row r="258" spans="1:18" ht="409.6" x14ac:dyDescent="0.3">
      <c r="A258" s="12" t="s">
        <v>1720</v>
      </c>
      <c r="B258" s="13" t="s">
        <v>779</v>
      </c>
      <c r="C258" s="13" t="s">
        <v>25</v>
      </c>
      <c r="D258" s="13" t="s">
        <v>505</v>
      </c>
      <c r="E258" s="13" t="s">
        <v>1721</v>
      </c>
      <c r="F258" s="13" t="s">
        <v>972</v>
      </c>
      <c r="G258" s="13" t="s">
        <v>53</v>
      </c>
      <c r="H258" s="13" t="s">
        <v>1722</v>
      </c>
      <c r="I258" s="13" t="s">
        <v>1710</v>
      </c>
      <c r="J258" s="13" t="s">
        <v>974</v>
      </c>
      <c r="K258" s="13" t="s">
        <v>975</v>
      </c>
      <c r="L258" s="13" t="s">
        <v>1712</v>
      </c>
      <c r="M258" s="13" t="s">
        <v>1713</v>
      </c>
      <c r="N258" s="13" t="s">
        <v>778</v>
      </c>
      <c r="O258" s="13" t="s">
        <v>959</v>
      </c>
      <c r="P258" s="13"/>
      <c r="Q258" s="13"/>
      <c r="R258" s="14"/>
    </row>
    <row r="259" spans="1:18" ht="409.6" x14ac:dyDescent="0.3">
      <c r="A259" s="15" t="s">
        <v>1723</v>
      </c>
      <c r="B259" s="16" t="s">
        <v>781</v>
      </c>
      <c r="C259" s="16" t="s">
        <v>25</v>
      </c>
      <c r="D259" s="16" t="s">
        <v>505</v>
      </c>
      <c r="E259" s="16" t="s">
        <v>782</v>
      </c>
      <c r="F259" s="16" t="s">
        <v>57</v>
      </c>
      <c r="G259" s="16" t="s">
        <v>46</v>
      </c>
      <c r="H259" s="16" t="s">
        <v>977</v>
      </c>
      <c r="I259" s="16" t="s">
        <v>1710</v>
      </c>
      <c r="J259" s="16" t="s">
        <v>1724</v>
      </c>
      <c r="K259" s="16" t="s">
        <v>1427</v>
      </c>
      <c r="L259" s="16" t="s">
        <v>1712</v>
      </c>
      <c r="M259" s="16" t="s">
        <v>1713</v>
      </c>
      <c r="N259" s="16" t="s">
        <v>783</v>
      </c>
      <c r="O259" s="16" t="s">
        <v>959</v>
      </c>
      <c r="P259" s="16"/>
      <c r="Q259" s="16"/>
      <c r="R259" s="17"/>
    </row>
    <row r="260" spans="1:18" ht="409.6" x14ac:dyDescent="0.3">
      <c r="A260" s="12" t="s">
        <v>1725</v>
      </c>
      <c r="B260" s="13" t="s">
        <v>784</v>
      </c>
      <c r="C260" s="13" t="s">
        <v>25</v>
      </c>
      <c r="D260" s="13" t="s">
        <v>505</v>
      </c>
      <c r="E260" s="13" t="s">
        <v>785</v>
      </c>
      <c r="F260" s="13" t="s">
        <v>45</v>
      </c>
      <c r="G260" s="13" t="s">
        <v>46</v>
      </c>
      <c r="H260" s="13" t="s">
        <v>977</v>
      </c>
      <c r="I260" s="13" t="s">
        <v>1710</v>
      </c>
      <c r="J260" s="13" t="s">
        <v>1726</v>
      </c>
      <c r="K260" s="13" t="s">
        <v>1727</v>
      </c>
      <c r="L260" s="13" t="s">
        <v>1712</v>
      </c>
      <c r="M260" s="13" t="s">
        <v>1713</v>
      </c>
      <c r="N260" s="13" t="s">
        <v>787</v>
      </c>
      <c r="O260" s="13" t="s">
        <v>959</v>
      </c>
      <c r="P260" s="13"/>
      <c r="Q260" s="13"/>
      <c r="R260" s="14"/>
    </row>
    <row r="261" spans="1:18" ht="409.6" x14ac:dyDescent="0.3">
      <c r="A261" s="15" t="s">
        <v>1728</v>
      </c>
      <c r="B261" s="16" t="s">
        <v>788</v>
      </c>
      <c r="C261" s="16" t="s">
        <v>25</v>
      </c>
      <c r="D261" s="16" t="s">
        <v>505</v>
      </c>
      <c r="E261" s="16" t="s">
        <v>789</v>
      </c>
      <c r="F261" s="16" t="s">
        <v>45</v>
      </c>
      <c r="G261" s="16" t="s">
        <v>46</v>
      </c>
      <c r="H261" s="16" t="s">
        <v>1666</v>
      </c>
      <c r="I261" s="16" t="s">
        <v>1710</v>
      </c>
      <c r="J261" s="16" t="s">
        <v>1729</v>
      </c>
      <c r="K261" s="16" t="s">
        <v>1668</v>
      </c>
      <c r="L261" s="16" t="s">
        <v>1712</v>
      </c>
      <c r="M261" s="16" t="s">
        <v>1713</v>
      </c>
      <c r="N261" s="16" t="s">
        <v>790</v>
      </c>
      <c r="O261" s="16" t="s">
        <v>959</v>
      </c>
      <c r="P261" s="16"/>
      <c r="Q261" s="16"/>
      <c r="R261" s="17" t="s">
        <v>990</v>
      </c>
    </row>
    <row r="262" spans="1:18" ht="409.6" x14ac:dyDescent="0.3">
      <c r="A262" s="12" t="s">
        <v>1730</v>
      </c>
      <c r="B262" s="13" t="s">
        <v>791</v>
      </c>
      <c r="C262" s="13" t="s">
        <v>25</v>
      </c>
      <c r="D262" s="13" t="s">
        <v>505</v>
      </c>
      <c r="E262" s="13" t="s">
        <v>792</v>
      </c>
      <c r="F262" s="13" t="s">
        <v>45</v>
      </c>
      <c r="G262" s="13" t="s">
        <v>46</v>
      </c>
      <c r="H262" s="13" t="s">
        <v>1731</v>
      </c>
      <c r="I262" s="13" t="s">
        <v>1710</v>
      </c>
      <c r="J262" s="13" t="s">
        <v>1732</v>
      </c>
      <c r="K262" s="13" t="s">
        <v>1733</v>
      </c>
      <c r="L262" s="13" t="s">
        <v>1712</v>
      </c>
      <c r="M262" s="13" t="s">
        <v>1713</v>
      </c>
      <c r="N262" s="13" t="s">
        <v>794</v>
      </c>
      <c r="O262" s="13" t="s">
        <v>959</v>
      </c>
      <c r="P262" s="13"/>
      <c r="Q262" s="13"/>
      <c r="R262" s="14" t="s">
        <v>990</v>
      </c>
    </row>
    <row r="263" spans="1:18" ht="409.6" x14ac:dyDescent="0.3">
      <c r="A263" s="15" t="s">
        <v>1734</v>
      </c>
      <c r="B263" s="16" t="s">
        <v>795</v>
      </c>
      <c r="C263" s="16" t="s">
        <v>25</v>
      </c>
      <c r="D263" s="16" t="s">
        <v>505</v>
      </c>
      <c r="E263" s="16" t="s">
        <v>796</v>
      </c>
      <c r="F263" s="16" t="s">
        <v>45</v>
      </c>
      <c r="G263" s="16" t="s">
        <v>53</v>
      </c>
      <c r="H263" s="16" t="s">
        <v>977</v>
      </c>
      <c r="I263" s="16" t="s">
        <v>1710</v>
      </c>
      <c r="J263" s="16" t="s">
        <v>1735</v>
      </c>
      <c r="K263" s="16" t="s">
        <v>1675</v>
      </c>
      <c r="L263" s="16" t="s">
        <v>1712</v>
      </c>
      <c r="M263" s="16" t="s">
        <v>1713</v>
      </c>
      <c r="N263" s="16" t="s">
        <v>797</v>
      </c>
      <c r="O263" s="16" t="s">
        <v>959</v>
      </c>
      <c r="P263" s="16"/>
      <c r="Q263" s="16"/>
      <c r="R263" s="17"/>
    </row>
    <row r="264" spans="1:18" ht="409.6" x14ac:dyDescent="0.3">
      <c r="A264" s="12" t="s">
        <v>1736</v>
      </c>
      <c r="B264" s="13" t="s">
        <v>798</v>
      </c>
      <c r="C264" s="13" t="s">
        <v>25</v>
      </c>
      <c r="D264" s="13" t="s">
        <v>505</v>
      </c>
      <c r="E264" s="13" t="s">
        <v>799</v>
      </c>
      <c r="F264" s="13" t="s">
        <v>57</v>
      </c>
      <c r="G264" s="13" t="s">
        <v>46</v>
      </c>
      <c r="H264" s="13" t="s">
        <v>1737</v>
      </c>
      <c r="I264" s="13" t="s">
        <v>1710</v>
      </c>
      <c r="J264" s="13" t="s">
        <v>1738</v>
      </c>
      <c r="K264" s="13" t="s">
        <v>1739</v>
      </c>
      <c r="L264" s="13" t="s">
        <v>1712</v>
      </c>
      <c r="M264" s="13" t="s">
        <v>1713</v>
      </c>
      <c r="N264" s="13" t="s">
        <v>801</v>
      </c>
      <c r="O264" s="13" t="s">
        <v>959</v>
      </c>
      <c r="P264" s="13"/>
      <c r="Q264" s="13"/>
      <c r="R264" s="14" t="s">
        <v>990</v>
      </c>
    </row>
    <row r="265" spans="1:18" ht="409.6" x14ac:dyDescent="0.3">
      <c r="A265" s="15" t="s">
        <v>1740</v>
      </c>
      <c r="B265" s="16" t="s">
        <v>802</v>
      </c>
      <c r="C265" s="16" t="s">
        <v>25</v>
      </c>
      <c r="D265" s="16" t="s">
        <v>505</v>
      </c>
      <c r="E265" s="16" t="s">
        <v>803</v>
      </c>
      <c r="F265" s="16" t="s">
        <v>57</v>
      </c>
      <c r="G265" s="16" t="s">
        <v>53</v>
      </c>
      <c r="H265" s="16" t="s">
        <v>1741</v>
      </c>
      <c r="I265" s="16" t="s">
        <v>1710</v>
      </c>
      <c r="J265" s="16" t="s">
        <v>1742</v>
      </c>
      <c r="K265" s="16" t="s">
        <v>1743</v>
      </c>
      <c r="L265" s="16" t="s">
        <v>1712</v>
      </c>
      <c r="M265" s="16" t="s">
        <v>1713</v>
      </c>
      <c r="N265" s="16" t="s">
        <v>805</v>
      </c>
      <c r="O265" s="16" t="s">
        <v>959</v>
      </c>
      <c r="P265" s="16"/>
      <c r="Q265" s="16"/>
      <c r="R265" s="17" t="s">
        <v>990</v>
      </c>
    </row>
    <row r="266" spans="1:18" ht="409.6" x14ac:dyDescent="0.3">
      <c r="A266" s="12" t="s">
        <v>1744</v>
      </c>
      <c r="B266" s="13" t="s">
        <v>806</v>
      </c>
      <c r="C266" s="13" t="s">
        <v>25</v>
      </c>
      <c r="D266" s="13" t="s">
        <v>505</v>
      </c>
      <c r="E266" s="13" t="s">
        <v>807</v>
      </c>
      <c r="F266" s="13" t="s">
        <v>57</v>
      </c>
      <c r="G266" s="13" t="s">
        <v>46</v>
      </c>
      <c r="H266" s="13" t="s">
        <v>977</v>
      </c>
      <c r="I266" s="13" t="s">
        <v>1710</v>
      </c>
      <c r="J266" s="13" t="s">
        <v>1745</v>
      </c>
      <c r="K266" s="13" t="s">
        <v>1504</v>
      </c>
      <c r="L266" s="13" t="s">
        <v>1712</v>
      </c>
      <c r="M266" s="13" t="s">
        <v>1713</v>
      </c>
      <c r="N266" s="13" t="s">
        <v>808</v>
      </c>
      <c r="O266" s="13" t="s">
        <v>959</v>
      </c>
      <c r="P266" s="13"/>
      <c r="Q266" s="13"/>
      <c r="R266" s="14"/>
    </row>
    <row r="267" spans="1:18" ht="409.6" x14ac:dyDescent="0.3">
      <c r="A267" s="15" t="s">
        <v>1746</v>
      </c>
      <c r="B267" s="16" t="s">
        <v>809</v>
      </c>
      <c r="C267" s="16" t="s">
        <v>25</v>
      </c>
      <c r="D267" s="16" t="s">
        <v>505</v>
      </c>
      <c r="E267" s="16" t="s">
        <v>810</v>
      </c>
      <c r="F267" s="16" t="s">
        <v>45</v>
      </c>
      <c r="G267" s="16" t="s">
        <v>46</v>
      </c>
      <c r="H267" s="16" t="s">
        <v>977</v>
      </c>
      <c r="I267" s="16" t="s">
        <v>1710</v>
      </c>
      <c r="J267" s="16" t="s">
        <v>1747</v>
      </c>
      <c r="K267" s="16" t="s">
        <v>1696</v>
      </c>
      <c r="L267" s="16" t="s">
        <v>1712</v>
      </c>
      <c r="M267" s="16" t="s">
        <v>1713</v>
      </c>
      <c r="N267" s="16" t="s">
        <v>811</v>
      </c>
      <c r="O267" s="16" t="s">
        <v>959</v>
      </c>
      <c r="P267" s="16"/>
      <c r="Q267" s="16"/>
      <c r="R267" s="17"/>
    </row>
    <row r="268" spans="1:18" ht="409.6" x14ac:dyDescent="0.3">
      <c r="A268" s="12" t="s">
        <v>1748</v>
      </c>
      <c r="B268" s="13" t="s">
        <v>812</v>
      </c>
      <c r="C268" s="13" t="s">
        <v>25</v>
      </c>
      <c r="D268" s="13" t="s">
        <v>505</v>
      </c>
      <c r="E268" s="13" t="s">
        <v>813</v>
      </c>
      <c r="F268" s="13" t="s">
        <v>45</v>
      </c>
      <c r="G268" s="13" t="s">
        <v>46</v>
      </c>
      <c r="H268" s="13" t="s">
        <v>1513</v>
      </c>
      <c r="I268" s="13" t="s">
        <v>1710</v>
      </c>
      <c r="J268" s="13" t="s">
        <v>1749</v>
      </c>
      <c r="K268" s="13" t="s">
        <v>1515</v>
      </c>
      <c r="L268" s="13" t="s">
        <v>1712</v>
      </c>
      <c r="M268" s="13" t="s">
        <v>1713</v>
      </c>
      <c r="N268" s="13" t="s">
        <v>814</v>
      </c>
      <c r="O268" s="13" t="s">
        <v>959</v>
      </c>
      <c r="P268" s="13"/>
      <c r="Q268" s="13"/>
      <c r="R268" s="14" t="s">
        <v>990</v>
      </c>
    </row>
    <row r="269" spans="1:18" ht="409.6" x14ac:dyDescent="0.3">
      <c r="A269" s="15" t="s">
        <v>1750</v>
      </c>
      <c r="B269" s="16" t="s">
        <v>815</v>
      </c>
      <c r="C269" s="16" t="s">
        <v>25</v>
      </c>
      <c r="D269" s="16" t="s">
        <v>505</v>
      </c>
      <c r="E269" s="16" t="s">
        <v>816</v>
      </c>
      <c r="F269" s="16" t="s">
        <v>45</v>
      </c>
      <c r="G269" s="16" t="s">
        <v>53</v>
      </c>
      <c r="H269" s="16" t="s">
        <v>977</v>
      </c>
      <c r="I269" s="16" t="s">
        <v>1710</v>
      </c>
      <c r="J269" s="16" t="s">
        <v>1751</v>
      </c>
      <c r="K269" s="16" t="s">
        <v>1752</v>
      </c>
      <c r="L269" s="16" t="s">
        <v>1712</v>
      </c>
      <c r="M269" s="16" t="s">
        <v>1713</v>
      </c>
      <c r="N269" s="16" t="s">
        <v>818</v>
      </c>
      <c r="O269" s="16" t="s">
        <v>959</v>
      </c>
      <c r="P269" s="16"/>
      <c r="Q269" s="16"/>
      <c r="R269" s="17"/>
    </row>
    <row r="270" spans="1:18" ht="409.6" x14ac:dyDescent="0.3">
      <c r="A270" s="12" t="s">
        <v>1753</v>
      </c>
      <c r="B270" s="13" t="s">
        <v>819</v>
      </c>
      <c r="C270" s="13" t="s">
        <v>25</v>
      </c>
      <c r="D270" s="13" t="s">
        <v>505</v>
      </c>
      <c r="E270" s="13" t="s">
        <v>1754</v>
      </c>
      <c r="F270" s="13" t="s">
        <v>953</v>
      </c>
      <c r="G270" s="13" t="s">
        <v>53</v>
      </c>
      <c r="H270" s="13" t="s">
        <v>1755</v>
      </c>
      <c r="I270" s="13" t="s">
        <v>1710</v>
      </c>
      <c r="J270" s="13" t="s">
        <v>1000</v>
      </c>
      <c r="K270" s="13" t="s">
        <v>1001</v>
      </c>
      <c r="L270" s="13" t="s">
        <v>1712</v>
      </c>
      <c r="M270" s="13" t="s">
        <v>1713</v>
      </c>
      <c r="N270" s="13" t="s">
        <v>778</v>
      </c>
      <c r="O270" s="13" t="s">
        <v>959</v>
      </c>
      <c r="P270" s="13"/>
      <c r="Q270" s="13"/>
      <c r="R270" s="14"/>
    </row>
    <row r="271" spans="1:18" ht="409.6" x14ac:dyDescent="0.3">
      <c r="A271" s="15" t="s">
        <v>1756</v>
      </c>
      <c r="B271" s="16" t="s">
        <v>819</v>
      </c>
      <c r="C271" s="16" t="s">
        <v>25</v>
      </c>
      <c r="D271" s="16" t="s">
        <v>505</v>
      </c>
      <c r="E271" s="16" t="s">
        <v>1757</v>
      </c>
      <c r="F271" s="16" t="s">
        <v>339</v>
      </c>
      <c r="G271" s="16" t="s">
        <v>53</v>
      </c>
      <c r="H271" s="16" t="s">
        <v>1758</v>
      </c>
      <c r="I271" s="16" t="s">
        <v>1710</v>
      </c>
      <c r="J271" s="16" t="s">
        <v>1005</v>
      </c>
      <c r="K271" s="16" t="s">
        <v>1006</v>
      </c>
      <c r="L271" s="16" t="s">
        <v>1712</v>
      </c>
      <c r="M271" s="16" t="s">
        <v>1713</v>
      </c>
      <c r="N271" s="16" t="s">
        <v>778</v>
      </c>
      <c r="O271" s="16" t="s">
        <v>959</v>
      </c>
      <c r="P271" s="16"/>
      <c r="Q271" s="16"/>
      <c r="R271" s="17"/>
    </row>
    <row r="272" spans="1:18" ht="409.6" x14ac:dyDescent="0.3">
      <c r="A272" s="12" t="s">
        <v>1759</v>
      </c>
      <c r="B272" s="13" t="s">
        <v>821</v>
      </c>
      <c r="C272" s="13" t="s">
        <v>25</v>
      </c>
      <c r="D272" s="13" t="s">
        <v>822</v>
      </c>
      <c r="E272" s="13" t="s">
        <v>1760</v>
      </c>
      <c r="F272" s="13" t="s">
        <v>953</v>
      </c>
      <c r="G272" s="13" t="s">
        <v>46</v>
      </c>
      <c r="H272" s="13" t="s">
        <v>1761</v>
      </c>
      <c r="I272" s="13" t="s">
        <v>1762</v>
      </c>
      <c r="J272" s="13" t="s">
        <v>1763</v>
      </c>
      <c r="K272" s="13" t="s">
        <v>1764</v>
      </c>
      <c r="L272" s="13" t="s">
        <v>1765</v>
      </c>
      <c r="M272" s="13" t="s">
        <v>1766</v>
      </c>
      <c r="N272" s="13" t="s">
        <v>826</v>
      </c>
      <c r="O272" s="13" t="s">
        <v>959</v>
      </c>
      <c r="P272" s="13"/>
      <c r="Q272" s="13"/>
      <c r="R272" s="14"/>
    </row>
    <row r="273" spans="1:18" ht="409.6" x14ac:dyDescent="0.3">
      <c r="A273" s="15" t="s">
        <v>1767</v>
      </c>
      <c r="B273" s="16" t="s">
        <v>821</v>
      </c>
      <c r="C273" s="16" t="s">
        <v>25</v>
      </c>
      <c r="D273" s="16" t="s">
        <v>822</v>
      </c>
      <c r="E273" s="16" t="s">
        <v>1768</v>
      </c>
      <c r="F273" s="16" t="s">
        <v>339</v>
      </c>
      <c r="G273" s="16" t="s">
        <v>53</v>
      </c>
      <c r="H273" s="16" t="s">
        <v>1769</v>
      </c>
      <c r="I273" s="16" t="s">
        <v>1762</v>
      </c>
      <c r="J273" s="16" t="s">
        <v>1770</v>
      </c>
      <c r="K273" s="16" t="s">
        <v>964</v>
      </c>
      <c r="L273" s="16" t="s">
        <v>1765</v>
      </c>
      <c r="M273" s="16" t="s">
        <v>1766</v>
      </c>
      <c r="N273" s="16" t="s">
        <v>826</v>
      </c>
      <c r="O273" s="16" t="s">
        <v>959</v>
      </c>
      <c r="P273" s="16"/>
      <c r="Q273" s="16"/>
      <c r="R273" s="17"/>
    </row>
    <row r="274" spans="1:18" ht="409.6" x14ac:dyDescent="0.3">
      <c r="A274" s="12" t="s">
        <v>1771</v>
      </c>
      <c r="B274" s="13" t="s">
        <v>827</v>
      </c>
      <c r="C274" s="13" t="s">
        <v>25</v>
      </c>
      <c r="D274" s="13" t="s">
        <v>822</v>
      </c>
      <c r="E274" s="13" t="s">
        <v>1772</v>
      </c>
      <c r="F274" s="13" t="s">
        <v>52</v>
      </c>
      <c r="G274" s="13" t="s">
        <v>53</v>
      </c>
      <c r="H274" s="13" t="s">
        <v>1773</v>
      </c>
      <c r="I274" s="13" t="s">
        <v>1762</v>
      </c>
      <c r="J274" s="13" t="s">
        <v>968</v>
      </c>
      <c r="K274" s="13" t="s">
        <v>969</v>
      </c>
      <c r="L274" s="13" t="s">
        <v>1765</v>
      </c>
      <c r="M274" s="13" t="s">
        <v>1766</v>
      </c>
      <c r="N274" s="13" t="s">
        <v>826</v>
      </c>
      <c r="O274" s="13" t="s">
        <v>959</v>
      </c>
      <c r="P274" s="13"/>
      <c r="Q274" s="13"/>
      <c r="R274" s="14"/>
    </row>
    <row r="275" spans="1:18" ht="409.6" x14ac:dyDescent="0.3">
      <c r="A275" s="15" t="s">
        <v>1774</v>
      </c>
      <c r="B275" s="16" t="s">
        <v>827</v>
      </c>
      <c r="C275" s="16" t="s">
        <v>25</v>
      </c>
      <c r="D275" s="16" t="s">
        <v>822</v>
      </c>
      <c r="E275" s="16" t="s">
        <v>1775</v>
      </c>
      <c r="F275" s="16" t="s">
        <v>972</v>
      </c>
      <c r="G275" s="16" t="s">
        <v>53</v>
      </c>
      <c r="H275" s="16" t="s">
        <v>1776</v>
      </c>
      <c r="I275" s="16" t="s">
        <v>1762</v>
      </c>
      <c r="J275" s="16" t="s">
        <v>974</v>
      </c>
      <c r="K275" s="16" t="s">
        <v>975</v>
      </c>
      <c r="L275" s="16" t="s">
        <v>1765</v>
      </c>
      <c r="M275" s="16" t="s">
        <v>1766</v>
      </c>
      <c r="N275" s="16" t="s">
        <v>826</v>
      </c>
      <c r="O275" s="16" t="s">
        <v>959</v>
      </c>
      <c r="P275" s="16"/>
      <c r="Q275" s="16"/>
      <c r="R275" s="17"/>
    </row>
    <row r="276" spans="1:18" ht="409.6" x14ac:dyDescent="0.3">
      <c r="A276" s="12" t="s">
        <v>1777</v>
      </c>
      <c r="B276" s="13" t="s">
        <v>830</v>
      </c>
      <c r="C276" s="13" t="s">
        <v>25</v>
      </c>
      <c r="D276" s="13" t="s">
        <v>822</v>
      </c>
      <c r="E276" s="13" t="s">
        <v>831</v>
      </c>
      <c r="F276" s="13" t="s">
        <v>57</v>
      </c>
      <c r="G276" s="13" t="s">
        <v>46</v>
      </c>
      <c r="H276" s="13" t="s">
        <v>1778</v>
      </c>
      <c r="I276" s="13" t="s">
        <v>1762</v>
      </c>
      <c r="J276" s="13" t="s">
        <v>1779</v>
      </c>
      <c r="K276" s="13" t="s">
        <v>1780</v>
      </c>
      <c r="L276" s="13" t="s">
        <v>1765</v>
      </c>
      <c r="M276" s="13" t="s">
        <v>1766</v>
      </c>
      <c r="N276" s="13" t="s">
        <v>833</v>
      </c>
      <c r="O276" s="13" t="s">
        <v>959</v>
      </c>
      <c r="P276" s="13"/>
      <c r="Q276" s="13"/>
      <c r="R276" s="14" t="s">
        <v>990</v>
      </c>
    </row>
    <row r="277" spans="1:18" ht="409.6" x14ac:dyDescent="0.3">
      <c r="A277" s="15" t="s">
        <v>1781</v>
      </c>
      <c r="B277" s="16" t="s">
        <v>834</v>
      </c>
      <c r="C277" s="16" t="s">
        <v>25</v>
      </c>
      <c r="D277" s="16" t="s">
        <v>822</v>
      </c>
      <c r="E277" s="16" t="s">
        <v>835</v>
      </c>
      <c r="F277" s="16" t="s">
        <v>57</v>
      </c>
      <c r="G277" s="16" t="s">
        <v>53</v>
      </c>
      <c r="H277" s="16" t="s">
        <v>977</v>
      </c>
      <c r="I277" s="16" t="s">
        <v>1762</v>
      </c>
      <c r="J277" s="16" t="s">
        <v>1782</v>
      </c>
      <c r="K277" s="16" t="s">
        <v>1783</v>
      </c>
      <c r="L277" s="16" t="s">
        <v>1765</v>
      </c>
      <c r="M277" s="16" t="s">
        <v>1766</v>
      </c>
      <c r="N277" s="16" t="s">
        <v>837</v>
      </c>
      <c r="O277" s="16" t="s">
        <v>959</v>
      </c>
      <c r="P277" s="16"/>
      <c r="Q277" s="16"/>
      <c r="R277" s="17"/>
    </row>
    <row r="278" spans="1:18" ht="409.6" x14ac:dyDescent="0.3">
      <c r="A278" s="12" t="s">
        <v>1784</v>
      </c>
      <c r="B278" s="13" t="s">
        <v>838</v>
      </c>
      <c r="C278" s="13" t="s">
        <v>25</v>
      </c>
      <c r="D278" s="13" t="s">
        <v>822</v>
      </c>
      <c r="E278" s="13" t="s">
        <v>839</v>
      </c>
      <c r="F278" s="13" t="s">
        <v>52</v>
      </c>
      <c r="G278" s="13" t="s">
        <v>53</v>
      </c>
      <c r="H278" s="13" t="s">
        <v>1785</v>
      </c>
      <c r="I278" s="13" t="s">
        <v>1762</v>
      </c>
      <c r="J278" s="13" t="s">
        <v>1786</v>
      </c>
      <c r="K278" s="13" t="s">
        <v>1787</v>
      </c>
      <c r="L278" s="13" t="s">
        <v>1765</v>
      </c>
      <c r="M278" s="13" t="s">
        <v>1766</v>
      </c>
      <c r="N278" s="13" t="s">
        <v>841</v>
      </c>
      <c r="O278" s="13" t="s">
        <v>959</v>
      </c>
      <c r="P278" s="13"/>
      <c r="Q278" s="13"/>
      <c r="R278" s="14" t="s">
        <v>990</v>
      </c>
    </row>
    <row r="279" spans="1:18" ht="409.6" x14ac:dyDescent="0.3">
      <c r="A279" s="15" t="s">
        <v>1788</v>
      </c>
      <c r="B279" s="16" t="s">
        <v>842</v>
      </c>
      <c r="C279" s="16" t="s">
        <v>25</v>
      </c>
      <c r="D279" s="16" t="s">
        <v>822</v>
      </c>
      <c r="E279" s="16" t="s">
        <v>843</v>
      </c>
      <c r="F279" s="16" t="s">
        <v>52</v>
      </c>
      <c r="G279" s="16" t="s">
        <v>53</v>
      </c>
      <c r="H279" s="16" t="s">
        <v>977</v>
      </c>
      <c r="I279" s="16" t="s">
        <v>1762</v>
      </c>
      <c r="J279" s="16" t="s">
        <v>1789</v>
      </c>
      <c r="K279" s="16" t="s">
        <v>1790</v>
      </c>
      <c r="L279" s="16" t="s">
        <v>1765</v>
      </c>
      <c r="M279" s="16" t="s">
        <v>1766</v>
      </c>
      <c r="N279" s="16" t="s">
        <v>845</v>
      </c>
      <c r="O279" s="16" t="s">
        <v>959</v>
      </c>
      <c r="P279" s="16"/>
      <c r="Q279" s="16"/>
      <c r="R279" s="17"/>
    </row>
    <row r="280" spans="1:18" ht="409.6" x14ac:dyDescent="0.3">
      <c r="A280" s="12" t="s">
        <v>1791</v>
      </c>
      <c r="B280" s="13" t="s">
        <v>846</v>
      </c>
      <c r="C280" s="13" t="s">
        <v>25</v>
      </c>
      <c r="D280" s="13" t="s">
        <v>822</v>
      </c>
      <c r="E280" s="13" t="s">
        <v>847</v>
      </c>
      <c r="F280" s="13" t="s">
        <v>339</v>
      </c>
      <c r="G280" s="13" t="s">
        <v>53</v>
      </c>
      <c r="H280" s="13" t="s">
        <v>1792</v>
      </c>
      <c r="I280" s="13" t="s">
        <v>1762</v>
      </c>
      <c r="J280" s="13" t="s">
        <v>1793</v>
      </c>
      <c r="K280" s="13" t="s">
        <v>1794</v>
      </c>
      <c r="L280" s="13" t="s">
        <v>1765</v>
      </c>
      <c r="M280" s="13" t="s">
        <v>1766</v>
      </c>
      <c r="N280" s="13" t="s">
        <v>849</v>
      </c>
      <c r="O280" s="13" t="s">
        <v>959</v>
      </c>
      <c r="P280" s="13"/>
      <c r="Q280" s="13"/>
      <c r="R280" s="14" t="s">
        <v>990</v>
      </c>
    </row>
    <row r="281" spans="1:18" ht="409.6" x14ac:dyDescent="0.3">
      <c r="A281" s="15" t="s">
        <v>1795</v>
      </c>
      <c r="B281" s="16" t="s">
        <v>850</v>
      </c>
      <c r="C281" s="16" t="s">
        <v>25</v>
      </c>
      <c r="D281" s="16" t="s">
        <v>822</v>
      </c>
      <c r="E281" s="16" t="s">
        <v>851</v>
      </c>
      <c r="F281" s="16" t="s">
        <v>339</v>
      </c>
      <c r="G281" s="16" t="s">
        <v>53</v>
      </c>
      <c r="H281" s="16" t="s">
        <v>977</v>
      </c>
      <c r="I281" s="16" t="s">
        <v>1762</v>
      </c>
      <c r="J281" s="16" t="s">
        <v>1796</v>
      </c>
      <c r="K281" s="16" t="s">
        <v>1797</v>
      </c>
      <c r="L281" s="16" t="s">
        <v>1765</v>
      </c>
      <c r="M281" s="16" t="s">
        <v>1766</v>
      </c>
      <c r="N281" s="16" t="s">
        <v>853</v>
      </c>
      <c r="O281" s="16" t="s">
        <v>959</v>
      </c>
      <c r="P281" s="16"/>
      <c r="Q281" s="16"/>
      <c r="R281" s="17"/>
    </row>
    <row r="282" spans="1:18" ht="409.6" x14ac:dyDescent="0.3">
      <c r="A282" s="12" t="s">
        <v>1798</v>
      </c>
      <c r="B282" s="13" t="s">
        <v>854</v>
      </c>
      <c r="C282" s="13" t="s">
        <v>25</v>
      </c>
      <c r="D282" s="13" t="s">
        <v>822</v>
      </c>
      <c r="E282" s="13" t="s">
        <v>855</v>
      </c>
      <c r="F282" s="13" t="s">
        <v>339</v>
      </c>
      <c r="G282" s="13" t="s">
        <v>53</v>
      </c>
      <c r="H282" s="13" t="s">
        <v>977</v>
      </c>
      <c r="I282" s="13" t="s">
        <v>1762</v>
      </c>
      <c r="J282" s="13" t="s">
        <v>1799</v>
      </c>
      <c r="K282" s="13" t="s">
        <v>1800</v>
      </c>
      <c r="L282" s="13" t="s">
        <v>1765</v>
      </c>
      <c r="M282" s="13" t="s">
        <v>1766</v>
      </c>
      <c r="N282" s="13" t="s">
        <v>857</v>
      </c>
      <c r="O282" s="13" t="s">
        <v>959</v>
      </c>
      <c r="P282" s="13"/>
      <c r="Q282" s="13"/>
      <c r="R282" s="14"/>
    </row>
    <row r="283" spans="1:18" ht="409.6" x14ac:dyDescent="0.3">
      <c r="A283" s="15" t="s">
        <v>1801</v>
      </c>
      <c r="B283" s="16" t="s">
        <v>858</v>
      </c>
      <c r="C283" s="16" t="s">
        <v>25</v>
      </c>
      <c r="D283" s="16" t="s">
        <v>822</v>
      </c>
      <c r="E283" s="16" t="s">
        <v>859</v>
      </c>
      <c r="F283" s="16" t="s">
        <v>339</v>
      </c>
      <c r="G283" s="16" t="s">
        <v>46</v>
      </c>
      <c r="H283" s="16" t="s">
        <v>1802</v>
      </c>
      <c r="I283" s="16" t="s">
        <v>1762</v>
      </c>
      <c r="J283" s="16" t="s">
        <v>1803</v>
      </c>
      <c r="K283" s="16" t="s">
        <v>1804</v>
      </c>
      <c r="L283" s="16" t="s">
        <v>1765</v>
      </c>
      <c r="M283" s="16" t="s">
        <v>1766</v>
      </c>
      <c r="N283" s="16" t="s">
        <v>861</v>
      </c>
      <c r="O283" s="16" t="s">
        <v>959</v>
      </c>
      <c r="P283" s="16"/>
      <c r="Q283" s="16"/>
      <c r="R283" s="17" t="s">
        <v>990</v>
      </c>
    </row>
    <row r="284" spans="1:18" ht="409.6" x14ac:dyDescent="0.3">
      <c r="A284" s="12" t="s">
        <v>1805</v>
      </c>
      <c r="B284" s="13" t="s">
        <v>862</v>
      </c>
      <c r="C284" s="13" t="s">
        <v>25</v>
      </c>
      <c r="D284" s="13" t="s">
        <v>822</v>
      </c>
      <c r="E284" s="13" t="s">
        <v>863</v>
      </c>
      <c r="F284" s="13" t="s">
        <v>57</v>
      </c>
      <c r="G284" s="13" t="s">
        <v>46</v>
      </c>
      <c r="H284" s="13" t="s">
        <v>1513</v>
      </c>
      <c r="I284" s="13" t="s">
        <v>1762</v>
      </c>
      <c r="J284" s="13" t="s">
        <v>1806</v>
      </c>
      <c r="K284" s="13" t="s">
        <v>1807</v>
      </c>
      <c r="L284" s="13" t="s">
        <v>1765</v>
      </c>
      <c r="M284" s="13" t="s">
        <v>1766</v>
      </c>
      <c r="N284" s="13" t="s">
        <v>865</v>
      </c>
      <c r="O284" s="13" t="s">
        <v>959</v>
      </c>
      <c r="P284" s="13"/>
      <c r="Q284" s="13"/>
      <c r="R284" s="14" t="s">
        <v>990</v>
      </c>
    </row>
    <row r="285" spans="1:18" ht="409.6" x14ac:dyDescent="0.3">
      <c r="A285" s="15" t="s">
        <v>1808</v>
      </c>
      <c r="B285" s="16" t="s">
        <v>866</v>
      </c>
      <c r="C285" s="16" t="s">
        <v>25</v>
      </c>
      <c r="D285" s="16" t="s">
        <v>822</v>
      </c>
      <c r="E285" s="16" t="s">
        <v>867</v>
      </c>
      <c r="F285" s="16" t="s">
        <v>57</v>
      </c>
      <c r="G285" s="16" t="s">
        <v>46</v>
      </c>
      <c r="H285" s="16" t="s">
        <v>977</v>
      </c>
      <c r="I285" s="16" t="s">
        <v>1762</v>
      </c>
      <c r="J285" s="16" t="s">
        <v>1809</v>
      </c>
      <c r="K285" s="16" t="s">
        <v>1810</v>
      </c>
      <c r="L285" s="16" t="s">
        <v>1765</v>
      </c>
      <c r="M285" s="16" t="s">
        <v>1766</v>
      </c>
      <c r="N285" s="16" t="s">
        <v>869</v>
      </c>
      <c r="O285" s="16" t="s">
        <v>959</v>
      </c>
      <c r="P285" s="16"/>
      <c r="Q285" s="16"/>
      <c r="R285" s="17"/>
    </row>
    <row r="286" spans="1:18" ht="409.6" x14ac:dyDescent="0.3">
      <c r="A286" s="12" t="s">
        <v>1811</v>
      </c>
      <c r="B286" s="13" t="s">
        <v>870</v>
      </c>
      <c r="C286" s="13" t="s">
        <v>25</v>
      </c>
      <c r="D286" s="13" t="s">
        <v>822</v>
      </c>
      <c r="E286" s="13" t="s">
        <v>871</v>
      </c>
      <c r="F286" s="13" t="s">
        <v>45</v>
      </c>
      <c r="G286" s="13" t="s">
        <v>46</v>
      </c>
      <c r="H286" s="13" t="s">
        <v>1812</v>
      </c>
      <c r="I286" s="13" t="s">
        <v>1762</v>
      </c>
      <c r="J286" s="13" t="s">
        <v>1813</v>
      </c>
      <c r="K286" s="13" t="s">
        <v>1814</v>
      </c>
      <c r="L286" s="13" t="s">
        <v>1765</v>
      </c>
      <c r="M286" s="13" t="s">
        <v>1766</v>
      </c>
      <c r="N286" s="13" t="s">
        <v>873</v>
      </c>
      <c r="O286" s="13" t="s">
        <v>959</v>
      </c>
      <c r="P286" s="13"/>
      <c r="Q286" s="13"/>
      <c r="R286" s="14" t="s">
        <v>990</v>
      </c>
    </row>
    <row r="287" spans="1:18" ht="409.6" x14ac:dyDescent="0.3">
      <c r="A287" s="15" t="s">
        <v>1815</v>
      </c>
      <c r="B287" s="16" t="s">
        <v>874</v>
      </c>
      <c r="C287" s="16" t="s">
        <v>25</v>
      </c>
      <c r="D287" s="16" t="s">
        <v>822</v>
      </c>
      <c r="E287" s="16" t="s">
        <v>875</v>
      </c>
      <c r="F287" s="16" t="s">
        <v>57</v>
      </c>
      <c r="G287" s="16" t="s">
        <v>46</v>
      </c>
      <c r="H287" s="16" t="s">
        <v>1816</v>
      </c>
      <c r="I287" s="16" t="s">
        <v>1762</v>
      </c>
      <c r="J287" s="16" t="s">
        <v>1817</v>
      </c>
      <c r="K287" s="16" t="s">
        <v>1818</v>
      </c>
      <c r="L287" s="16" t="s">
        <v>1765</v>
      </c>
      <c r="M287" s="16" t="s">
        <v>1766</v>
      </c>
      <c r="N287" s="16" t="s">
        <v>877</v>
      </c>
      <c r="O287" s="16" t="s">
        <v>959</v>
      </c>
      <c r="P287" s="16"/>
      <c r="Q287" s="16"/>
      <c r="R287" s="17" t="s">
        <v>990</v>
      </c>
    </row>
    <row r="288" spans="1:18" ht="409.6" x14ac:dyDescent="0.3">
      <c r="A288" s="12" t="s">
        <v>1819</v>
      </c>
      <c r="B288" s="13" t="s">
        <v>878</v>
      </c>
      <c r="C288" s="13" t="s">
        <v>25</v>
      </c>
      <c r="D288" s="13" t="s">
        <v>822</v>
      </c>
      <c r="E288" s="13" t="s">
        <v>879</v>
      </c>
      <c r="F288" s="13" t="s">
        <v>45</v>
      </c>
      <c r="G288" s="13" t="s">
        <v>53</v>
      </c>
      <c r="H288" s="13" t="s">
        <v>1820</v>
      </c>
      <c r="I288" s="13" t="s">
        <v>1762</v>
      </c>
      <c r="J288" s="13" t="s">
        <v>1821</v>
      </c>
      <c r="K288" s="13" t="s">
        <v>1822</v>
      </c>
      <c r="L288" s="13" t="s">
        <v>1765</v>
      </c>
      <c r="M288" s="13" t="s">
        <v>1766</v>
      </c>
      <c r="N288" s="13" t="s">
        <v>881</v>
      </c>
      <c r="O288" s="13" t="s">
        <v>959</v>
      </c>
      <c r="P288" s="13"/>
      <c r="Q288" s="13"/>
      <c r="R288" s="14" t="s">
        <v>990</v>
      </c>
    </row>
    <row r="289" spans="1:18" ht="409.6" x14ac:dyDescent="0.3">
      <c r="A289" s="15" t="s">
        <v>1823</v>
      </c>
      <c r="B289" s="16" t="s">
        <v>882</v>
      </c>
      <c r="C289" s="16" t="s">
        <v>25</v>
      </c>
      <c r="D289" s="16" t="s">
        <v>822</v>
      </c>
      <c r="E289" s="16" t="s">
        <v>883</v>
      </c>
      <c r="F289" s="16" t="s">
        <v>52</v>
      </c>
      <c r="G289" s="16" t="s">
        <v>53</v>
      </c>
      <c r="H289" s="16" t="s">
        <v>977</v>
      </c>
      <c r="I289" s="16" t="s">
        <v>1762</v>
      </c>
      <c r="J289" s="16" t="s">
        <v>1824</v>
      </c>
      <c r="K289" s="16" t="s">
        <v>1825</v>
      </c>
      <c r="L289" s="16" t="s">
        <v>1765</v>
      </c>
      <c r="M289" s="16" t="s">
        <v>1766</v>
      </c>
      <c r="N289" s="16" t="s">
        <v>885</v>
      </c>
      <c r="O289" s="16" t="s">
        <v>959</v>
      </c>
      <c r="P289" s="16"/>
      <c r="Q289" s="16"/>
      <c r="R289" s="17"/>
    </row>
    <row r="290" spans="1:18" ht="409.6" x14ac:dyDescent="0.3">
      <c r="A290" s="12" t="s">
        <v>1826</v>
      </c>
      <c r="B290" s="13" t="s">
        <v>886</v>
      </c>
      <c r="C290" s="13" t="s">
        <v>25</v>
      </c>
      <c r="D290" s="13" t="s">
        <v>822</v>
      </c>
      <c r="E290" s="13" t="s">
        <v>1827</v>
      </c>
      <c r="F290" s="13" t="s">
        <v>953</v>
      </c>
      <c r="G290" s="13" t="s">
        <v>53</v>
      </c>
      <c r="H290" s="13" t="s">
        <v>1828</v>
      </c>
      <c r="I290" s="13" t="s">
        <v>1762</v>
      </c>
      <c r="J290" s="13" t="s">
        <v>1000</v>
      </c>
      <c r="K290" s="13" t="s">
        <v>1001</v>
      </c>
      <c r="L290" s="13" t="s">
        <v>1765</v>
      </c>
      <c r="M290" s="13" t="s">
        <v>1766</v>
      </c>
      <c r="N290" s="13" t="s">
        <v>826</v>
      </c>
      <c r="O290" s="13" t="s">
        <v>959</v>
      </c>
      <c r="P290" s="13"/>
      <c r="Q290" s="13"/>
      <c r="R290" s="14"/>
    </row>
    <row r="291" spans="1:18" ht="409.6" x14ac:dyDescent="0.3">
      <c r="A291" s="15" t="s">
        <v>1829</v>
      </c>
      <c r="B291" s="16" t="s">
        <v>886</v>
      </c>
      <c r="C291" s="16" t="s">
        <v>25</v>
      </c>
      <c r="D291" s="16" t="s">
        <v>822</v>
      </c>
      <c r="E291" s="16" t="s">
        <v>1830</v>
      </c>
      <c r="F291" s="16" t="s">
        <v>339</v>
      </c>
      <c r="G291" s="16" t="s">
        <v>53</v>
      </c>
      <c r="H291" s="16" t="s">
        <v>1831</v>
      </c>
      <c r="I291" s="16" t="s">
        <v>1762</v>
      </c>
      <c r="J291" s="16" t="s">
        <v>1005</v>
      </c>
      <c r="K291" s="16" t="s">
        <v>1006</v>
      </c>
      <c r="L291" s="16" t="s">
        <v>1765</v>
      </c>
      <c r="M291" s="16" t="s">
        <v>1766</v>
      </c>
      <c r="N291" s="16" t="s">
        <v>826</v>
      </c>
      <c r="O291" s="16" t="s">
        <v>959</v>
      </c>
      <c r="P291" s="16"/>
      <c r="Q291" s="16"/>
      <c r="R291" s="17"/>
    </row>
    <row r="292" spans="1:18" ht="409.6" x14ac:dyDescent="0.3">
      <c r="A292" s="12" t="s">
        <v>1832</v>
      </c>
      <c r="B292" s="13" t="s">
        <v>889</v>
      </c>
      <c r="C292" s="13" t="s">
        <v>25</v>
      </c>
      <c r="D292" s="13" t="s">
        <v>890</v>
      </c>
      <c r="E292" s="13" t="s">
        <v>1833</v>
      </c>
      <c r="F292" s="13" t="s">
        <v>953</v>
      </c>
      <c r="G292" s="13" t="s">
        <v>46</v>
      </c>
      <c r="H292" s="13" t="s">
        <v>1834</v>
      </c>
      <c r="I292" s="13" t="s">
        <v>1835</v>
      </c>
      <c r="J292" s="13" t="s">
        <v>1836</v>
      </c>
      <c r="K292" s="13" t="s">
        <v>1837</v>
      </c>
      <c r="L292" s="13" t="s">
        <v>1838</v>
      </c>
      <c r="M292" s="13" t="s">
        <v>1839</v>
      </c>
      <c r="N292" s="13" t="s">
        <v>894</v>
      </c>
      <c r="O292" s="13" t="s">
        <v>959</v>
      </c>
      <c r="P292" s="13"/>
      <c r="Q292" s="13"/>
      <c r="R292" s="14"/>
    </row>
    <row r="293" spans="1:18" ht="409.6" x14ac:dyDescent="0.3">
      <c r="A293" s="15" t="s">
        <v>1840</v>
      </c>
      <c r="B293" s="16" t="s">
        <v>889</v>
      </c>
      <c r="C293" s="16" t="s">
        <v>25</v>
      </c>
      <c r="D293" s="16" t="s">
        <v>890</v>
      </c>
      <c r="E293" s="16" t="s">
        <v>1841</v>
      </c>
      <c r="F293" s="16" t="s">
        <v>339</v>
      </c>
      <c r="G293" s="16" t="s">
        <v>53</v>
      </c>
      <c r="H293" s="16" t="s">
        <v>1842</v>
      </c>
      <c r="I293" s="16" t="s">
        <v>1835</v>
      </c>
      <c r="J293" s="16" t="s">
        <v>1843</v>
      </c>
      <c r="K293" s="16" t="s">
        <v>964</v>
      </c>
      <c r="L293" s="16" t="s">
        <v>1838</v>
      </c>
      <c r="M293" s="16" t="s">
        <v>1839</v>
      </c>
      <c r="N293" s="16" t="s">
        <v>894</v>
      </c>
      <c r="O293" s="16" t="s">
        <v>959</v>
      </c>
      <c r="P293" s="16"/>
      <c r="Q293" s="16"/>
      <c r="R293" s="17"/>
    </row>
    <row r="294" spans="1:18" ht="409.6" x14ac:dyDescent="0.3">
      <c r="A294" s="12" t="s">
        <v>1844</v>
      </c>
      <c r="B294" s="13" t="s">
        <v>895</v>
      </c>
      <c r="C294" s="13" t="s">
        <v>25</v>
      </c>
      <c r="D294" s="13" t="s">
        <v>890</v>
      </c>
      <c r="E294" s="13" t="s">
        <v>1845</v>
      </c>
      <c r="F294" s="13" t="s">
        <v>52</v>
      </c>
      <c r="G294" s="13" t="s">
        <v>53</v>
      </c>
      <c r="H294" s="13" t="s">
        <v>1846</v>
      </c>
      <c r="I294" s="13" t="s">
        <v>1835</v>
      </c>
      <c r="J294" s="13" t="s">
        <v>968</v>
      </c>
      <c r="K294" s="13" t="s">
        <v>969</v>
      </c>
      <c r="L294" s="13" t="s">
        <v>1838</v>
      </c>
      <c r="M294" s="13" t="s">
        <v>1839</v>
      </c>
      <c r="N294" s="13" t="s">
        <v>894</v>
      </c>
      <c r="O294" s="13" t="s">
        <v>959</v>
      </c>
      <c r="P294" s="13"/>
      <c r="Q294" s="13"/>
      <c r="R294" s="14"/>
    </row>
    <row r="295" spans="1:18" ht="409.6" x14ac:dyDescent="0.3">
      <c r="A295" s="15" t="s">
        <v>1847</v>
      </c>
      <c r="B295" s="16" t="s">
        <v>895</v>
      </c>
      <c r="C295" s="16" t="s">
        <v>25</v>
      </c>
      <c r="D295" s="16" t="s">
        <v>890</v>
      </c>
      <c r="E295" s="16" t="s">
        <v>1848</v>
      </c>
      <c r="F295" s="16" t="s">
        <v>972</v>
      </c>
      <c r="G295" s="16" t="s">
        <v>53</v>
      </c>
      <c r="H295" s="16" t="s">
        <v>1849</v>
      </c>
      <c r="I295" s="16" t="s">
        <v>1835</v>
      </c>
      <c r="J295" s="16" t="s">
        <v>974</v>
      </c>
      <c r="K295" s="16" t="s">
        <v>975</v>
      </c>
      <c r="L295" s="16" t="s">
        <v>1838</v>
      </c>
      <c r="M295" s="16" t="s">
        <v>1839</v>
      </c>
      <c r="N295" s="16" t="s">
        <v>894</v>
      </c>
      <c r="O295" s="16" t="s">
        <v>959</v>
      </c>
      <c r="P295" s="16"/>
      <c r="Q295" s="16"/>
      <c r="R295" s="17"/>
    </row>
    <row r="296" spans="1:18" ht="409.6" x14ac:dyDescent="0.3">
      <c r="A296" s="12" t="s">
        <v>1850</v>
      </c>
      <c r="B296" s="13" t="s">
        <v>898</v>
      </c>
      <c r="C296" s="13" t="s">
        <v>25</v>
      </c>
      <c r="D296" s="13" t="s">
        <v>890</v>
      </c>
      <c r="E296" s="13" t="s">
        <v>899</v>
      </c>
      <c r="F296" s="13" t="s">
        <v>57</v>
      </c>
      <c r="G296" s="13" t="s">
        <v>46</v>
      </c>
      <c r="H296" s="13" t="s">
        <v>977</v>
      </c>
      <c r="I296" s="13" t="s">
        <v>1835</v>
      </c>
      <c r="J296" s="13" t="s">
        <v>1851</v>
      </c>
      <c r="K296" s="13" t="s">
        <v>1852</v>
      </c>
      <c r="L296" s="13" t="s">
        <v>1838</v>
      </c>
      <c r="M296" s="13" t="s">
        <v>1839</v>
      </c>
      <c r="N296" s="13" t="s">
        <v>901</v>
      </c>
      <c r="O296" s="13" t="s">
        <v>959</v>
      </c>
      <c r="P296" s="13"/>
      <c r="Q296" s="13"/>
      <c r="R296" s="14"/>
    </row>
    <row r="297" spans="1:18" ht="409.6" x14ac:dyDescent="0.3">
      <c r="A297" s="15" t="s">
        <v>1853</v>
      </c>
      <c r="B297" s="16" t="s">
        <v>902</v>
      </c>
      <c r="C297" s="16" t="s">
        <v>25</v>
      </c>
      <c r="D297" s="16" t="s">
        <v>890</v>
      </c>
      <c r="E297" s="16" t="s">
        <v>903</v>
      </c>
      <c r="F297" s="16" t="s">
        <v>57</v>
      </c>
      <c r="G297" s="16" t="s">
        <v>46</v>
      </c>
      <c r="H297" s="16" t="s">
        <v>1854</v>
      </c>
      <c r="I297" s="16" t="s">
        <v>1835</v>
      </c>
      <c r="J297" s="16" t="s">
        <v>1855</v>
      </c>
      <c r="K297" s="16" t="s">
        <v>1856</v>
      </c>
      <c r="L297" s="16" t="s">
        <v>1838</v>
      </c>
      <c r="M297" s="16" t="s">
        <v>1839</v>
      </c>
      <c r="N297" s="16" t="s">
        <v>905</v>
      </c>
      <c r="O297" s="16" t="s">
        <v>959</v>
      </c>
      <c r="P297" s="16"/>
      <c r="Q297" s="16"/>
      <c r="R297" s="17" t="s">
        <v>990</v>
      </c>
    </row>
    <row r="298" spans="1:18" ht="409.6" x14ac:dyDescent="0.3">
      <c r="A298" s="12" t="s">
        <v>1857</v>
      </c>
      <c r="B298" s="13" t="s">
        <v>906</v>
      </c>
      <c r="C298" s="13" t="s">
        <v>25</v>
      </c>
      <c r="D298" s="13" t="s">
        <v>890</v>
      </c>
      <c r="E298" s="13" t="s">
        <v>907</v>
      </c>
      <c r="F298" s="13" t="s">
        <v>57</v>
      </c>
      <c r="G298" s="13" t="s">
        <v>53</v>
      </c>
      <c r="H298" s="13" t="s">
        <v>1858</v>
      </c>
      <c r="I298" s="13" t="s">
        <v>1835</v>
      </c>
      <c r="J298" s="13" t="s">
        <v>1859</v>
      </c>
      <c r="K298" s="13" t="s">
        <v>1860</v>
      </c>
      <c r="L298" s="13" t="s">
        <v>1838</v>
      </c>
      <c r="M298" s="13" t="s">
        <v>1839</v>
      </c>
      <c r="N298" s="13" t="s">
        <v>909</v>
      </c>
      <c r="O298" s="13" t="s">
        <v>959</v>
      </c>
      <c r="P298" s="13"/>
      <c r="Q298" s="13"/>
      <c r="R298" s="14" t="s">
        <v>990</v>
      </c>
    </row>
    <row r="299" spans="1:18" ht="409.6" x14ac:dyDescent="0.3">
      <c r="A299" s="15" t="s">
        <v>1861</v>
      </c>
      <c r="B299" s="16" t="s">
        <v>910</v>
      </c>
      <c r="C299" s="16" t="s">
        <v>25</v>
      </c>
      <c r="D299" s="16" t="s">
        <v>890</v>
      </c>
      <c r="E299" s="16" t="s">
        <v>911</v>
      </c>
      <c r="F299" s="16" t="s">
        <v>57</v>
      </c>
      <c r="G299" s="16" t="s">
        <v>53</v>
      </c>
      <c r="H299" s="16" t="s">
        <v>1862</v>
      </c>
      <c r="I299" s="16" t="s">
        <v>1835</v>
      </c>
      <c r="J299" s="16" t="s">
        <v>1863</v>
      </c>
      <c r="K299" s="16" t="s">
        <v>1864</v>
      </c>
      <c r="L299" s="16" t="s">
        <v>1838</v>
      </c>
      <c r="M299" s="16" t="s">
        <v>1839</v>
      </c>
      <c r="N299" s="16" t="s">
        <v>913</v>
      </c>
      <c r="O299" s="16" t="s">
        <v>959</v>
      </c>
      <c r="P299" s="16"/>
      <c r="Q299" s="16"/>
      <c r="R299" s="17" t="s">
        <v>990</v>
      </c>
    </row>
    <row r="300" spans="1:18" ht="409.6" x14ac:dyDescent="0.3">
      <c r="A300" s="12" t="s">
        <v>1865</v>
      </c>
      <c r="B300" s="13" t="s">
        <v>914</v>
      </c>
      <c r="C300" s="13" t="s">
        <v>25</v>
      </c>
      <c r="D300" s="13" t="s">
        <v>890</v>
      </c>
      <c r="E300" s="13" t="s">
        <v>915</v>
      </c>
      <c r="F300" s="13" t="s">
        <v>57</v>
      </c>
      <c r="G300" s="13" t="s">
        <v>53</v>
      </c>
      <c r="H300" s="13" t="s">
        <v>1866</v>
      </c>
      <c r="I300" s="13" t="s">
        <v>1835</v>
      </c>
      <c r="J300" s="13" t="s">
        <v>1867</v>
      </c>
      <c r="K300" s="13" t="s">
        <v>1868</v>
      </c>
      <c r="L300" s="13" t="s">
        <v>1838</v>
      </c>
      <c r="M300" s="13" t="s">
        <v>1839</v>
      </c>
      <c r="N300" s="13" t="s">
        <v>917</v>
      </c>
      <c r="O300" s="13" t="s">
        <v>959</v>
      </c>
      <c r="P300" s="13"/>
      <c r="Q300" s="13"/>
      <c r="R300" s="14" t="s">
        <v>990</v>
      </c>
    </row>
    <row r="301" spans="1:18" ht="409.6" x14ac:dyDescent="0.3">
      <c r="A301" s="15" t="s">
        <v>1869</v>
      </c>
      <c r="B301" s="16" t="s">
        <v>918</v>
      </c>
      <c r="C301" s="16" t="s">
        <v>25</v>
      </c>
      <c r="D301" s="16" t="s">
        <v>890</v>
      </c>
      <c r="E301" s="16" t="s">
        <v>919</v>
      </c>
      <c r="F301" s="16" t="s">
        <v>57</v>
      </c>
      <c r="G301" s="16" t="s">
        <v>46</v>
      </c>
      <c r="H301" s="16" t="s">
        <v>1513</v>
      </c>
      <c r="I301" s="16" t="s">
        <v>1835</v>
      </c>
      <c r="J301" s="16" t="s">
        <v>1870</v>
      </c>
      <c r="K301" s="16" t="s">
        <v>1807</v>
      </c>
      <c r="L301" s="16" t="s">
        <v>1838</v>
      </c>
      <c r="M301" s="16" t="s">
        <v>1839</v>
      </c>
      <c r="N301" s="16" t="s">
        <v>920</v>
      </c>
      <c r="O301" s="16" t="s">
        <v>959</v>
      </c>
      <c r="P301" s="16"/>
      <c r="Q301" s="16"/>
      <c r="R301" s="17" t="s">
        <v>990</v>
      </c>
    </row>
    <row r="302" spans="1:18" ht="409.6" x14ac:dyDescent="0.3">
      <c r="A302" s="12" t="s">
        <v>1871</v>
      </c>
      <c r="B302" s="13" t="s">
        <v>921</v>
      </c>
      <c r="C302" s="13" t="s">
        <v>25</v>
      </c>
      <c r="D302" s="13" t="s">
        <v>890</v>
      </c>
      <c r="E302" s="13" t="s">
        <v>922</v>
      </c>
      <c r="F302" s="13" t="s">
        <v>57</v>
      </c>
      <c r="G302" s="13" t="s">
        <v>46</v>
      </c>
      <c r="H302" s="13" t="s">
        <v>977</v>
      </c>
      <c r="I302" s="13" t="s">
        <v>1835</v>
      </c>
      <c r="J302" s="13" t="s">
        <v>1872</v>
      </c>
      <c r="K302" s="13" t="s">
        <v>1873</v>
      </c>
      <c r="L302" s="13" t="s">
        <v>1838</v>
      </c>
      <c r="M302" s="13" t="s">
        <v>1839</v>
      </c>
      <c r="N302" s="13" t="s">
        <v>924</v>
      </c>
      <c r="O302" s="13" t="s">
        <v>959</v>
      </c>
      <c r="P302" s="13"/>
      <c r="Q302" s="13"/>
      <c r="R302" s="14"/>
    </row>
    <row r="303" spans="1:18" ht="409.6" x14ac:dyDescent="0.3">
      <c r="A303" s="15" t="s">
        <v>1874</v>
      </c>
      <c r="B303" s="16" t="s">
        <v>925</v>
      </c>
      <c r="C303" s="16" t="s">
        <v>25</v>
      </c>
      <c r="D303" s="16" t="s">
        <v>890</v>
      </c>
      <c r="E303" s="16" t="s">
        <v>926</v>
      </c>
      <c r="F303" s="16" t="s">
        <v>45</v>
      </c>
      <c r="G303" s="16" t="s">
        <v>46</v>
      </c>
      <c r="H303" s="16" t="s">
        <v>1513</v>
      </c>
      <c r="I303" s="16" t="s">
        <v>1835</v>
      </c>
      <c r="J303" s="16" t="s">
        <v>1875</v>
      </c>
      <c r="K303" s="16" t="s">
        <v>1876</v>
      </c>
      <c r="L303" s="16" t="s">
        <v>1838</v>
      </c>
      <c r="M303" s="16" t="s">
        <v>1839</v>
      </c>
      <c r="N303" s="16" t="s">
        <v>928</v>
      </c>
      <c r="O303" s="16" t="s">
        <v>959</v>
      </c>
      <c r="P303" s="16"/>
      <c r="Q303" s="16"/>
      <c r="R303" s="17" t="s">
        <v>990</v>
      </c>
    </row>
    <row r="304" spans="1:18" ht="409.6" x14ac:dyDescent="0.3">
      <c r="A304" s="12" t="s">
        <v>1877</v>
      </c>
      <c r="B304" s="13" t="s">
        <v>929</v>
      </c>
      <c r="C304" s="13" t="s">
        <v>25</v>
      </c>
      <c r="D304" s="13" t="s">
        <v>890</v>
      </c>
      <c r="E304" s="13" t="s">
        <v>930</v>
      </c>
      <c r="F304" s="13" t="s">
        <v>45</v>
      </c>
      <c r="G304" s="13" t="s">
        <v>46</v>
      </c>
      <c r="H304" s="13" t="s">
        <v>1513</v>
      </c>
      <c r="I304" s="13" t="s">
        <v>1835</v>
      </c>
      <c r="J304" s="13" t="s">
        <v>1878</v>
      </c>
      <c r="K304" s="13" t="s">
        <v>1515</v>
      </c>
      <c r="L304" s="13" t="s">
        <v>1838</v>
      </c>
      <c r="M304" s="13" t="s">
        <v>1839</v>
      </c>
      <c r="N304" s="13" t="s">
        <v>931</v>
      </c>
      <c r="O304" s="13" t="s">
        <v>959</v>
      </c>
      <c r="P304" s="13"/>
      <c r="Q304" s="13"/>
      <c r="R304" s="14" t="s">
        <v>990</v>
      </c>
    </row>
    <row r="305" spans="1:18" ht="409.6" x14ac:dyDescent="0.3">
      <c r="A305" s="15" t="s">
        <v>1879</v>
      </c>
      <c r="B305" s="16" t="s">
        <v>932</v>
      </c>
      <c r="C305" s="16" t="s">
        <v>25</v>
      </c>
      <c r="D305" s="16" t="s">
        <v>890</v>
      </c>
      <c r="E305" s="16" t="s">
        <v>933</v>
      </c>
      <c r="F305" s="16" t="s">
        <v>57</v>
      </c>
      <c r="G305" s="16" t="s">
        <v>46</v>
      </c>
      <c r="H305" s="16" t="s">
        <v>977</v>
      </c>
      <c r="I305" s="16" t="s">
        <v>1835</v>
      </c>
      <c r="J305" s="16" t="s">
        <v>1880</v>
      </c>
      <c r="K305" s="16" t="s">
        <v>1881</v>
      </c>
      <c r="L305" s="16" t="s">
        <v>1838</v>
      </c>
      <c r="M305" s="16" t="s">
        <v>1839</v>
      </c>
      <c r="N305" s="16" t="s">
        <v>935</v>
      </c>
      <c r="O305" s="16" t="s">
        <v>959</v>
      </c>
      <c r="P305" s="16"/>
      <c r="Q305" s="16"/>
      <c r="R305" s="17"/>
    </row>
    <row r="306" spans="1:18" ht="409.6" x14ac:dyDescent="0.3">
      <c r="A306" s="12" t="s">
        <v>1882</v>
      </c>
      <c r="B306" s="13" t="s">
        <v>936</v>
      </c>
      <c r="C306" s="13" t="s">
        <v>25</v>
      </c>
      <c r="D306" s="13" t="s">
        <v>890</v>
      </c>
      <c r="E306" s="13" t="s">
        <v>1883</v>
      </c>
      <c r="F306" s="13" t="s">
        <v>953</v>
      </c>
      <c r="G306" s="13" t="s">
        <v>53</v>
      </c>
      <c r="H306" s="13" t="s">
        <v>1884</v>
      </c>
      <c r="I306" s="13" t="s">
        <v>1835</v>
      </c>
      <c r="J306" s="13" t="s">
        <v>1000</v>
      </c>
      <c r="K306" s="13" t="s">
        <v>1001</v>
      </c>
      <c r="L306" s="13" t="s">
        <v>1838</v>
      </c>
      <c r="M306" s="13" t="s">
        <v>1839</v>
      </c>
      <c r="N306" s="13" t="s">
        <v>894</v>
      </c>
      <c r="O306" s="13" t="s">
        <v>959</v>
      </c>
      <c r="P306" s="13"/>
      <c r="Q306" s="13"/>
      <c r="R306" s="14"/>
    </row>
    <row r="307" spans="1:18" ht="409.6" x14ac:dyDescent="0.3">
      <c r="A307" s="15" t="s">
        <v>1885</v>
      </c>
      <c r="B307" s="16" t="s">
        <v>936</v>
      </c>
      <c r="C307" s="16" t="s">
        <v>25</v>
      </c>
      <c r="D307" s="16" t="s">
        <v>890</v>
      </c>
      <c r="E307" s="16" t="s">
        <v>1886</v>
      </c>
      <c r="F307" s="16" t="s">
        <v>339</v>
      </c>
      <c r="G307" s="16" t="s">
        <v>53</v>
      </c>
      <c r="H307" s="16" t="s">
        <v>1887</v>
      </c>
      <c r="I307" s="16" t="s">
        <v>1835</v>
      </c>
      <c r="J307" s="16" t="s">
        <v>1005</v>
      </c>
      <c r="K307" s="16" t="s">
        <v>1006</v>
      </c>
      <c r="L307" s="16" t="s">
        <v>1838</v>
      </c>
      <c r="M307" s="16" t="s">
        <v>1839</v>
      </c>
      <c r="N307" s="16" t="s">
        <v>894</v>
      </c>
      <c r="O307" s="16" t="s">
        <v>959</v>
      </c>
      <c r="P307" s="16"/>
      <c r="Q307" s="16"/>
      <c r="R307" s="17"/>
    </row>
  </sheetData>
  <conditionalFormatting sqref="O2:O307">
    <cfRule type="expression" dxfId="2" priority="1">
      <formula>$O2="Pass"</formula>
    </cfRule>
    <cfRule type="expression" dxfId="1" priority="2">
      <formula>$O2="Fail"</formula>
    </cfRule>
    <cfRule type="expression" dxfId="0" priority="3">
      <formula>$O2="Blocked"</formula>
    </cfRule>
  </conditionalFormatting>
  <dataValidations count="1">
    <dataValidation type="list" sqref="O2:O307" xr:uid="{1FA9BA3D-35F2-4740-A710-455CC840D855}">
      <formula1>"Not Run,Pass,Fail,Blocked,Not Applicable"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0AFC3-979E-4CD5-8ACA-FF9B337EB485}">
  <dimension ref="A1:I62"/>
  <sheetViews>
    <sheetView workbookViewId="0">
      <selection sqref="A1:I62"/>
    </sheetView>
  </sheetViews>
  <sheetFormatPr defaultRowHeight="13.8" x14ac:dyDescent="0.3"/>
  <sheetData>
    <row r="1" spans="1:9" ht="28.8" x14ac:dyDescent="0.3">
      <c r="A1" s="18" t="s">
        <v>1888</v>
      </c>
      <c r="B1" s="18">
        <v>1</v>
      </c>
      <c r="C1" s="18">
        <v>2</v>
      </c>
      <c r="D1" s="18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</row>
    <row r="2" spans="1:9" ht="96.6" x14ac:dyDescent="0.3">
      <c r="A2" s="19" t="s">
        <v>1889</v>
      </c>
      <c r="B2" s="19" t="s">
        <v>41</v>
      </c>
      <c r="C2" s="19" t="s">
        <v>41</v>
      </c>
      <c r="D2" s="19" t="s">
        <v>41</v>
      </c>
      <c r="E2" s="19" t="s">
        <v>41</v>
      </c>
      <c r="F2" s="19" t="s">
        <v>41</v>
      </c>
      <c r="G2" s="19" t="s">
        <v>41</v>
      </c>
      <c r="H2" s="19" t="s">
        <v>197</v>
      </c>
      <c r="I2" s="19" t="s">
        <v>197</v>
      </c>
    </row>
    <row r="3" spans="1:9" ht="55.2" x14ac:dyDescent="0.3">
      <c r="A3" s="19" t="s">
        <v>1890</v>
      </c>
      <c r="B3" s="19" t="s">
        <v>42</v>
      </c>
      <c r="C3" s="19" t="s">
        <v>84</v>
      </c>
      <c r="D3" s="19" t="s">
        <v>113</v>
      </c>
      <c r="E3" s="19" t="s">
        <v>134</v>
      </c>
      <c r="F3" s="19" t="s">
        <v>155</v>
      </c>
      <c r="G3" s="19" t="s">
        <v>176</v>
      </c>
      <c r="H3" s="19" t="s">
        <v>198</v>
      </c>
      <c r="I3" s="19" t="s">
        <v>373</v>
      </c>
    </row>
    <row r="4" spans="1:9" ht="55.2" x14ac:dyDescent="0.3">
      <c r="A4" s="19" t="s">
        <v>1891</v>
      </c>
      <c r="B4" s="19" t="s">
        <v>1892</v>
      </c>
      <c r="C4" s="19" t="s">
        <v>1892</v>
      </c>
      <c r="D4" s="19" t="s">
        <v>1892</v>
      </c>
      <c r="E4" s="19" t="s">
        <v>1892</v>
      </c>
      <c r="F4" s="19" t="s">
        <v>1892</v>
      </c>
      <c r="G4" s="19" t="s">
        <v>1892</v>
      </c>
      <c r="H4" s="19" t="s">
        <v>1893</v>
      </c>
      <c r="I4" s="19" t="s">
        <v>1893</v>
      </c>
    </row>
    <row r="5" spans="1:9" ht="82.8" x14ac:dyDescent="0.3">
      <c r="A5" s="19" t="s">
        <v>1894</v>
      </c>
      <c r="B5" s="19" t="s">
        <v>1895</v>
      </c>
      <c r="C5" s="19" t="s">
        <v>1895</v>
      </c>
      <c r="D5" s="19" t="s">
        <v>1895</v>
      </c>
      <c r="E5" s="19" t="s">
        <v>1895</v>
      </c>
      <c r="F5" s="19" t="s">
        <v>1895</v>
      </c>
      <c r="G5" s="19" t="s">
        <v>1895</v>
      </c>
      <c r="H5" s="19" t="s">
        <v>1896</v>
      </c>
      <c r="I5" s="19" t="s">
        <v>1896</v>
      </c>
    </row>
    <row r="6" spans="1:9" ht="69" x14ac:dyDescent="0.3">
      <c r="A6" s="19" t="s">
        <v>1897</v>
      </c>
      <c r="B6" s="19" t="s">
        <v>1898</v>
      </c>
      <c r="C6" s="19" t="s">
        <v>1898</v>
      </c>
      <c r="D6" s="19" t="s">
        <v>1898</v>
      </c>
      <c r="E6" s="19" t="s">
        <v>1898</v>
      </c>
      <c r="F6" s="19" t="s">
        <v>1898</v>
      </c>
      <c r="G6" s="19" t="s">
        <v>1898</v>
      </c>
      <c r="H6" s="19" t="s">
        <v>1898</v>
      </c>
      <c r="I6" s="19" t="s">
        <v>1898</v>
      </c>
    </row>
    <row r="7" spans="1:9" ht="82.8" x14ac:dyDescent="0.3">
      <c r="A7" s="19" t="s">
        <v>1899</v>
      </c>
      <c r="B7" s="19" t="s">
        <v>957</v>
      </c>
      <c r="C7" s="19" t="s">
        <v>957</v>
      </c>
      <c r="D7" s="19" t="s">
        <v>957</v>
      </c>
      <c r="E7" s="19" t="s">
        <v>957</v>
      </c>
      <c r="F7" s="19" t="s">
        <v>957</v>
      </c>
      <c r="G7" s="19" t="s">
        <v>957</v>
      </c>
      <c r="H7" s="19" t="s">
        <v>1133</v>
      </c>
      <c r="I7" s="19" t="s">
        <v>1133</v>
      </c>
    </row>
    <row r="8" spans="1:9" ht="193.2" x14ac:dyDescent="0.3">
      <c r="A8" s="19" t="s">
        <v>946</v>
      </c>
      <c r="B8" s="19" t="s">
        <v>958</v>
      </c>
      <c r="C8" s="19" t="s">
        <v>958</v>
      </c>
      <c r="D8" s="19" t="s">
        <v>958</v>
      </c>
      <c r="E8" s="19" t="s">
        <v>958</v>
      </c>
      <c r="F8" s="19" t="s">
        <v>958</v>
      </c>
      <c r="G8" s="19" t="s">
        <v>958</v>
      </c>
      <c r="H8" s="19" t="s">
        <v>1134</v>
      </c>
      <c r="I8" s="19" t="s">
        <v>1134</v>
      </c>
    </row>
    <row r="9" spans="1:9" ht="82.8" x14ac:dyDescent="0.3">
      <c r="A9" s="19" t="s">
        <v>1900</v>
      </c>
      <c r="B9" s="19" t="s">
        <v>1901</v>
      </c>
      <c r="C9" s="19" t="s">
        <v>1901</v>
      </c>
      <c r="D9" s="19" t="s">
        <v>1901</v>
      </c>
      <c r="E9" s="19" t="s">
        <v>1901</v>
      </c>
      <c r="F9" s="19" t="s">
        <v>1901</v>
      </c>
      <c r="G9" s="19" t="s">
        <v>1901</v>
      </c>
      <c r="H9" s="19" t="s">
        <v>1901</v>
      </c>
      <c r="I9" s="19" t="s">
        <v>1901</v>
      </c>
    </row>
    <row r="10" spans="1:9" ht="55.2" x14ac:dyDescent="0.3">
      <c r="A10" s="19" t="s">
        <v>1902</v>
      </c>
      <c r="B10" s="19" t="s">
        <v>1903</v>
      </c>
      <c r="C10" s="19" t="s">
        <v>1903</v>
      </c>
      <c r="D10" s="19" t="s">
        <v>1903</v>
      </c>
      <c r="E10" s="19" t="s">
        <v>1903</v>
      </c>
      <c r="F10" s="19" t="s">
        <v>1903</v>
      </c>
      <c r="G10" s="19" t="s">
        <v>1903</v>
      </c>
      <c r="H10" s="19"/>
      <c r="I10" s="19"/>
    </row>
    <row r="11" spans="1:9" ht="41.4" x14ac:dyDescent="0.3">
      <c r="A11" s="19" t="s">
        <v>1904</v>
      </c>
      <c r="B11" s="19" t="s">
        <v>1905</v>
      </c>
      <c r="C11" s="19"/>
      <c r="D11" s="19"/>
      <c r="E11" s="19"/>
      <c r="F11" s="19"/>
      <c r="G11" s="19"/>
      <c r="H11" s="19"/>
      <c r="I11" s="19"/>
    </row>
    <row r="12" spans="1:9" ht="96.6" x14ac:dyDescent="0.3">
      <c r="A12" s="19" t="s">
        <v>1906</v>
      </c>
      <c r="B12" s="19" t="s">
        <v>1907</v>
      </c>
      <c r="C12" s="19" t="s">
        <v>1907</v>
      </c>
      <c r="D12" s="19" t="s">
        <v>1907</v>
      </c>
      <c r="E12" s="19" t="s">
        <v>1907</v>
      </c>
      <c r="F12" s="19" t="s">
        <v>1907</v>
      </c>
      <c r="G12" s="19" t="s">
        <v>1907</v>
      </c>
      <c r="H12" s="19"/>
      <c r="I12" s="19"/>
    </row>
    <row r="13" spans="1:9" ht="69" x14ac:dyDescent="0.3">
      <c r="A13" s="19" t="s">
        <v>1908</v>
      </c>
      <c r="B13" s="19" t="s">
        <v>1909</v>
      </c>
      <c r="C13" s="19"/>
      <c r="D13" s="19"/>
      <c r="E13" s="19"/>
      <c r="F13" s="19"/>
      <c r="G13" s="19"/>
      <c r="H13" s="19"/>
      <c r="I13" s="19"/>
    </row>
    <row r="14" spans="1:9" ht="55.2" x14ac:dyDescent="0.3">
      <c r="A14" s="19" t="s">
        <v>1910</v>
      </c>
      <c r="B14" s="19" t="s">
        <v>1911</v>
      </c>
      <c r="C14" s="19"/>
      <c r="D14" s="19"/>
      <c r="E14" s="19"/>
      <c r="F14" s="19"/>
      <c r="G14" s="19"/>
      <c r="H14" s="19"/>
      <c r="I14" s="19"/>
    </row>
    <row r="15" spans="1:9" ht="41.4" x14ac:dyDescent="0.3">
      <c r="A15" s="19" t="s">
        <v>1912</v>
      </c>
      <c r="B15" s="19"/>
      <c r="C15" s="19" t="s">
        <v>1913</v>
      </c>
      <c r="D15" s="19"/>
      <c r="E15" s="19"/>
      <c r="F15" s="19"/>
      <c r="G15" s="19"/>
      <c r="H15" s="19"/>
      <c r="I15" s="19"/>
    </row>
    <row r="16" spans="1:9" ht="55.2" x14ac:dyDescent="0.3">
      <c r="A16" s="19" t="s">
        <v>1914</v>
      </c>
      <c r="B16" s="19"/>
      <c r="C16" s="19" t="s">
        <v>1915</v>
      </c>
      <c r="D16" s="19"/>
      <c r="E16" s="19"/>
      <c r="F16" s="19"/>
      <c r="G16" s="19"/>
      <c r="H16" s="19"/>
      <c r="I16" s="19"/>
    </row>
    <row r="17" spans="1:9" ht="41.4" x14ac:dyDescent="0.3">
      <c r="A17" s="19" t="s">
        <v>1916</v>
      </c>
      <c r="B17" s="19"/>
      <c r="C17" s="19" t="s">
        <v>1917</v>
      </c>
      <c r="D17" s="19"/>
      <c r="E17" s="19"/>
      <c r="F17" s="19"/>
      <c r="G17" s="19"/>
      <c r="H17" s="19"/>
      <c r="I17" s="19"/>
    </row>
    <row r="18" spans="1:9" ht="27.6" x14ac:dyDescent="0.3">
      <c r="A18" s="19" t="s">
        <v>1918</v>
      </c>
      <c r="B18" s="19"/>
      <c r="C18" s="19"/>
      <c r="D18" s="19" t="s">
        <v>1919</v>
      </c>
      <c r="E18" s="19"/>
      <c r="F18" s="19"/>
      <c r="G18" s="19"/>
      <c r="H18" s="19"/>
      <c r="I18" s="19"/>
    </row>
    <row r="19" spans="1:9" ht="41.4" x14ac:dyDescent="0.3">
      <c r="A19" s="19" t="s">
        <v>1920</v>
      </c>
      <c r="B19" s="19"/>
      <c r="C19" s="19"/>
      <c r="D19" s="19"/>
      <c r="E19" s="19" t="s">
        <v>1921</v>
      </c>
      <c r="F19" s="19"/>
      <c r="G19" s="19"/>
      <c r="H19" s="19"/>
      <c r="I19" s="19"/>
    </row>
    <row r="20" spans="1:9" ht="41.4" x14ac:dyDescent="0.3">
      <c r="A20" s="19" t="s">
        <v>1922</v>
      </c>
      <c r="B20" s="19"/>
      <c r="C20" s="19"/>
      <c r="D20" s="19"/>
      <c r="E20" s="19"/>
      <c r="F20" s="19" t="s">
        <v>1923</v>
      </c>
      <c r="G20" s="19"/>
      <c r="H20" s="19"/>
      <c r="I20" s="19"/>
    </row>
    <row r="21" spans="1:9" ht="55.2" x14ac:dyDescent="0.3">
      <c r="A21" s="19" t="s">
        <v>1924</v>
      </c>
      <c r="B21" s="19"/>
      <c r="C21" s="19"/>
      <c r="D21" s="19"/>
      <c r="E21" s="19"/>
      <c r="F21" s="19"/>
      <c r="G21" s="19" t="s">
        <v>1925</v>
      </c>
      <c r="H21" s="19"/>
      <c r="I21" s="19"/>
    </row>
    <row r="22" spans="1:9" ht="55.2" x14ac:dyDescent="0.3">
      <c r="A22" s="19" t="s">
        <v>1926</v>
      </c>
      <c r="B22" s="19"/>
      <c r="C22" s="19"/>
      <c r="D22" s="19"/>
      <c r="E22" s="19"/>
      <c r="F22" s="19"/>
      <c r="G22" s="19"/>
      <c r="H22" s="19" t="s">
        <v>1927</v>
      </c>
      <c r="I22" s="19" t="s">
        <v>1927</v>
      </c>
    </row>
    <row r="23" spans="1:9" ht="110.4" x14ac:dyDescent="0.3">
      <c r="A23" s="19" t="s">
        <v>1928</v>
      </c>
      <c r="B23" s="19"/>
      <c r="C23" s="19"/>
      <c r="D23" s="19"/>
      <c r="E23" s="19"/>
      <c r="F23" s="19"/>
      <c r="G23" s="19"/>
      <c r="H23" s="19" t="s">
        <v>1929</v>
      </c>
      <c r="I23" s="19" t="s">
        <v>1929</v>
      </c>
    </row>
    <row r="24" spans="1:9" ht="110.4" x14ac:dyDescent="0.3">
      <c r="A24" s="19" t="s">
        <v>1930</v>
      </c>
      <c r="B24" s="19"/>
      <c r="C24" s="19"/>
      <c r="D24" s="19"/>
      <c r="E24" s="19"/>
      <c r="F24" s="19"/>
      <c r="G24" s="19"/>
      <c r="H24" s="19" t="s">
        <v>1931</v>
      </c>
      <c r="I24" s="19"/>
    </row>
    <row r="25" spans="1:9" ht="82.8" x14ac:dyDescent="0.3">
      <c r="A25" s="19" t="s">
        <v>1932</v>
      </c>
      <c r="B25" s="19"/>
      <c r="C25" s="19"/>
      <c r="D25" s="19"/>
      <c r="E25" s="19"/>
      <c r="F25" s="19"/>
      <c r="G25" s="19"/>
      <c r="H25" s="19"/>
      <c r="I25" s="19" t="s">
        <v>1933</v>
      </c>
    </row>
    <row r="26" spans="1:9" ht="41.4" x14ac:dyDescent="0.3">
      <c r="A26" s="19" t="s">
        <v>1934</v>
      </c>
      <c r="B26" s="19"/>
      <c r="C26" s="19"/>
      <c r="D26" s="19"/>
      <c r="E26" s="19"/>
      <c r="F26" s="19"/>
      <c r="G26" s="19"/>
      <c r="H26" s="19" t="s">
        <v>1935</v>
      </c>
      <c r="I26" s="19" t="s">
        <v>1935</v>
      </c>
    </row>
    <row r="27" spans="1:9" ht="96.6" x14ac:dyDescent="0.3">
      <c r="A27" s="19" t="s">
        <v>1936</v>
      </c>
      <c r="B27" s="19"/>
      <c r="C27" s="19"/>
      <c r="D27" s="19"/>
      <c r="E27" s="19"/>
      <c r="F27" s="19"/>
      <c r="G27" s="19"/>
      <c r="H27" s="19" t="s">
        <v>1937</v>
      </c>
      <c r="I27" s="19" t="s">
        <v>1937</v>
      </c>
    </row>
    <row r="28" spans="1:9" ht="69" x14ac:dyDescent="0.3">
      <c r="A28" s="19" t="s">
        <v>1938</v>
      </c>
      <c r="B28" s="19"/>
      <c r="C28" s="19"/>
      <c r="D28" s="19"/>
      <c r="E28" s="19"/>
      <c r="F28" s="19"/>
      <c r="G28" s="19"/>
      <c r="H28" s="19" t="s">
        <v>1939</v>
      </c>
      <c r="I28" s="19" t="s">
        <v>1939</v>
      </c>
    </row>
    <row r="29" spans="1:9" ht="110.4" x14ac:dyDescent="0.3">
      <c r="A29" s="19" t="s">
        <v>1940</v>
      </c>
      <c r="B29" s="19"/>
      <c r="C29" s="19"/>
      <c r="D29" s="19"/>
      <c r="E29" s="19"/>
      <c r="F29" s="19"/>
      <c r="G29" s="19"/>
      <c r="H29" s="19" t="s">
        <v>1941</v>
      </c>
      <c r="I29" s="19" t="s">
        <v>1941</v>
      </c>
    </row>
    <row r="30" spans="1:9" ht="124.2" x14ac:dyDescent="0.3">
      <c r="A30" s="19" t="s">
        <v>1942</v>
      </c>
      <c r="B30" s="19"/>
      <c r="C30" s="19"/>
      <c r="D30" s="19"/>
      <c r="E30" s="19"/>
      <c r="F30" s="19"/>
      <c r="G30" s="19"/>
      <c r="H30" s="19" t="s">
        <v>1943</v>
      </c>
      <c r="I30" s="19" t="s">
        <v>1943</v>
      </c>
    </row>
    <row r="31" spans="1:9" ht="41.4" x14ac:dyDescent="0.3">
      <c r="A31" s="19" t="s">
        <v>1944</v>
      </c>
      <c r="B31" s="19"/>
      <c r="C31" s="19"/>
      <c r="D31" s="19"/>
      <c r="E31" s="19"/>
      <c r="F31" s="19"/>
      <c r="G31" s="19"/>
      <c r="H31" s="19" t="s">
        <v>1945</v>
      </c>
      <c r="I31" s="19" t="s">
        <v>1945</v>
      </c>
    </row>
    <row r="32" spans="1:9" ht="27.6" x14ac:dyDescent="0.3">
      <c r="A32" s="19" t="s">
        <v>1946</v>
      </c>
      <c r="B32" s="19"/>
      <c r="C32" s="19"/>
      <c r="D32" s="19"/>
      <c r="E32" s="19"/>
      <c r="F32" s="19"/>
      <c r="G32" s="19"/>
      <c r="H32" s="19" t="s">
        <v>1947</v>
      </c>
      <c r="I32" s="19" t="s">
        <v>1947</v>
      </c>
    </row>
    <row r="33" spans="1:9" ht="82.8" x14ac:dyDescent="0.3">
      <c r="A33" s="19" t="s">
        <v>1948</v>
      </c>
      <c r="B33" s="19"/>
      <c r="C33" s="19"/>
      <c r="D33" s="19"/>
      <c r="E33" s="19"/>
      <c r="F33" s="19"/>
      <c r="G33" s="19"/>
      <c r="H33" s="19" t="s">
        <v>1949</v>
      </c>
      <c r="I33" s="19" t="s">
        <v>1949</v>
      </c>
    </row>
    <row r="34" spans="1:9" ht="82.8" x14ac:dyDescent="0.3">
      <c r="A34" s="19" t="s">
        <v>1950</v>
      </c>
      <c r="B34" s="19"/>
      <c r="C34" s="19"/>
      <c r="D34" s="19"/>
      <c r="E34" s="19"/>
      <c r="F34" s="19"/>
      <c r="G34" s="19"/>
      <c r="H34" s="19" t="s">
        <v>1951</v>
      </c>
      <c r="I34" s="19" t="s">
        <v>1951</v>
      </c>
    </row>
    <row r="35" spans="1:9" ht="82.8" x14ac:dyDescent="0.3">
      <c r="A35" s="19" t="s">
        <v>1952</v>
      </c>
      <c r="B35" s="19"/>
      <c r="C35" s="19"/>
      <c r="D35" s="19"/>
      <c r="E35" s="19"/>
      <c r="F35" s="19"/>
      <c r="G35" s="19"/>
      <c r="H35" s="19" t="s">
        <v>1953</v>
      </c>
      <c r="I35" s="19" t="s">
        <v>1953</v>
      </c>
    </row>
    <row r="36" spans="1:9" ht="82.8" x14ac:dyDescent="0.3">
      <c r="A36" s="19" t="s">
        <v>1954</v>
      </c>
      <c r="B36" s="19"/>
      <c r="C36" s="19"/>
      <c r="D36" s="19"/>
      <c r="E36" s="19"/>
      <c r="F36" s="19"/>
      <c r="G36" s="19"/>
      <c r="H36" s="19" t="s">
        <v>1955</v>
      </c>
      <c r="I36" s="19" t="s">
        <v>1955</v>
      </c>
    </row>
    <row r="37" spans="1:9" ht="82.8" x14ac:dyDescent="0.3">
      <c r="A37" s="19" t="s">
        <v>1956</v>
      </c>
      <c r="B37" s="19"/>
      <c r="C37" s="19"/>
      <c r="D37" s="19"/>
      <c r="E37" s="19"/>
      <c r="F37" s="19"/>
      <c r="G37" s="19"/>
      <c r="H37" s="19" t="s">
        <v>1957</v>
      </c>
      <c r="I37" s="19" t="s">
        <v>1957</v>
      </c>
    </row>
    <row r="38" spans="1:9" ht="82.8" x14ac:dyDescent="0.3">
      <c r="A38" s="19" t="s">
        <v>1958</v>
      </c>
      <c r="B38" s="19"/>
      <c r="C38" s="19"/>
      <c r="D38" s="19"/>
      <c r="E38" s="19"/>
      <c r="F38" s="19"/>
      <c r="G38" s="19"/>
      <c r="H38" s="19" t="s">
        <v>1959</v>
      </c>
      <c r="I38" s="19" t="s">
        <v>1959</v>
      </c>
    </row>
    <row r="39" spans="1:9" ht="82.8" x14ac:dyDescent="0.3">
      <c r="A39" s="19" t="s">
        <v>1960</v>
      </c>
      <c r="B39" s="19"/>
      <c r="C39" s="19"/>
      <c r="D39" s="19"/>
      <c r="E39" s="19"/>
      <c r="F39" s="19"/>
      <c r="G39" s="19"/>
      <c r="H39" s="19" t="s">
        <v>1961</v>
      </c>
      <c r="I39" s="19" t="s">
        <v>1961</v>
      </c>
    </row>
    <row r="40" spans="1:9" ht="82.8" x14ac:dyDescent="0.3">
      <c r="A40" s="19" t="s">
        <v>1962</v>
      </c>
      <c r="B40" s="19"/>
      <c r="C40" s="19"/>
      <c r="D40" s="19"/>
      <c r="E40" s="19"/>
      <c r="F40" s="19"/>
      <c r="G40" s="19"/>
      <c r="H40" s="19" t="s">
        <v>1963</v>
      </c>
      <c r="I40" s="19" t="s">
        <v>1963</v>
      </c>
    </row>
    <row r="41" spans="1:9" ht="124.2" x14ac:dyDescent="0.3">
      <c r="A41" s="19" t="s">
        <v>1964</v>
      </c>
      <c r="B41" s="19"/>
      <c r="C41" s="19"/>
      <c r="D41" s="19"/>
      <c r="E41" s="19"/>
      <c r="F41" s="19"/>
      <c r="G41" s="19"/>
      <c r="H41" s="19" t="s">
        <v>1965</v>
      </c>
      <c r="I41" s="19" t="s">
        <v>1965</v>
      </c>
    </row>
    <row r="42" spans="1:9" ht="124.2" x14ac:dyDescent="0.3">
      <c r="A42" s="19" t="s">
        <v>1966</v>
      </c>
      <c r="B42" s="19"/>
      <c r="C42" s="19"/>
      <c r="D42" s="19"/>
      <c r="E42" s="19"/>
      <c r="F42" s="19"/>
      <c r="G42" s="19"/>
      <c r="H42" s="19" t="s">
        <v>1967</v>
      </c>
      <c r="I42" s="19" t="s">
        <v>1967</v>
      </c>
    </row>
    <row r="43" spans="1:9" ht="124.2" x14ac:dyDescent="0.3">
      <c r="A43" s="19" t="s">
        <v>1968</v>
      </c>
      <c r="B43" s="19"/>
      <c r="C43" s="19"/>
      <c r="D43" s="19"/>
      <c r="E43" s="19"/>
      <c r="F43" s="19"/>
      <c r="G43" s="19"/>
      <c r="H43" s="19" t="s">
        <v>1969</v>
      </c>
      <c r="I43" s="19" t="s">
        <v>1969</v>
      </c>
    </row>
    <row r="44" spans="1:9" ht="124.2" x14ac:dyDescent="0.3">
      <c r="A44" s="19" t="s">
        <v>1970</v>
      </c>
      <c r="B44" s="19"/>
      <c r="C44" s="19"/>
      <c r="D44" s="19"/>
      <c r="E44" s="19"/>
      <c r="F44" s="19"/>
      <c r="G44" s="19"/>
      <c r="H44" s="19" t="s">
        <v>1971</v>
      </c>
      <c r="I44" s="19" t="s">
        <v>1971</v>
      </c>
    </row>
    <row r="45" spans="1:9" ht="96.6" x14ac:dyDescent="0.3">
      <c r="A45" s="19" t="s">
        <v>1972</v>
      </c>
      <c r="B45" s="19"/>
      <c r="C45" s="19"/>
      <c r="D45" s="19"/>
      <c r="E45" s="19"/>
      <c r="F45" s="19"/>
      <c r="G45" s="19"/>
      <c r="H45" s="19" t="s">
        <v>1973</v>
      </c>
      <c r="I45" s="19" t="s">
        <v>1973</v>
      </c>
    </row>
    <row r="46" spans="1:9" ht="82.8" x14ac:dyDescent="0.3">
      <c r="A46" s="19" t="s">
        <v>1974</v>
      </c>
      <c r="B46" s="19"/>
      <c r="C46" s="19"/>
      <c r="D46" s="19"/>
      <c r="E46" s="19"/>
      <c r="F46" s="19"/>
      <c r="G46" s="19"/>
      <c r="H46" s="19" t="s">
        <v>1975</v>
      </c>
      <c r="I46" s="19" t="s">
        <v>1975</v>
      </c>
    </row>
    <row r="47" spans="1:9" ht="82.8" x14ac:dyDescent="0.3">
      <c r="A47" s="19" t="s">
        <v>1976</v>
      </c>
      <c r="B47" s="19"/>
      <c r="C47" s="19"/>
      <c r="D47" s="19"/>
      <c r="E47" s="19"/>
      <c r="F47" s="19"/>
      <c r="G47" s="19"/>
      <c r="H47" s="19" t="s">
        <v>1977</v>
      </c>
      <c r="I47" s="19" t="s">
        <v>1977</v>
      </c>
    </row>
    <row r="48" spans="1:9" ht="82.8" x14ac:dyDescent="0.3">
      <c r="A48" s="19" t="s">
        <v>1978</v>
      </c>
      <c r="B48" s="19"/>
      <c r="C48" s="19"/>
      <c r="D48" s="19"/>
      <c r="E48" s="19"/>
      <c r="F48" s="19"/>
      <c r="G48" s="19"/>
      <c r="H48" s="19" t="s">
        <v>1979</v>
      </c>
      <c r="I48" s="19" t="s">
        <v>1979</v>
      </c>
    </row>
    <row r="49" spans="1:9" ht="82.8" x14ac:dyDescent="0.3">
      <c r="A49" s="19" t="s">
        <v>1980</v>
      </c>
      <c r="B49" s="19"/>
      <c r="C49" s="19"/>
      <c r="D49" s="19"/>
      <c r="E49" s="19"/>
      <c r="F49" s="19"/>
      <c r="G49" s="19"/>
      <c r="H49" s="19" t="s">
        <v>1981</v>
      </c>
      <c r="I49" s="19" t="s">
        <v>1981</v>
      </c>
    </row>
    <row r="50" spans="1:9" ht="82.8" x14ac:dyDescent="0.3">
      <c r="A50" s="19" t="s">
        <v>1982</v>
      </c>
      <c r="B50" s="19"/>
      <c r="C50" s="19"/>
      <c r="D50" s="19"/>
      <c r="E50" s="19"/>
      <c r="F50" s="19"/>
      <c r="G50" s="19"/>
      <c r="H50" s="19" t="s">
        <v>1983</v>
      </c>
      <c r="I50" s="19" t="s">
        <v>1983</v>
      </c>
    </row>
    <row r="51" spans="1:9" ht="82.8" x14ac:dyDescent="0.3">
      <c r="A51" s="19" t="s">
        <v>1984</v>
      </c>
      <c r="B51" s="19"/>
      <c r="C51" s="19"/>
      <c r="D51" s="19"/>
      <c r="E51" s="19"/>
      <c r="F51" s="19"/>
      <c r="G51" s="19"/>
      <c r="H51" s="19" t="s">
        <v>1985</v>
      </c>
      <c r="I51" s="19" t="s">
        <v>1985</v>
      </c>
    </row>
    <row r="52" spans="1:9" ht="96.6" x14ac:dyDescent="0.3">
      <c r="A52" s="19" t="s">
        <v>1986</v>
      </c>
      <c r="B52" s="19"/>
      <c r="C52" s="19"/>
      <c r="D52" s="19"/>
      <c r="E52" s="19"/>
      <c r="F52" s="19"/>
      <c r="G52" s="19"/>
      <c r="H52" s="19" t="s">
        <v>1987</v>
      </c>
      <c r="I52" s="19" t="s">
        <v>1987</v>
      </c>
    </row>
    <row r="53" spans="1:9" ht="82.8" x14ac:dyDescent="0.3">
      <c r="A53" s="19" t="s">
        <v>1988</v>
      </c>
      <c r="B53" s="19"/>
      <c r="C53" s="19"/>
      <c r="D53" s="19"/>
      <c r="E53" s="19"/>
      <c r="F53" s="19"/>
      <c r="G53" s="19"/>
      <c r="H53" s="19" t="s">
        <v>1989</v>
      </c>
      <c r="I53" s="19" t="s">
        <v>1989</v>
      </c>
    </row>
    <row r="54" spans="1:9" ht="82.8" x14ac:dyDescent="0.3">
      <c r="A54" s="19" t="s">
        <v>1990</v>
      </c>
      <c r="B54" s="19"/>
      <c r="C54" s="19"/>
      <c r="D54" s="19"/>
      <c r="E54" s="19"/>
      <c r="F54" s="19"/>
      <c r="G54" s="19"/>
      <c r="H54" s="19" t="s">
        <v>1991</v>
      </c>
      <c r="I54" s="19" t="s">
        <v>1991</v>
      </c>
    </row>
    <row r="55" spans="1:9" ht="138" x14ac:dyDescent="0.3">
      <c r="A55" s="19" t="s">
        <v>1992</v>
      </c>
      <c r="B55" s="19"/>
      <c r="C55" s="19"/>
      <c r="D55" s="19"/>
      <c r="E55" s="19"/>
      <c r="F55" s="19"/>
      <c r="G55" s="19"/>
      <c r="H55" s="19" t="s">
        <v>1993</v>
      </c>
      <c r="I55" s="19" t="s">
        <v>1993</v>
      </c>
    </row>
    <row r="56" spans="1:9" ht="96.6" x14ac:dyDescent="0.3">
      <c r="A56" s="19" t="s">
        <v>1994</v>
      </c>
      <c r="B56" s="19"/>
      <c r="C56" s="19"/>
      <c r="D56" s="19"/>
      <c r="E56" s="19"/>
      <c r="F56" s="19"/>
      <c r="G56" s="19"/>
      <c r="H56" s="19" t="s">
        <v>1995</v>
      </c>
      <c r="I56" s="19" t="s">
        <v>1995</v>
      </c>
    </row>
    <row r="57" spans="1:9" ht="96.6" x14ac:dyDescent="0.3">
      <c r="A57" s="19" t="s">
        <v>1996</v>
      </c>
      <c r="B57" s="19"/>
      <c r="C57" s="19"/>
      <c r="D57" s="19"/>
      <c r="E57" s="19"/>
      <c r="F57" s="19"/>
      <c r="G57" s="19"/>
      <c r="H57" s="19" t="s">
        <v>1997</v>
      </c>
      <c r="I57" s="19" t="s">
        <v>1997</v>
      </c>
    </row>
    <row r="58" spans="1:9" ht="55.2" x14ac:dyDescent="0.3">
      <c r="A58" s="19" t="s">
        <v>1998</v>
      </c>
      <c r="B58" s="19"/>
      <c r="C58" s="19"/>
      <c r="D58" s="19"/>
      <c r="E58" s="19"/>
      <c r="F58" s="19"/>
      <c r="G58" s="19"/>
      <c r="H58" s="19" t="s">
        <v>1999</v>
      </c>
      <c r="I58" s="19" t="s">
        <v>1999</v>
      </c>
    </row>
    <row r="59" spans="1:9" ht="96.6" x14ac:dyDescent="0.3">
      <c r="A59" s="19" t="s">
        <v>2000</v>
      </c>
      <c r="B59" s="19"/>
      <c r="C59" s="19"/>
      <c r="D59" s="19"/>
      <c r="E59" s="19"/>
      <c r="F59" s="19"/>
      <c r="G59" s="19"/>
      <c r="H59" s="19" t="s">
        <v>2001</v>
      </c>
      <c r="I59" s="19" t="s">
        <v>2001</v>
      </c>
    </row>
    <row r="60" spans="1:9" ht="96.6" x14ac:dyDescent="0.3">
      <c r="A60" s="19" t="s">
        <v>2002</v>
      </c>
      <c r="B60" s="19"/>
      <c r="C60" s="19"/>
      <c r="D60" s="19"/>
      <c r="E60" s="19"/>
      <c r="F60" s="19"/>
      <c r="G60" s="19"/>
      <c r="H60" s="19" t="s">
        <v>2003</v>
      </c>
      <c r="I60" s="19" t="s">
        <v>2003</v>
      </c>
    </row>
    <row r="61" spans="1:9" ht="55.2" x14ac:dyDescent="0.3">
      <c r="A61" s="19" t="s">
        <v>2004</v>
      </c>
      <c r="B61" s="19"/>
      <c r="C61" s="19"/>
      <c r="D61" s="19"/>
      <c r="E61" s="19"/>
      <c r="F61" s="19"/>
      <c r="G61" s="19"/>
      <c r="H61" s="19" t="s">
        <v>2005</v>
      </c>
      <c r="I61" s="19" t="s">
        <v>2005</v>
      </c>
    </row>
    <row r="62" spans="1:9" ht="124.2" x14ac:dyDescent="0.3">
      <c r="A62" s="19" t="s">
        <v>2006</v>
      </c>
      <c r="B62" s="19"/>
      <c r="C62" s="19"/>
      <c r="D62" s="19"/>
      <c r="E62" s="19"/>
      <c r="F62" s="19"/>
      <c r="G62" s="19"/>
      <c r="H62" s="19" t="s">
        <v>2007</v>
      </c>
      <c r="I62" s="19" t="s">
        <v>2007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12144-10B8-49BA-AA7B-91EB93613F31}">
  <dimension ref="A1:J45"/>
  <sheetViews>
    <sheetView tabSelected="1" workbookViewId="0">
      <selection activeCell="H1" sqref="H1"/>
    </sheetView>
  </sheetViews>
  <sheetFormatPr defaultRowHeight="13.8" x14ac:dyDescent="0.3"/>
  <cols>
    <col min="1" max="1" width="14.44140625" customWidth="1"/>
    <col min="2" max="2" width="23.33203125" customWidth="1"/>
    <col min="3" max="3" width="24.33203125" customWidth="1"/>
    <col min="4" max="4" width="21.109375" customWidth="1"/>
    <col min="5" max="5" width="19.88671875" customWidth="1"/>
    <col min="6" max="6" width="23.21875" customWidth="1"/>
    <col min="7" max="7" width="17.6640625" customWidth="1"/>
    <col min="8" max="8" width="27.77734375" customWidth="1"/>
    <col min="9" max="9" width="13.21875" customWidth="1"/>
    <col min="10" max="10" width="22.6640625" customWidth="1"/>
  </cols>
  <sheetData>
    <row r="1" spans="1:10" ht="86.4" x14ac:dyDescent="0.3">
      <c r="A1" s="18" t="s">
        <v>1888</v>
      </c>
      <c r="B1" s="18" t="s">
        <v>2008</v>
      </c>
      <c r="C1" s="18" t="s">
        <v>2009</v>
      </c>
      <c r="D1" s="18" t="s">
        <v>2010</v>
      </c>
      <c r="E1" s="18" t="s">
        <v>2011</v>
      </c>
      <c r="F1" s="18" t="s">
        <v>2012</v>
      </c>
      <c r="G1" s="18" t="s">
        <v>2013</v>
      </c>
      <c r="H1" s="18" t="s">
        <v>2014</v>
      </c>
      <c r="I1" s="18" t="s">
        <v>2015</v>
      </c>
      <c r="J1" s="18" t="s">
        <v>2016</v>
      </c>
    </row>
    <row r="2" spans="1:10" ht="55.2" x14ac:dyDescent="0.3">
      <c r="A2" s="19" t="s">
        <v>1889</v>
      </c>
      <c r="B2" s="19" t="s">
        <v>505</v>
      </c>
      <c r="C2" s="19" t="s">
        <v>505</v>
      </c>
      <c r="D2" s="19" t="s">
        <v>505</v>
      </c>
      <c r="E2" s="19" t="s">
        <v>505</v>
      </c>
      <c r="F2" s="19" t="s">
        <v>505</v>
      </c>
      <c r="G2" s="19" t="s">
        <v>505</v>
      </c>
      <c r="H2" s="19" t="s">
        <v>505</v>
      </c>
      <c r="I2" s="19" t="s">
        <v>822</v>
      </c>
      <c r="J2" s="19" t="s">
        <v>890</v>
      </c>
    </row>
    <row r="3" spans="1:10" ht="138" x14ac:dyDescent="0.3">
      <c r="A3" s="19" t="s">
        <v>1890</v>
      </c>
      <c r="B3" s="19" t="s">
        <v>506</v>
      </c>
      <c r="C3" s="19" t="s">
        <v>569</v>
      </c>
      <c r="D3" s="19" t="s">
        <v>608</v>
      </c>
      <c r="E3" s="19" t="s">
        <v>644</v>
      </c>
      <c r="F3" s="19" t="s">
        <v>679</v>
      </c>
      <c r="G3" s="19" t="s">
        <v>718</v>
      </c>
      <c r="H3" s="19" t="s">
        <v>776</v>
      </c>
      <c r="I3" s="19" t="s">
        <v>823</v>
      </c>
      <c r="J3" s="19" t="s">
        <v>891</v>
      </c>
    </row>
    <row r="4" spans="1:10" ht="193.2" x14ac:dyDescent="0.3">
      <c r="A4" s="19" t="s">
        <v>1891</v>
      </c>
      <c r="B4" s="19" t="s">
        <v>2017</v>
      </c>
      <c r="C4" s="19" t="s">
        <v>2018</v>
      </c>
      <c r="D4" s="19" t="s">
        <v>2019</v>
      </c>
      <c r="E4" s="19" t="s">
        <v>2020</v>
      </c>
      <c r="F4" s="19" t="s">
        <v>2021</v>
      </c>
      <c r="G4" s="19" t="s">
        <v>2022</v>
      </c>
      <c r="H4" s="19" t="s">
        <v>2023</v>
      </c>
      <c r="I4" s="19" t="s">
        <v>2024</v>
      </c>
      <c r="J4" s="19" t="s">
        <v>2025</v>
      </c>
    </row>
    <row r="5" spans="1:10" ht="220.8" x14ac:dyDescent="0.3">
      <c r="A5" s="19" t="s">
        <v>1894</v>
      </c>
      <c r="B5" s="19" t="s">
        <v>2026</v>
      </c>
      <c r="C5" s="19" t="s">
        <v>2027</v>
      </c>
      <c r="D5" s="19" t="s">
        <v>2028</v>
      </c>
      <c r="E5" s="19" t="s">
        <v>2028</v>
      </c>
      <c r="F5" s="19" t="s">
        <v>2028</v>
      </c>
      <c r="G5" s="19" t="s">
        <v>2029</v>
      </c>
      <c r="H5" s="19" t="s">
        <v>2029</v>
      </c>
      <c r="I5" s="19" t="s">
        <v>2030</v>
      </c>
      <c r="J5" s="19" t="s">
        <v>2031</v>
      </c>
    </row>
    <row r="6" spans="1:10" ht="331.2" x14ac:dyDescent="0.3">
      <c r="A6" s="19" t="s">
        <v>2032</v>
      </c>
      <c r="B6" s="19" t="s">
        <v>2033</v>
      </c>
      <c r="C6" s="19" t="s">
        <v>2034</v>
      </c>
      <c r="D6" s="19" t="s">
        <v>2035</v>
      </c>
      <c r="E6" s="19" t="s">
        <v>2036</v>
      </c>
      <c r="F6" s="19" t="s">
        <v>2037</v>
      </c>
      <c r="G6" s="19" t="s">
        <v>2038</v>
      </c>
      <c r="H6" s="19" t="s">
        <v>2039</v>
      </c>
      <c r="I6" s="19" t="s">
        <v>2040</v>
      </c>
      <c r="J6" s="19" t="s">
        <v>2041</v>
      </c>
    </row>
    <row r="7" spans="1:10" ht="317.39999999999998" x14ac:dyDescent="0.3">
      <c r="A7" s="19" t="s">
        <v>2042</v>
      </c>
      <c r="B7" s="19" t="s">
        <v>2043</v>
      </c>
      <c r="C7" s="19" t="s">
        <v>2044</v>
      </c>
      <c r="D7" s="19" t="s">
        <v>2045</v>
      </c>
      <c r="E7" s="19" t="s">
        <v>2046</v>
      </c>
      <c r="F7" s="19" t="s">
        <v>2047</v>
      </c>
      <c r="G7" s="19" t="s">
        <v>2048</v>
      </c>
      <c r="H7" s="19" t="s">
        <v>2049</v>
      </c>
      <c r="I7" s="19" t="s">
        <v>2050</v>
      </c>
      <c r="J7" s="19" t="s">
        <v>2051</v>
      </c>
    </row>
    <row r="8" spans="1:10" ht="303.60000000000002" x14ac:dyDescent="0.3">
      <c r="A8" s="19" t="s">
        <v>1899</v>
      </c>
      <c r="B8" s="19" t="s">
        <v>1413</v>
      </c>
      <c r="C8" s="19" t="s">
        <v>1482</v>
      </c>
      <c r="D8" s="19" t="s">
        <v>1530</v>
      </c>
      <c r="E8" s="19" t="s">
        <v>1530</v>
      </c>
      <c r="F8" s="19" t="s">
        <v>1530</v>
      </c>
      <c r="G8" s="19" t="s">
        <v>1647</v>
      </c>
      <c r="H8" s="19" t="s">
        <v>1712</v>
      </c>
      <c r="I8" s="19" t="s">
        <v>1765</v>
      </c>
      <c r="J8" s="19" t="s">
        <v>1838</v>
      </c>
    </row>
    <row r="9" spans="1:10" ht="409.6" x14ac:dyDescent="0.3">
      <c r="A9" s="19" t="s">
        <v>946</v>
      </c>
      <c r="B9" s="19" t="s">
        <v>1414</v>
      </c>
      <c r="C9" s="19" t="s">
        <v>1483</v>
      </c>
      <c r="D9" s="19" t="s">
        <v>1483</v>
      </c>
      <c r="E9" s="19" t="s">
        <v>1570</v>
      </c>
      <c r="F9" s="19" t="s">
        <v>1570</v>
      </c>
      <c r="G9" s="19" t="s">
        <v>1648</v>
      </c>
      <c r="H9" s="19" t="s">
        <v>1713</v>
      </c>
      <c r="I9" s="19" t="s">
        <v>1766</v>
      </c>
      <c r="J9" s="19" t="s">
        <v>1839</v>
      </c>
    </row>
    <row r="10" spans="1:10" ht="110.4" x14ac:dyDescent="0.3">
      <c r="A10" s="19" t="s">
        <v>2052</v>
      </c>
      <c r="B10" s="19" t="s">
        <v>1903</v>
      </c>
      <c r="C10" s="19" t="s">
        <v>1903</v>
      </c>
      <c r="D10" s="19" t="s">
        <v>1903</v>
      </c>
      <c r="E10" s="19" t="s">
        <v>1903</v>
      </c>
      <c r="F10" s="19" t="s">
        <v>1903</v>
      </c>
      <c r="G10" s="19" t="s">
        <v>1903</v>
      </c>
      <c r="H10" s="19" t="s">
        <v>1903</v>
      </c>
      <c r="I10" s="19" t="s">
        <v>2053</v>
      </c>
      <c r="J10" s="19" t="s">
        <v>2054</v>
      </c>
    </row>
    <row r="11" spans="1:10" ht="262.2" x14ac:dyDescent="0.3">
      <c r="A11" s="19" t="s">
        <v>2055</v>
      </c>
      <c r="B11" s="19" t="s">
        <v>2056</v>
      </c>
      <c r="C11" s="19" t="s">
        <v>2057</v>
      </c>
      <c r="D11" s="19" t="s">
        <v>2058</v>
      </c>
      <c r="E11" s="19" t="s">
        <v>2059</v>
      </c>
      <c r="F11" s="19" t="s">
        <v>2060</v>
      </c>
      <c r="G11" s="19" t="s">
        <v>2061</v>
      </c>
      <c r="H11" s="19" t="s">
        <v>2062</v>
      </c>
      <c r="I11" s="19"/>
      <c r="J11" s="19"/>
    </row>
    <row r="12" spans="1:10" ht="409.6" x14ac:dyDescent="0.3">
      <c r="A12" s="19" t="s">
        <v>2063</v>
      </c>
      <c r="B12" s="19" t="s">
        <v>2064</v>
      </c>
      <c r="C12" s="19"/>
      <c r="D12" s="19"/>
      <c r="E12" s="19"/>
      <c r="F12" s="19"/>
      <c r="G12" s="19"/>
      <c r="H12" s="19"/>
      <c r="I12" s="19"/>
      <c r="J12" s="19"/>
    </row>
    <row r="13" spans="1:10" ht="372.6" x14ac:dyDescent="0.3">
      <c r="A13" s="19" t="s">
        <v>2065</v>
      </c>
      <c r="B13" s="19" t="s">
        <v>2066</v>
      </c>
      <c r="C13" s="19"/>
      <c r="D13" s="19"/>
      <c r="E13" s="19"/>
      <c r="F13" s="19"/>
      <c r="G13" s="19"/>
      <c r="H13" s="19"/>
      <c r="I13" s="19"/>
      <c r="J13" s="19"/>
    </row>
    <row r="14" spans="1:10" ht="289.8" x14ac:dyDescent="0.3">
      <c r="A14" s="19" t="s">
        <v>2067</v>
      </c>
      <c r="B14" s="19" t="s">
        <v>2068</v>
      </c>
      <c r="C14" s="19"/>
      <c r="D14" s="19"/>
      <c r="E14" s="19"/>
      <c r="F14" s="19" t="s">
        <v>1911</v>
      </c>
      <c r="G14" s="19" t="s">
        <v>2069</v>
      </c>
      <c r="H14" s="19" t="s">
        <v>2069</v>
      </c>
      <c r="I14" s="19"/>
      <c r="J14" s="19"/>
    </row>
    <row r="15" spans="1:10" ht="386.4" x14ac:dyDescent="0.3">
      <c r="A15" s="19" t="s">
        <v>2070</v>
      </c>
      <c r="B15" s="19" t="s">
        <v>2071</v>
      </c>
      <c r="C15" s="19"/>
      <c r="D15" s="19"/>
      <c r="E15" s="19"/>
      <c r="F15" s="19"/>
      <c r="G15" s="19" t="s">
        <v>2072</v>
      </c>
      <c r="H15" s="19" t="s">
        <v>2073</v>
      </c>
      <c r="I15" s="19"/>
      <c r="J15" s="19"/>
    </row>
    <row r="16" spans="1:10" ht="409.6" x14ac:dyDescent="0.3">
      <c r="A16" s="19" t="s">
        <v>2074</v>
      </c>
      <c r="B16" s="19" t="s">
        <v>2075</v>
      </c>
      <c r="C16" s="19"/>
      <c r="D16" s="19"/>
      <c r="E16" s="19"/>
      <c r="F16" s="19"/>
      <c r="G16" s="19" t="s">
        <v>1915</v>
      </c>
      <c r="H16" s="19" t="s">
        <v>1915</v>
      </c>
      <c r="I16" s="19"/>
      <c r="J16" s="19"/>
    </row>
    <row r="17" spans="1:10" ht="409.6" x14ac:dyDescent="0.3">
      <c r="A17" s="19" t="s">
        <v>2076</v>
      </c>
      <c r="B17" s="19" t="s">
        <v>2077</v>
      </c>
      <c r="C17" s="19"/>
      <c r="D17" s="19"/>
      <c r="E17" s="19"/>
      <c r="F17" s="19"/>
      <c r="G17" s="19"/>
      <c r="H17" s="19"/>
      <c r="I17" s="19"/>
      <c r="J17" s="19"/>
    </row>
    <row r="18" spans="1:10" ht="409.6" x14ac:dyDescent="0.3">
      <c r="A18" s="19" t="s">
        <v>2078</v>
      </c>
      <c r="B18" s="19" t="s">
        <v>2079</v>
      </c>
      <c r="C18" s="19"/>
      <c r="D18" s="19"/>
      <c r="E18" s="19"/>
      <c r="F18" s="19"/>
      <c r="G18" s="19"/>
      <c r="H18" s="19"/>
      <c r="I18" s="19"/>
      <c r="J18" s="19"/>
    </row>
    <row r="19" spans="1:10" ht="276" x14ac:dyDescent="0.3">
      <c r="A19" s="19" t="s">
        <v>2080</v>
      </c>
      <c r="B19" s="19" t="s">
        <v>2081</v>
      </c>
      <c r="C19" s="19"/>
      <c r="D19" s="19"/>
      <c r="E19" s="19"/>
      <c r="F19" s="19"/>
      <c r="G19" s="19"/>
      <c r="H19" s="19"/>
      <c r="I19" s="19"/>
      <c r="J19" s="19"/>
    </row>
    <row r="20" spans="1:10" ht="409.6" x14ac:dyDescent="0.3">
      <c r="A20" s="19" t="s">
        <v>2082</v>
      </c>
      <c r="B20" s="19"/>
      <c r="C20" s="19" t="s">
        <v>2083</v>
      </c>
      <c r="D20" s="19"/>
      <c r="E20" s="19"/>
      <c r="F20" s="19"/>
      <c r="G20" s="19"/>
      <c r="H20" s="19"/>
      <c r="I20" s="19"/>
      <c r="J20" s="19"/>
    </row>
    <row r="21" spans="1:10" ht="409.6" x14ac:dyDescent="0.3">
      <c r="A21" s="19" t="s">
        <v>2084</v>
      </c>
      <c r="B21" s="19"/>
      <c r="C21" s="19"/>
      <c r="D21" s="19" t="s">
        <v>2085</v>
      </c>
      <c r="E21" s="19"/>
      <c r="F21" s="19"/>
      <c r="G21" s="19"/>
      <c r="H21" s="19"/>
      <c r="I21" s="19"/>
      <c r="J21" s="19"/>
    </row>
    <row r="22" spans="1:10" ht="409.6" x14ac:dyDescent="0.3">
      <c r="A22" s="19" t="s">
        <v>2086</v>
      </c>
      <c r="B22" s="19"/>
      <c r="C22" s="19"/>
      <c r="D22" s="19"/>
      <c r="E22" s="19" t="s">
        <v>2087</v>
      </c>
      <c r="F22" s="19"/>
      <c r="G22" s="19"/>
      <c r="H22" s="19"/>
      <c r="I22" s="19"/>
      <c r="J22" s="19"/>
    </row>
    <row r="23" spans="1:10" ht="409.6" x14ac:dyDescent="0.3">
      <c r="A23" s="19" t="s">
        <v>2088</v>
      </c>
      <c r="B23" s="19"/>
      <c r="C23" s="19"/>
      <c r="D23" s="19"/>
      <c r="E23" s="19"/>
      <c r="F23" s="19" t="s">
        <v>2089</v>
      </c>
      <c r="G23" s="19"/>
      <c r="H23" s="19"/>
      <c r="I23" s="19"/>
      <c r="J23" s="19"/>
    </row>
    <row r="24" spans="1:10" ht="409.6" x14ac:dyDescent="0.3">
      <c r="A24" s="19" t="s">
        <v>2090</v>
      </c>
      <c r="B24" s="19"/>
      <c r="C24" s="19"/>
      <c r="D24" s="19"/>
      <c r="E24" s="19"/>
      <c r="F24" s="19"/>
      <c r="G24" s="19" t="s">
        <v>2091</v>
      </c>
      <c r="H24" s="19"/>
      <c r="I24" s="19"/>
      <c r="J24" s="19"/>
    </row>
    <row r="25" spans="1:10" ht="409.6" x14ac:dyDescent="0.3">
      <c r="A25" s="19" t="s">
        <v>2092</v>
      </c>
      <c r="B25" s="19"/>
      <c r="C25" s="19"/>
      <c r="D25" s="19"/>
      <c r="E25" s="19"/>
      <c r="F25" s="19"/>
      <c r="G25" s="19" t="s">
        <v>2093</v>
      </c>
      <c r="H25" s="19"/>
      <c r="I25" s="19"/>
      <c r="J25" s="19"/>
    </row>
    <row r="26" spans="1:10" ht="409.6" x14ac:dyDescent="0.3">
      <c r="A26" s="19" t="s">
        <v>2094</v>
      </c>
      <c r="B26" s="19"/>
      <c r="C26" s="19"/>
      <c r="D26" s="19"/>
      <c r="E26" s="19"/>
      <c r="F26" s="19"/>
      <c r="G26" s="19" t="s">
        <v>2095</v>
      </c>
      <c r="H26" s="19" t="s">
        <v>2096</v>
      </c>
      <c r="I26" s="19"/>
      <c r="J26" s="19"/>
    </row>
    <row r="27" spans="1:10" ht="409.6" x14ac:dyDescent="0.3">
      <c r="A27" s="19" t="s">
        <v>2097</v>
      </c>
      <c r="B27" s="19"/>
      <c r="C27" s="19"/>
      <c r="D27" s="19"/>
      <c r="E27" s="19"/>
      <c r="F27" s="19"/>
      <c r="G27" s="19" t="s">
        <v>2098</v>
      </c>
      <c r="H27" s="19"/>
      <c r="I27" s="19"/>
      <c r="J27" s="19"/>
    </row>
    <row r="28" spans="1:10" ht="409.6" x14ac:dyDescent="0.3">
      <c r="A28" s="19" t="s">
        <v>2099</v>
      </c>
      <c r="B28" s="19"/>
      <c r="C28" s="19"/>
      <c r="D28" s="19"/>
      <c r="E28" s="19"/>
      <c r="F28" s="19"/>
      <c r="G28" s="19"/>
      <c r="H28" s="19" t="s">
        <v>2100</v>
      </c>
      <c r="I28" s="19"/>
      <c r="J28" s="19"/>
    </row>
    <row r="29" spans="1:10" ht="409.6" x14ac:dyDescent="0.3">
      <c r="A29" s="19" t="s">
        <v>2101</v>
      </c>
      <c r="B29" s="19"/>
      <c r="C29" s="19"/>
      <c r="D29" s="19"/>
      <c r="E29" s="19"/>
      <c r="F29" s="19"/>
      <c r="G29" s="19"/>
      <c r="H29" s="19"/>
      <c r="I29" s="19" t="s">
        <v>2102</v>
      </c>
      <c r="J29" s="19"/>
    </row>
    <row r="30" spans="1:10" ht="409.6" x14ac:dyDescent="0.3">
      <c r="A30" s="19" t="s">
        <v>2103</v>
      </c>
      <c r="B30" s="19"/>
      <c r="C30" s="19"/>
      <c r="D30" s="19"/>
      <c r="E30" s="19"/>
      <c r="F30" s="19"/>
      <c r="G30" s="19"/>
      <c r="H30" s="19"/>
      <c r="I30" s="19" t="s">
        <v>2104</v>
      </c>
      <c r="J30" s="19"/>
    </row>
    <row r="31" spans="1:10" ht="409.6" x14ac:dyDescent="0.3">
      <c r="A31" s="19" t="s">
        <v>2105</v>
      </c>
      <c r="B31" s="19"/>
      <c r="C31" s="19"/>
      <c r="D31" s="19"/>
      <c r="E31" s="19"/>
      <c r="F31" s="19"/>
      <c r="G31" s="19"/>
      <c r="H31" s="19"/>
      <c r="I31" s="19" t="s">
        <v>2106</v>
      </c>
      <c r="J31" s="19"/>
    </row>
    <row r="32" spans="1:10" ht="409.6" x14ac:dyDescent="0.3">
      <c r="A32" s="19" t="s">
        <v>2107</v>
      </c>
      <c r="B32" s="19"/>
      <c r="C32" s="19"/>
      <c r="D32" s="19"/>
      <c r="E32" s="19"/>
      <c r="F32" s="19"/>
      <c r="G32" s="19"/>
      <c r="H32" s="19"/>
      <c r="I32" s="19" t="s">
        <v>2108</v>
      </c>
      <c r="J32" s="19"/>
    </row>
    <row r="33" spans="1:10" ht="317.39999999999998" x14ac:dyDescent="0.3">
      <c r="A33" s="19" t="s">
        <v>2109</v>
      </c>
      <c r="B33" s="19"/>
      <c r="C33" s="19"/>
      <c r="D33" s="19"/>
      <c r="E33" s="19"/>
      <c r="F33" s="19"/>
      <c r="G33" s="19"/>
      <c r="H33" s="19"/>
      <c r="I33" s="19" t="s">
        <v>2110</v>
      </c>
      <c r="J33" s="19"/>
    </row>
    <row r="34" spans="1:10" ht="409.6" x14ac:dyDescent="0.3">
      <c r="A34" s="19" t="s">
        <v>2111</v>
      </c>
      <c r="B34" s="19"/>
      <c r="C34" s="19"/>
      <c r="D34" s="19"/>
      <c r="E34" s="19"/>
      <c r="F34" s="19"/>
      <c r="G34" s="19"/>
      <c r="H34" s="19"/>
      <c r="I34" s="19" t="s">
        <v>2112</v>
      </c>
      <c r="J34" s="19"/>
    </row>
    <row r="35" spans="1:10" ht="409.6" x14ac:dyDescent="0.3">
      <c r="A35" s="19" t="s">
        <v>2113</v>
      </c>
      <c r="B35" s="19"/>
      <c r="C35" s="19"/>
      <c r="D35" s="19"/>
      <c r="E35" s="19"/>
      <c r="F35" s="19"/>
      <c r="G35" s="19"/>
      <c r="H35" s="19"/>
      <c r="I35" s="19" t="s">
        <v>2114</v>
      </c>
      <c r="J35" s="19"/>
    </row>
    <row r="36" spans="1:10" ht="409.6" x14ac:dyDescent="0.3">
      <c r="A36" s="19" t="s">
        <v>2115</v>
      </c>
      <c r="B36" s="19"/>
      <c r="C36" s="19"/>
      <c r="D36" s="19"/>
      <c r="E36" s="19"/>
      <c r="F36" s="19"/>
      <c r="G36" s="19"/>
      <c r="H36" s="19"/>
      <c r="I36" s="19"/>
      <c r="J36" s="19" t="s">
        <v>2116</v>
      </c>
    </row>
    <row r="37" spans="1:10" ht="409.6" x14ac:dyDescent="0.3">
      <c r="A37" s="19" t="s">
        <v>2117</v>
      </c>
      <c r="B37" s="19"/>
      <c r="C37" s="19"/>
      <c r="D37" s="19"/>
      <c r="E37" s="19"/>
      <c r="F37" s="19"/>
      <c r="G37" s="19"/>
      <c r="H37" s="19"/>
      <c r="I37" s="19"/>
      <c r="J37" s="19" t="s">
        <v>2118</v>
      </c>
    </row>
    <row r="38" spans="1:10" ht="409.6" x14ac:dyDescent="0.3">
      <c r="A38" s="19" t="s">
        <v>2119</v>
      </c>
      <c r="B38" s="19"/>
      <c r="C38" s="19"/>
      <c r="D38" s="19"/>
      <c r="E38" s="19"/>
      <c r="F38" s="19"/>
      <c r="G38" s="19"/>
      <c r="H38" s="19"/>
      <c r="I38" s="19"/>
      <c r="J38" s="19" t="s">
        <v>2120</v>
      </c>
    </row>
    <row r="39" spans="1:10" ht="409.6" x14ac:dyDescent="0.3">
      <c r="A39" s="19" t="s">
        <v>2121</v>
      </c>
      <c r="B39" s="19"/>
      <c r="C39" s="19"/>
      <c r="D39" s="19"/>
      <c r="E39" s="19"/>
      <c r="F39" s="19"/>
      <c r="G39" s="19"/>
      <c r="H39" s="19"/>
      <c r="I39" s="19"/>
      <c r="J39" s="19" t="s">
        <v>2122</v>
      </c>
    </row>
    <row r="40" spans="1:10" ht="248.4" x14ac:dyDescent="0.3">
      <c r="A40" s="19" t="s">
        <v>2123</v>
      </c>
      <c r="B40" s="19" t="s">
        <v>2124</v>
      </c>
      <c r="C40" s="19" t="s">
        <v>2125</v>
      </c>
      <c r="D40" s="19" t="s">
        <v>2125</v>
      </c>
      <c r="E40" s="19" t="s">
        <v>2125</v>
      </c>
      <c r="F40" s="19" t="s">
        <v>2125</v>
      </c>
      <c r="G40" s="19" t="s">
        <v>2126</v>
      </c>
      <c r="H40" s="19" t="s">
        <v>2125</v>
      </c>
      <c r="I40" s="19" t="s">
        <v>2127</v>
      </c>
      <c r="J40" s="19" t="s">
        <v>2127</v>
      </c>
    </row>
    <row r="41" spans="1:10" ht="372.6" x14ac:dyDescent="0.3">
      <c r="A41" s="19" t="s">
        <v>2128</v>
      </c>
      <c r="B41" s="19" t="s">
        <v>2129</v>
      </c>
      <c r="C41" s="19" t="s">
        <v>2130</v>
      </c>
      <c r="D41" s="19" t="s">
        <v>2130</v>
      </c>
      <c r="E41" s="19" t="s">
        <v>2130</v>
      </c>
      <c r="F41" s="19" t="s">
        <v>2130</v>
      </c>
      <c r="G41" s="19" t="s">
        <v>2131</v>
      </c>
      <c r="H41" s="19" t="s">
        <v>2132</v>
      </c>
      <c r="I41" s="19" t="s">
        <v>2133</v>
      </c>
      <c r="J41" s="19" t="s">
        <v>2134</v>
      </c>
    </row>
    <row r="42" spans="1:10" ht="262.2" x14ac:dyDescent="0.3">
      <c r="A42" s="19" t="s">
        <v>2135</v>
      </c>
      <c r="B42" s="19" t="s">
        <v>2136</v>
      </c>
      <c r="C42" s="19" t="s">
        <v>2137</v>
      </c>
      <c r="D42" s="19" t="s">
        <v>2138</v>
      </c>
      <c r="E42" s="19" t="s">
        <v>2139</v>
      </c>
      <c r="F42" s="19" t="s">
        <v>2140</v>
      </c>
      <c r="G42" s="19" t="s">
        <v>2141</v>
      </c>
      <c r="H42" s="19" t="s">
        <v>2141</v>
      </c>
      <c r="I42" s="19" t="s">
        <v>2142</v>
      </c>
      <c r="J42" s="19" t="s">
        <v>2127</v>
      </c>
    </row>
    <row r="43" spans="1:10" ht="248.4" x14ac:dyDescent="0.3">
      <c r="A43" s="19" t="s">
        <v>2143</v>
      </c>
      <c r="B43" s="19" t="s">
        <v>2144</v>
      </c>
      <c r="C43" s="19" t="s">
        <v>2127</v>
      </c>
      <c r="D43" s="19" t="s">
        <v>2127</v>
      </c>
      <c r="E43" s="19" t="s">
        <v>2127</v>
      </c>
      <c r="F43" s="19" t="s">
        <v>2127</v>
      </c>
      <c r="G43" s="19" t="s">
        <v>2127</v>
      </c>
      <c r="H43" s="19" t="s">
        <v>2127</v>
      </c>
      <c r="I43" s="19" t="s">
        <v>2145</v>
      </c>
      <c r="J43" s="19" t="s">
        <v>2127</v>
      </c>
    </row>
    <row r="44" spans="1:10" ht="409.6" x14ac:dyDescent="0.3">
      <c r="A44" s="19" t="s">
        <v>2146</v>
      </c>
      <c r="B44" s="19" t="s">
        <v>2147</v>
      </c>
      <c r="C44" s="19" t="s">
        <v>957</v>
      </c>
      <c r="D44" s="19" t="s">
        <v>957</v>
      </c>
      <c r="E44" s="19" t="s">
        <v>957</v>
      </c>
      <c r="F44" s="19" t="s">
        <v>957</v>
      </c>
      <c r="G44" s="19" t="s">
        <v>957</v>
      </c>
      <c r="H44" s="19" t="s">
        <v>957</v>
      </c>
      <c r="I44" s="19" t="s">
        <v>2148</v>
      </c>
      <c r="J44" s="19" t="s">
        <v>957</v>
      </c>
    </row>
    <row r="45" spans="1:10" ht="409.6" x14ac:dyDescent="0.3">
      <c r="A45" s="19" t="s">
        <v>2149</v>
      </c>
      <c r="B45" s="19" t="s">
        <v>2150</v>
      </c>
      <c r="C45" s="19" t="s">
        <v>2151</v>
      </c>
      <c r="D45" s="19" t="s">
        <v>2152</v>
      </c>
      <c r="E45" s="19" t="s">
        <v>2152</v>
      </c>
      <c r="F45" s="19" t="s">
        <v>2152</v>
      </c>
      <c r="G45" s="19" t="s">
        <v>2153</v>
      </c>
      <c r="H45" s="19" t="s">
        <v>2154</v>
      </c>
      <c r="I45" s="19" t="s">
        <v>2155</v>
      </c>
      <c r="J45" s="19" t="s">
        <v>2156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Coverage Summary</vt:lpstr>
      <vt:lpstr>Test Scenarios</vt:lpstr>
      <vt:lpstr>Test Cases</vt:lpstr>
      <vt:lpstr>Acct Dashboard Financing</vt:lpstr>
      <vt:lpstr>Acct Dashboard Non-Financing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Kamar, Afina Norhiza</dc:creator>
  <cp:lastModifiedBy>Ahmad Kamar, Afina Norhiza</cp:lastModifiedBy>
  <dcterms:created xsi:type="dcterms:W3CDTF">2026-08-21T07:00:51Z</dcterms:created>
  <dcterms:modified xsi:type="dcterms:W3CDTF">2026-08-21T07:06:13Z</dcterms:modified>
</cp:coreProperties>
</file>